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emo\OneDrive-shared\uniUD\Cavasin\ragionamento automatico\benchs\"/>
    </mc:Choice>
  </mc:AlternateContent>
  <xr:revisionPtr revIDLastSave="0" documentId="13_ncr:1_{15CFED38-B8C6-478F-8C88-035ADB727946}" xr6:coauthVersionLast="47" xr6:coauthVersionMax="47" xr10:uidLastSave="{00000000-0000-0000-0000-000000000000}"/>
  <bookViews>
    <workbookView xWindow="-120" yWindow="-120" windowWidth="29040" windowHeight="15840" activeTab="5" xr2:uid="{F4D5E789-0053-481F-AE74-310E6C6EE8FB}"/>
  </bookViews>
  <sheets>
    <sheet name="372845237" sheetId="2" r:id="rId1"/>
    <sheet name="34445073613" sheetId="7" r:id="rId2"/>
    <sheet name="1577213729" sheetId="8" r:id="rId3"/>
    <sheet name="372845237-asp" sheetId="9" r:id="rId4"/>
    <sheet name="34445073613-asp" sheetId="13" r:id="rId5"/>
    <sheet name="misc" sheetId="14" r:id="rId6"/>
  </sheets>
  <definedNames>
    <definedName name="_xlnm._FilterDatabase" localSheetId="4" hidden="1">'34445073613-asp'!$G$1:$G$178</definedName>
    <definedName name="_xlnm._FilterDatabase" localSheetId="3" hidden="1">'372845237-asp'!$G$1:$G$280</definedName>
    <definedName name="bench" localSheetId="2">_157721372917[#All]</definedName>
    <definedName name="bench" localSheetId="1">_34445073613[#All]</definedName>
    <definedName name="bench" localSheetId="4">_34445073613_asp[#All]</definedName>
    <definedName name="bench" localSheetId="0">_372845237[#All]</definedName>
    <definedName name="bench" localSheetId="3">_372845237_asp[#All]</definedName>
    <definedName name="COL">_xlfn.LAMBDA(_xlpm.tableall,_xlpm.colname, _xlfn.LET(    _xlpm.header, INDEX(_xlpm.tableall, 1, 0),    _xlpm.data, _xlfn.LET(_xlpm.rcount, ROWS(_xlpm.tableall), INDEX(_xlpm.tableall, 2, 0):INDEX(_xlpm.tableall, _xlpm.rcount, 0)),    _xlpm.colIndex, _xlfn.XMATCH(_xlpm.colname, _xlpm.header),    IF(ISNUMBER(_xlpm.colIndex), INDEX(_xlpm.data, 0, _xlpm.colIndex), "column not found")))</definedName>
    <definedName name="summary" localSheetId="2">_157721372917_summary[#All]</definedName>
    <definedName name="summary" localSheetId="1">_34445073613_summary[#All]</definedName>
    <definedName name="summary" localSheetId="4">_34445073613_asp_summary[#All]</definedName>
    <definedName name="summary" localSheetId="0">_372845237_summary[#All]</definedName>
    <definedName name="summary" localSheetId="3">_372845237_asp_summary[#All]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5" i="8" l="1" a="1"/>
  <c r="X105" i="8" s="1"/>
  <c r="X98" i="8" a="1"/>
  <c r="X98" i="8" s="1"/>
  <c r="X91" i="8" a="1"/>
  <c r="X91" i="8" s="1"/>
  <c r="X84" i="8" a="1"/>
  <c r="X84" i="8" s="1"/>
  <c r="X77" i="8" a="1"/>
  <c r="X77" i="8" s="1"/>
  <c r="X70" i="8" a="1"/>
  <c r="X70" i="8" s="1"/>
  <c r="X63" i="8" a="1"/>
  <c r="X63" i="8" s="1"/>
  <c r="X56" i="8" a="1"/>
  <c r="X56" i="8" s="1"/>
  <c r="X49" i="8" a="1"/>
  <c r="X49" i="8" s="1"/>
  <c r="X42" i="8" a="1"/>
  <c r="X42" i="8" s="1"/>
  <c r="X35" i="8" a="1"/>
  <c r="X35" i="8" s="1"/>
  <c r="X28" i="8" a="1"/>
  <c r="X28" i="8" s="1"/>
  <c r="X21" i="8" a="1"/>
  <c r="X21" i="8" s="1"/>
  <c r="X14" i="8" a="1"/>
  <c r="X14" i="8" s="1"/>
  <c r="X7" i="8" a="1"/>
  <c r="X7" i="8" s="1"/>
  <c r="C13" i="14"/>
  <c r="C14" i="14"/>
  <c r="C15" i="14"/>
  <c r="C16" i="14"/>
  <c r="C17" i="14"/>
  <c r="C18" i="14"/>
  <c r="C19" i="14"/>
  <c r="C20" i="14"/>
  <c r="C21" i="14"/>
  <c r="C22" i="14"/>
  <c r="C23" i="14"/>
  <c r="C24" i="14"/>
  <c r="C2" i="14"/>
  <c r="C3" i="14"/>
  <c r="C4" i="14"/>
  <c r="C5" i="14"/>
  <c r="C6" i="14"/>
  <c r="C7" i="14"/>
  <c r="C8" i="14"/>
  <c r="C9" i="14"/>
  <c r="C10" i="14"/>
  <c r="C11" i="14"/>
  <c r="C12" i="14"/>
  <c r="C1" i="14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X75" i="13" a="1"/>
  <c r="X75" i="13" s="1"/>
  <c r="W75" i="13" a="1"/>
  <c r="W75" i="13" s="1"/>
  <c r="X74" i="13" a="1"/>
  <c r="X74" i="13" s="1"/>
  <c r="W74" i="13" a="1"/>
  <c r="W74" i="13" s="1"/>
  <c r="X73" i="13" a="1"/>
  <c r="X73" i="13" s="1"/>
  <c r="W73" i="13" a="1"/>
  <c r="W73" i="13" s="1"/>
  <c r="X70" i="13" a="1"/>
  <c r="X70" i="13" s="1"/>
  <c r="W70" i="13" a="1"/>
  <c r="W70" i="13" s="1"/>
  <c r="X69" i="13" a="1"/>
  <c r="X69" i="13" s="1"/>
  <c r="W69" i="13" a="1"/>
  <c r="W69" i="13" s="1"/>
  <c r="X68" i="13" a="1"/>
  <c r="X68" i="13" s="1"/>
  <c r="W68" i="13" a="1"/>
  <c r="W68" i="13" s="1"/>
  <c r="X65" i="13" a="1"/>
  <c r="X65" i="13" s="1"/>
  <c r="W65" i="13" a="1"/>
  <c r="W65" i="13" s="1"/>
  <c r="X64" i="13" a="1"/>
  <c r="X64" i="13" s="1"/>
  <c r="W64" i="13" a="1"/>
  <c r="W64" i="13" s="1"/>
  <c r="X63" i="13" a="1"/>
  <c r="X63" i="13" s="1"/>
  <c r="W63" i="13" a="1"/>
  <c r="W63" i="13" s="1"/>
  <c r="X60" i="13" a="1"/>
  <c r="X60" i="13" s="1"/>
  <c r="W60" i="13" a="1"/>
  <c r="W60" i="13" s="1"/>
  <c r="X59" i="13" a="1"/>
  <c r="X59" i="13" s="1"/>
  <c r="W59" i="13" a="1"/>
  <c r="W59" i="13" s="1"/>
  <c r="X58" i="13" a="1"/>
  <c r="X58" i="13" s="1"/>
  <c r="W58" i="13" a="1"/>
  <c r="W58" i="13" s="1"/>
  <c r="X55" i="13" a="1"/>
  <c r="X55" i="13" s="1"/>
  <c r="W55" i="13" a="1"/>
  <c r="W55" i="13" s="1"/>
  <c r="X54" i="13" a="1"/>
  <c r="X54" i="13" s="1"/>
  <c r="W54" i="13" a="1"/>
  <c r="W54" i="13" s="1"/>
  <c r="X53" i="13" a="1"/>
  <c r="X53" i="13" s="1"/>
  <c r="W53" i="13" a="1"/>
  <c r="W53" i="13" s="1"/>
  <c r="X50" i="13" a="1"/>
  <c r="X50" i="13" s="1"/>
  <c r="W50" i="13" a="1"/>
  <c r="W50" i="13" s="1"/>
  <c r="X49" i="13" a="1"/>
  <c r="X49" i="13" s="1"/>
  <c r="W49" i="13" a="1"/>
  <c r="W49" i="13" s="1"/>
  <c r="X48" i="13" a="1"/>
  <c r="X48" i="13" s="1"/>
  <c r="W48" i="13" a="1"/>
  <c r="W48" i="13" s="1"/>
  <c r="X45" i="13" a="1"/>
  <c r="X45" i="13" s="1"/>
  <c r="W45" i="13" a="1"/>
  <c r="W45" i="13" s="1"/>
  <c r="X44" i="13" a="1"/>
  <c r="X44" i="13" s="1"/>
  <c r="W44" i="13" a="1"/>
  <c r="W44" i="13" s="1"/>
  <c r="X43" i="13" a="1"/>
  <c r="X43" i="13" s="1"/>
  <c r="W43" i="13" a="1"/>
  <c r="W43" i="13" s="1"/>
  <c r="X40" i="13" a="1"/>
  <c r="X40" i="13" s="1"/>
  <c r="W40" i="13" a="1"/>
  <c r="W40" i="13" s="1"/>
  <c r="X39" i="13" a="1"/>
  <c r="X39" i="13" s="1"/>
  <c r="W39" i="13" a="1"/>
  <c r="W39" i="13" s="1"/>
  <c r="X38" i="13" a="1"/>
  <c r="X38" i="13" s="1"/>
  <c r="W38" i="13" a="1"/>
  <c r="W38" i="13" s="1"/>
  <c r="X35" i="13" a="1"/>
  <c r="X35" i="13" s="1"/>
  <c r="W35" i="13" a="1"/>
  <c r="W35" i="13" s="1"/>
  <c r="X34" i="13" a="1"/>
  <c r="X34" i="13" s="1"/>
  <c r="W34" i="13" a="1"/>
  <c r="W34" i="13" s="1"/>
  <c r="X33" i="13" a="1"/>
  <c r="X33" i="13" s="1"/>
  <c r="W33" i="13" a="1"/>
  <c r="W33" i="13" s="1"/>
  <c r="X30" i="13" a="1"/>
  <c r="X30" i="13" s="1"/>
  <c r="W30" i="13" a="1"/>
  <c r="W30" i="13" s="1"/>
  <c r="X29" i="13" a="1"/>
  <c r="X29" i="13" s="1"/>
  <c r="W29" i="13" a="1"/>
  <c r="W29" i="13" s="1"/>
  <c r="X28" i="13" a="1"/>
  <c r="X28" i="13" s="1"/>
  <c r="W28" i="13" a="1"/>
  <c r="W28" i="13" s="1"/>
  <c r="X25" i="13" a="1"/>
  <c r="X25" i="13" s="1"/>
  <c r="W25" i="13" a="1"/>
  <c r="W25" i="13" s="1"/>
  <c r="X24" i="13" a="1"/>
  <c r="X24" i="13" s="1"/>
  <c r="W24" i="13" a="1"/>
  <c r="W24" i="13" s="1"/>
  <c r="X23" i="13" a="1"/>
  <c r="X23" i="13" s="1"/>
  <c r="W23" i="13" a="1"/>
  <c r="W23" i="13" s="1"/>
  <c r="X20" i="13" a="1"/>
  <c r="X20" i="13" s="1"/>
  <c r="W20" i="13" a="1"/>
  <c r="W20" i="13" s="1"/>
  <c r="X19" i="13" a="1"/>
  <c r="X19" i="13" s="1"/>
  <c r="W19" i="13" a="1"/>
  <c r="W19" i="13" s="1"/>
  <c r="X18" i="13" a="1"/>
  <c r="X18" i="13" s="1"/>
  <c r="W18" i="13" a="1"/>
  <c r="W18" i="13" s="1"/>
  <c r="X15" i="13" a="1"/>
  <c r="X15" i="13" s="1"/>
  <c r="W15" i="13" a="1"/>
  <c r="W15" i="13" s="1"/>
  <c r="X14" i="13" a="1"/>
  <c r="X14" i="13" s="1"/>
  <c r="W14" i="13" a="1"/>
  <c r="W14" i="13" s="1"/>
  <c r="X13" i="13" a="1"/>
  <c r="X13" i="13" s="1"/>
  <c r="W13" i="13" a="1"/>
  <c r="W13" i="13" s="1"/>
  <c r="X10" i="13" a="1"/>
  <c r="X10" i="13" s="1"/>
  <c r="W10" i="13" a="1"/>
  <c r="W10" i="13" s="1"/>
  <c r="X9" i="13" a="1"/>
  <c r="X9" i="13" s="1"/>
  <c r="W9" i="13" a="1"/>
  <c r="W9" i="13" s="1"/>
  <c r="X8" i="13" a="1"/>
  <c r="X8" i="13" s="1"/>
  <c r="W8" i="13" a="1"/>
  <c r="W8" i="13" s="1"/>
  <c r="X5" i="13" a="1"/>
  <c r="X5" i="13" s="1"/>
  <c r="W5" i="13" a="1"/>
  <c r="W5" i="13" s="1"/>
  <c r="X4" i="13" a="1"/>
  <c r="X4" i="13" s="1"/>
  <c r="W4" i="13" a="1"/>
  <c r="W4" i="13" s="1"/>
  <c r="X3" i="13" a="1"/>
  <c r="X3" i="13" s="1"/>
  <c r="W3" i="13" a="1"/>
  <c r="W3" i="13" s="1"/>
  <c r="V1" i="13"/>
  <c r="U1" i="13"/>
  <c r="T1" i="13"/>
  <c r="S1" i="13"/>
  <c r="R1" i="13"/>
  <c r="X4" i="9" a="1"/>
  <c r="X4" i="9" s="1"/>
  <c r="X5" i="9" a="1"/>
  <c r="X5" i="9" s="1"/>
  <c r="X8" i="9" a="1"/>
  <c r="X8" i="9" s="1"/>
  <c r="X9" i="9" a="1"/>
  <c r="X9" i="9" s="1"/>
  <c r="X10" i="9" a="1"/>
  <c r="X10" i="9" s="1"/>
  <c r="X13" i="9" a="1"/>
  <c r="X13" i="9" s="1"/>
  <c r="X14" i="9" a="1"/>
  <c r="X14" i="9" s="1"/>
  <c r="X15" i="9" a="1"/>
  <c r="X15" i="9" s="1"/>
  <c r="X18" i="9" a="1"/>
  <c r="X18" i="9" s="1"/>
  <c r="X19" i="9" a="1"/>
  <c r="X19" i="9" s="1"/>
  <c r="X20" i="9" a="1"/>
  <c r="X20" i="9" s="1"/>
  <c r="X23" i="9" a="1"/>
  <c r="X23" i="9" s="1"/>
  <c r="X24" i="9" a="1"/>
  <c r="X24" i="9" s="1"/>
  <c r="X25" i="9" a="1"/>
  <c r="X25" i="9" s="1"/>
  <c r="X28" i="9" a="1"/>
  <c r="X28" i="9" s="1"/>
  <c r="X29" i="9" a="1"/>
  <c r="X29" i="9" s="1"/>
  <c r="X30" i="9" a="1"/>
  <c r="X30" i="9" s="1"/>
  <c r="X33" i="9" a="1"/>
  <c r="X33" i="9" s="1"/>
  <c r="X34" i="9" a="1"/>
  <c r="X34" i="9" s="1"/>
  <c r="X35" i="9" a="1"/>
  <c r="X35" i="9" s="1"/>
  <c r="X38" i="9" a="1"/>
  <c r="X38" i="9" s="1"/>
  <c r="X39" i="9" a="1"/>
  <c r="X39" i="9" s="1"/>
  <c r="X40" i="9" a="1"/>
  <c r="X40" i="9" s="1"/>
  <c r="X43" i="9" a="1"/>
  <c r="X43" i="9" s="1"/>
  <c r="X44" i="9" a="1"/>
  <c r="X44" i="9" s="1"/>
  <c r="X45" i="9" a="1"/>
  <c r="X45" i="9" s="1"/>
  <c r="X48" i="9" a="1"/>
  <c r="X48" i="9" s="1"/>
  <c r="X49" i="9" a="1"/>
  <c r="X49" i="9" s="1"/>
  <c r="X50" i="9" a="1"/>
  <c r="X50" i="9" s="1"/>
  <c r="X53" i="9" a="1"/>
  <c r="X53" i="9" s="1"/>
  <c r="X54" i="9" a="1"/>
  <c r="X54" i="9" s="1"/>
  <c r="X55" i="9" a="1"/>
  <c r="X55" i="9" s="1"/>
  <c r="X58" i="9" a="1"/>
  <c r="X58" i="9" s="1"/>
  <c r="X59" i="9" a="1"/>
  <c r="X59" i="9" s="1"/>
  <c r="X60" i="9" a="1"/>
  <c r="X60" i="9" s="1"/>
  <c r="X63" i="9" a="1"/>
  <c r="X63" i="9" s="1"/>
  <c r="X64" i="9" a="1"/>
  <c r="X64" i="9" s="1"/>
  <c r="X65" i="9" a="1"/>
  <c r="X65" i="9" s="1"/>
  <c r="X68" i="9" a="1"/>
  <c r="X68" i="9" s="1"/>
  <c r="X69" i="9" a="1"/>
  <c r="X69" i="9" s="1"/>
  <c r="X70" i="9" a="1"/>
  <c r="X70" i="9" s="1"/>
  <c r="X73" i="9" a="1"/>
  <c r="X73" i="9" s="1"/>
  <c r="X74" i="9" a="1"/>
  <c r="X74" i="9" s="1"/>
  <c r="X75" i="9" a="1"/>
  <c r="X75" i="9" s="1"/>
  <c r="X3" i="9" a="1"/>
  <c r="X3" i="9" s="1"/>
  <c r="W4" i="9" a="1"/>
  <c r="W4" i="9" s="1"/>
  <c r="W5" i="9" a="1"/>
  <c r="W5" i="9" s="1"/>
  <c r="W8" i="9" a="1"/>
  <c r="W8" i="9" s="1"/>
  <c r="W9" i="9" a="1"/>
  <c r="W9" i="9" s="1"/>
  <c r="W10" i="9" a="1"/>
  <c r="W10" i="9" s="1"/>
  <c r="W13" i="9" a="1"/>
  <c r="W13" i="9" s="1"/>
  <c r="W14" i="9" a="1"/>
  <c r="W14" i="9" s="1"/>
  <c r="W15" i="9" a="1"/>
  <c r="W15" i="9" s="1"/>
  <c r="W18" i="9" a="1"/>
  <c r="W18" i="9" s="1"/>
  <c r="W19" i="9" a="1"/>
  <c r="W19" i="9" s="1"/>
  <c r="W20" i="9" a="1"/>
  <c r="W20" i="9" s="1"/>
  <c r="W23" i="9" a="1"/>
  <c r="W23" i="9" s="1"/>
  <c r="W24" i="9" a="1"/>
  <c r="W24" i="9" s="1"/>
  <c r="W25" i="9" a="1"/>
  <c r="W25" i="9" s="1"/>
  <c r="W28" i="9" a="1"/>
  <c r="W28" i="9" s="1"/>
  <c r="W29" i="9" a="1"/>
  <c r="W29" i="9" s="1"/>
  <c r="W30" i="9" a="1"/>
  <c r="W30" i="9" s="1"/>
  <c r="W33" i="9" a="1"/>
  <c r="W33" i="9" s="1"/>
  <c r="W34" i="9" a="1"/>
  <c r="W34" i="9" s="1"/>
  <c r="W35" i="9" a="1"/>
  <c r="W35" i="9" s="1"/>
  <c r="W38" i="9" a="1"/>
  <c r="W38" i="9" s="1"/>
  <c r="W39" i="9" a="1"/>
  <c r="W39" i="9" s="1"/>
  <c r="W40" i="9" a="1"/>
  <c r="W40" i="9" s="1"/>
  <c r="W43" i="9" a="1"/>
  <c r="W43" i="9" s="1"/>
  <c r="W44" i="9" a="1"/>
  <c r="W44" i="9" s="1"/>
  <c r="W45" i="9" a="1"/>
  <c r="W45" i="9" s="1"/>
  <c r="W48" i="9" a="1"/>
  <c r="W48" i="9" s="1"/>
  <c r="W49" i="9" a="1"/>
  <c r="W49" i="9" s="1"/>
  <c r="W50" i="9" a="1"/>
  <c r="W50" i="9" s="1"/>
  <c r="W53" i="9" a="1"/>
  <c r="W53" i="9" s="1"/>
  <c r="W54" i="9" a="1"/>
  <c r="W54" i="9" s="1"/>
  <c r="W55" i="9" a="1"/>
  <c r="W55" i="9" s="1"/>
  <c r="W58" i="9" a="1"/>
  <c r="W58" i="9" s="1"/>
  <c r="W59" i="9" a="1"/>
  <c r="W59" i="9" s="1"/>
  <c r="W60" i="9" a="1"/>
  <c r="W60" i="9" s="1"/>
  <c r="W63" i="9" a="1"/>
  <c r="W63" i="9" s="1"/>
  <c r="W64" i="9" a="1"/>
  <c r="W64" i="9" s="1"/>
  <c r="W65" i="9" a="1"/>
  <c r="W65" i="9" s="1"/>
  <c r="W68" i="9" a="1"/>
  <c r="W68" i="9" s="1"/>
  <c r="W69" i="9" a="1"/>
  <c r="W69" i="9" s="1"/>
  <c r="W70" i="9" a="1"/>
  <c r="W70" i="9" s="1"/>
  <c r="W73" i="9" a="1"/>
  <c r="W73" i="9" s="1"/>
  <c r="W74" i="9" a="1"/>
  <c r="W74" i="9" s="1"/>
  <c r="W75" i="9" a="1"/>
  <c r="W75" i="9" s="1"/>
  <c r="W3" i="9" a="1"/>
  <c r="W3" i="9" s="1"/>
  <c r="X57" i="2" a="1"/>
  <c r="X57" i="2" s="1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V1" i="9"/>
  <c r="U1" i="9"/>
  <c r="T1" i="9"/>
  <c r="S1" i="9"/>
  <c r="R1" i="9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X104" i="8" a="1"/>
  <c r="X104" i="8" s="1"/>
  <c r="X103" i="8" a="1"/>
  <c r="X103" i="8" s="1"/>
  <c r="X102" i="8" a="1"/>
  <c r="X102" i="8" s="1"/>
  <c r="X101" i="8" a="1"/>
  <c r="X101" i="8" s="1"/>
  <c r="X97" i="8" a="1"/>
  <c r="X97" i="8" s="1"/>
  <c r="X96" i="8" a="1"/>
  <c r="X96" i="8" s="1"/>
  <c r="X95" i="8" a="1"/>
  <c r="X95" i="8" s="1"/>
  <c r="X94" i="8" a="1"/>
  <c r="X94" i="8" s="1"/>
  <c r="X90" i="8" a="1"/>
  <c r="X90" i="8" s="1"/>
  <c r="X89" i="8" a="1"/>
  <c r="X89" i="8" s="1"/>
  <c r="X88" i="8" a="1"/>
  <c r="X88" i="8" s="1"/>
  <c r="X87" i="8" a="1"/>
  <c r="X87" i="8" s="1"/>
  <c r="X83" i="8" a="1"/>
  <c r="X83" i="8" s="1"/>
  <c r="X82" i="8" a="1"/>
  <c r="X82" i="8" s="1"/>
  <c r="X81" i="8" a="1"/>
  <c r="X81" i="8" s="1"/>
  <c r="X80" i="8" a="1"/>
  <c r="X80" i="8" s="1"/>
  <c r="X76" i="8" a="1"/>
  <c r="X76" i="8" s="1"/>
  <c r="X75" i="8" a="1"/>
  <c r="X75" i="8" s="1"/>
  <c r="X74" i="8" a="1"/>
  <c r="X74" i="8" s="1"/>
  <c r="X73" i="8" a="1"/>
  <c r="X73" i="8" s="1"/>
  <c r="X69" i="8" a="1"/>
  <c r="X69" i="8" s="1"/>
  <c r="X68" i="8" a="1"/>
  <c r="X68" i="8" s="1"/>
  <c r="X67" i="8" a="1"/>
  <c r="X67" i="8" s="1"/>
  <c r="X66" i="8" a="1"/>
  <c r="X66" i="8" s="1"/>
  <c r="X62" i="8" a="1"/>
  <c r="X62" i="8" s="1"/>
  <c r="X61" i="8" a="1"/>
  <c r="X61" i="8" s="1"/>
  <c r="X60" i="8" a="1"/>
  <c r="X60" i="8" s="1"/>
  <c r="X59" i="8" a="1"/>
  <c r="X59" i="8" s="1"/>
  <c r="X55" i="8" a="1"/>
  <c r="X55" i="8" s="1"/>
  <c r="X54" i="8" a="1"/>
  <c r="X54" i="8" s="1"/>
  <c r="X53" i="8" a="1"/>
  <c r="X53" i="8" s="1"/>
  <c r="X52" i="8" a="1"/>
  <c r="X52" i="8" s="1"/>
  <c r="X48" i="8" a="1"/>
  <c r="X48" i="8" s="1"/>
  <c r="X47" i="8" a="1"/>
  <c r="X47" i="8" s="1"/>
  <c r="X46" i="8" a="1"/>
  <c r="X46" i="8" s="1"/>
  <c r="X45" i="8" a="1"/>
  <c r="X45" i="8" s="1"/>
  <c r="X41" i="8" a="1"/>
  <c r="X41" i="8" s="1"/>
  <c r="X40" i="8" a="1"/>
  <c r="X40" i="8" s="1"/>
  <c r="X39" i="8" a="1"/>
  <c r="X39" i="8" s="1"/>
  <c r="X38" i="8" a="1"/>
  <c r="X38" i="8" s="1"/>
  <c r="X34" i="8" a="1"/>
  <c r="X34" i="8" s="1"/>
  <c r="X33" i="8" a="1"/>
  <c r="X33" i="8" s="1"/>
  <c r="X32" i="8" a="1"/>
  <c r="X32" i="8" s="1"/>
  <c r="X31" i="8" a="1"/>
  <c r="X31" i="8" s="1"/>
  <c r="X27" i="8" a="1"/>
  <c r="X27" i="8" s="1"/>
  <c r="X26" i="8" a="1"/>
  <c r="X26" i="8" s="1"/>
  <c r="X25" i="8" a="1"/>
  <c r="X25" i="8" s="1"/>
  <c r="X24" i="8" a="1"/>
  <c r="X24" i="8" s="1"/>
  <c r="X20" i="8" a="1"/>
  <c r="X20" i="8" s="1"/>
  <c r="X19" i="8" a="1"/>
  <c r="X19" i="8" s="1"/>
  <c r="X18" i="8" a="1"/>
  <c r="X18" i="8" s="1"/>
  <c r="X17" i="8" a="1"/>
  <c r="X17" i="8" s="1"/>
  <c r="X13" i="8" a="1"/>
  <c r="X13" i="8" s="1"/>
  <c r="X12" i="8" a="1"/>
  <c r="X12" i="8" s="1"/>
  <c r="X11" i="8" a="1"/>
  <c r="X11" i="8" s="1"/>
  <c r="X10" i="8" a="1"/>
  <c r="X10" i="8" s="1"/>
  <c r="X6" i="8" a="1"/>
  <c r="X6" i="8" s="1"/>
  <c r="X5" i="8" a="1"/>
  <c r="X5" i="8" s="1"/>
  <c r="X4" i="8" a="1"/>
  <c r="X4" i="8" s="1"/>
  <c r="X3" i="8" a="1"/>
  <c r="X3" i="8" s="1"/>
  <c r="W1" i="8"/>
  <c r="V1" i="8"/>
  <c r="U1" i="8"/>
  <c r="T1" i="8"/>
  <c r="S1" i="8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X90" i="7" a="1"/>
  <c r="X90" i="7" s="1"/>
  <c r="X89" i="7" a="1"/>
  <c r="X89" i="7" s="1"/>
  <c r="X88" i="7" a="1"/>
  <c r="X88" i="7" s="1"/>
  <c r="X87" i="7" a="1"/>
  <c r="X87" i="7" s="1"/>
  <c r="X84" i="7" a="1"/>
  <c r="X84" i="7" s="1"/>
  <c r="X83" i="7" a="1"/>
  <c r="X83" i="7" s="1"/>
  <c r="X82" i="7" a="1"/>
  <c r="X82" i="7" s="1"/>
  <c r="X81" i="7" a="1"/>
  <c r="X81" i="7" s="1"/>
  <c r="X78" i="7" a="1"/>
  <c r="X78" i="7" s="1"/>
  <c r="X77" i="7" a="1"/>
  <c r="X77" i="7" s="1"/>
  <c r="X76" i="7" a="1"/>
  <c r="X76" i="7" s="1"/>
  <c r="X75" i="7" a="1"/>
  <c r="X75" i="7" s="1"/>
  <c r="X72" i="7" a="1"/>
  <c r="X72" i="7" s="1"/>
  <c r="X71" i="7" a="1"/>
  <c r="X71" i="7" s="1"/>
  <c r="X70" i="7" a="1"/>
  <c r="X70" i="7" s="1"/>
  <c r="X69" i="7" a="1"/>
  <c r="X69" i="7" s="1"/>
  <c r="X66" i="7" a="1"/>
  <c r="X66" i="7" s="1"/>
  <c r="X65" i="7" a="1"/>
  <c r="X65" i="7" s="1"/>
  <c r="X64" i="7" a="1"/>
  <c r="X64" i="7" s="1"/>
  <c r="X63" i="7" a="1"/>
  <c r="X63" i="7" s="1"/>
  <c r="X60" i="7" a="1"/>
  <c r="X60" i="7" s="1"/>
  <c r="X59" i="7" a="1"/>
  <c r="X59" i="7" s="1"/>
  <c r="X58" i="7" a="1"/>
  <c r="X58" i="7" s="1"/>
  <c r="X57" i="7" a="1"/>
  <c r="X57" i="7" s="1"/>
  <c r="X54" i="7" a="1"/>
  <c r="X54" i="7" s="1"/>
  <c r="X53" i="7" a="1"/>
  <c r="X53" i="7" s="1"/>
  <c r="X52" i="7" a="1"/>
  <c r="X52" i="7" s="1"/>
  <c r="X51" i="7" a="1"/>
  <c r="X51" i="7" s="1"/>
  <c r="X48" i="7" a="1"/>
  <c r="X48" i="7" s="1"/>
  <c r="X47" i="7" a="1"/>
  <c r="X47" i="7" s="1"/>
  <c r="X46" i="7" a="1"/>
  <c r="X46" i="7" s="1"/>
  <c r="X45" i="7" a="1"/>
  <c r="X45" i="7" s="1"/>
  <c r="X42" i="7" a="1"/>
  <c r="X42" i="7" s="1"/>
  <c r="X41" i="7" a="1"/>
  <c r="X41" i="7" s="1"/>
  <c r="X40" i="7" a="1"/>
  <c r="X40" i="7" s="1"/>
  <c r="X39" i="7" a="1"/>
  <c r="X39" i="7" s="1"/>
  <c r="X36" i="7" a="1"/>
  <c r="X36" i="7" s="1"/>
  <c r="X35" i="7" a="1"/>
  <c r="X35" i="7" s="1"/>
  <c r="X34" i="7" a="1"/>
  <c r="X34" i="7" s="1"/>
  <c r="X33" i="7" a="1"/>
  <c r="X33" i="7" s="1"/>
  <c r="X30" i="7" a="1"/>
  <c r="X30" i="7" s="1"/>
  <c r="X29" i="7" a="1"/>
  <c r="X29" i="7" s="1"/>
  <c r="X28" i="7" a="1"/>
  <c r="X28" i="7" s="1"/>
  <c r="X27" i="7" a="1"/>
  <c r="X27" i="7" s="1"/>
  <c r="X24" i="7" a="1"/>
  <c r="X24" i="7" s="1"/>
  <c r="X23" i="7" a="1"/>
  <c r="X23" i="7" s="1"/>
  <c r="X22" i="7" a="1"/>
  <c r="X22" i="7" s="1"/>
  <c r="X21" i="7" a="1"/>
  <c r="X21" i="7" s="1"/>
  <c r="X18" i="7" a="1"/>
  <c r="X18" i="7" s="1"/>
  <c r="X17" i="7" a="1"/>
  <c r="X17" i="7" s="1"/>
  <c r="X16" i="7" a="1"/>
  <c r="X16" i="7" s="1"/>
  <c r="X15" i="7" a="1"/>
  <c r="X15" i="7" s="1"/>
  <c r="X12" i="7" a="1"/>
  <c r="X12" i="7" s="1"/>
  <c r="X11" i="7" a="1"/>
  <c r="X11" i="7" s="1"/>
  <c r="X10" i="7" a="1"/>
  <c r="X10" i="7" s="1"/>
  <c r="X9" i="7" a="1"/>
  <c r="X9" i="7" s="1"/>
  <c r="X6" i="7" a="1"/>
  <c r="X6" i="7" s="1"/>
  <c r="X5" i="7" a="1"/>
  <c r="X5" i="7" s="1"/>
  <c r="X4" i="7" a="1"/>
  <c r="X4" i="7" s="1"/>
  <c r="X3" i="7" a="1"/>
  <c r="X3" i="7" s="1"/>
  <c r="W1" i="7"/>
  <c r="V1" i="7"/>
  <c r="U1" i="7"/>
  <c r="T1" i="7"/>
  <c r="S1" i="7"/>
  <c r="X5" i="2" a="1"/>
  <c r="X5" i="2" s="1"/>
  <c r="X6" i="2" a="1"/>
  <c r="X6" i="2" s="1"/>
  <c r="X9" i="2" a="1"/>
  <c r="X9" i="2" s="1"/>
  <c r="X10" i="2" a="1"/>
  <c r="X10" i="2" s="1"/>
  <c r="X11" i="2" a="1"/>
  <c r="X11" i="2" s="1"/>
  <c r="X12" i="2" a="1"/>
  <c r="X12" i="2" s="1"/>
  <c r="X15" i="2" a="1"/>
  <c r="X15" i="2" s="1"/>
  <c r="X16" i="2" a="1"/>
  <c r="X16" i="2" s="1"/>
  <c r="X17" i="2" a="1"/>
  <c r="X17" i="2" s="1"/>
  <c r="X18" i="2" a="1"/>
  <c r="X18" i="2" s="1"/>
  <c r="X21" i="2" a="1"/>
  <c r="X21" i="2" s="1"/>
  <c r="X22" i="2" a="1"/>
  <c r="X22" i="2" s="1"/>
  <c r="X23" i="2" a="1"/>
  <c r="X23" i="2" s="1"/>
  <c r="X24" i="2" a="1"/>
  <c r="X24" i="2" s="1"/>
  <c r="X27" i="2" a="1"/>
  <c r="X27" i="2" s="1"/>
  <c r="X28" i="2" a="1"/>
  <c r="X28" i="2" s="1"/>
  <c r="X29" i="2" a="1"/>
  <c r="X29" i="2" s="1"/>
  <c r="X30" i="2" a="1"/>
  <c r="X30" i="2" s="1"/>
  <c r="X33" i="2" a="1"/>
  <c r="X33" i="2" s="1"/>
  <c r="X34" i="2" a="1"/>
  <c r="X34" i="2" s="1"/>
  <c r="X35" i="2" a="1"/>
  <c r="X35" i="2" s="1"/>
  <c r="X36" i="2" a="1"/>
  <c r="X36" i="2" s="1"/>
  <c r="X39" i="2" a="1"/>
  <c r="X39" i="2" s="1"/>
  <c r="X40" i="2" a="1"/>
  <c r="X40" i="2" s="1"/>
  <c r="X41" i="2" a="1"/>
  <c r="X41" i="2" s="1"/>
  <c r="X42" i="2" a="1"/>
  <c r="X42" i="2" s="1"/>
  <c r="X45" i="2" a="1"/>
  <c r="X45" i="2" s="1"/>
  <c r="X46" i="2" a="1"/>
  <c r="X46" i="2" s="1"/>
  <c r="X47" i="2" a="1"/>
  <c r="X47" i="2" s="1"/>
  <c r="X48" i="2" a="1"/>
  <c r="X48" i="2" s="1"/>
  <c r="X51" i="2" a="1"/>
  <c r="X51" i="2" s="1"/>
  <c r="X52" i="2" a="1"/>
  <c r="X52" i="2" s="1"/>
  <c r="X53" i="2" a="1"/>
  <c r="X53" i="2" s="1"/>
  <c r="X54" i="2" a="1"/>
  <c r="X54" i="2" s="1"/>
  <c r="X58" i="2" a="1"/>
  <c r="X58" i="2" s="1"/>
  <c r="X59" i="2" a="1"/>
  <c r="X59" i="2" s="1"/>
  <c r="X60" i="2" a="1"/>
  <c r="X60" i="2" s="1"/>
  <c r="X63" i="2" a="1"/>
  <c r="X63" i="2" s="1"/>
  <c r="X64" i="2" a="1"/>
  <c r="X64" i="2" s="1"/>
  <c r="X65" i="2" a="1"/>
  <c r="X65" i="2" s="1"/>
  <c r="X66" i="2" a="1"/>
  <c r="X66" i="2" s="1"/>
  <c r="X69" i="2" a="1"/>
  <c r="X69" i="2" s="1"/>
  <c r="X70" i="2" a="1"/>
  <c r="X70" i="2" s="1"/>
  <c r="X71" i="2" a="1"/>
  <c r="X71" i="2" s="1"/>
  <c r="X72" i="2" a="1"/>
  <c r="X72" i="2" s="1"/>
  <c r="X75" i="2" a="1"/>
  <c r="X75" i="2" s="1"/>
  <c r="X76" i="2" a="1"/>
  <c r="X76" i="2" s="1"/>
  <c r="X77" i="2" a="1"/>
  <c r="X77" i="2" s="1"/>
  <c r="X78" i="2" a="1"/>
  <c r="X78" i="2" s="1"/>
  <c r="X81" i="2" a="1"/>
  <c r="X81" i="2" s="1"/>
  <c r="X82" i="2" a="1"/>
  <c r="X82" i="2" s="1"/>
  <c r="X83" i="2" a="1"/>
  <c r="X83" i="2" s="1"/>
  <c r="X84" i="2" a="1"/>
  <c r="X84" i="2" s="1"/>
  <c r="X87" i="2" a="1"/>
  <c r="X87" i="2" s="1"/>
  <c r="X88" i="2" a="1"/>
  <c r="X88" i="2" s="1"/>
  <c r="X89" i="2" a="1"/>
  <c r="X89" i="2" s="1"/>
  <c r="X90" i="2" a="1"/>
  <c r="X90" i="2" s="1"/>
  <c r="X4" i="2" a="1"/>
  <c r="X4" i="2" s="1"/>
  <c r="X3" i="2" a="1"/>
  <c r="X3" i="2" s="1"/>
  <c r="W1" i="2"/>
  <c r="V1" i="2"/>
  <c r="U1" i="2"/>
  <c r="T1" i="2"/>
  <c r="S1" i="2"/>
  <c r="A3" i="2"/>
  <c r="E1" i="14" l="1"/>
  <c r="S105" i="8" a="1"/>
  <c r="S105" i="8" s="1"/>
  <c r="T105" i="8" s="1" a="1"/>
  <c r="T105" i="8" s="1"/>
  <c r="S98" i="8" a="1"/>
  <c r="S98" i="8" s="1"/>
  <c r="S91" i="8" a="1"/>
  <c r="S91" i="8" s="1"/>
  <c r="T91" i="8" s="1" a="1"/>
  <c r="T91" i="8" s="1"/>
  <c r="S84" i="8" a="1"/>
  <c r="S84" i="8" s="1"/>
  <c r="T84" i="8" s="1" a="1"/>
  <c r="T84" i="8" s="1"/>
  <c r="S77" i="8" a="1"/>
  <c r="S77" i="8" s="1"/>
  <c r="S70" i="8" a="1"/>
  <c r="S70" i="8" s="1"/>
  <c r="S63" i="8" a="1"/>
  <c r="S63" i="8" s="1"/>
  <c r="S56" i="8" a="1"/>
  <c r="S56" i="8" s="1"/>
  <c r="T56" i="8" s="1" a="1"/>
  <c r="T56" i="8" s="1"/>
  <c r="S49" i="8" a="1"/>
  <c r="S49" i="8" s="1"/>
  <c r="T49" i="8" s="1" a="1"/>
  <c r="T49" i="8" s="1"/>
  <c r="S42" i="8" a="1"/>
  <c r="S42" i="8" s="1"/>
  <c r="T42" i="8" s="1" a="1"/>
  <c r="T42" i="8" s="1"/>
  <c r="S35" i="8" a="1"/>
  <c r="S35" i="8" s="1"/>
  <c r="T35" i="8" s="1" a="1"/>
  <c r="T35" i="8" s="1"/>
  <c r="S28" i="8" a="1"/>
  <c r="S28" i="8" s="1"/>
  <c r="S21" i="8" a="1"/>
  <c r="S21" i="8" s="1"/>
  <c r="T21" i="8" s="1" a="1"/>
  <c r="T21" i="8" s="1"/>
  <c r="S14" i="8" a="1"/>
  <c r="S14" i="8" s="1"/>
  <c r="S7" i="8" a="1"/>
  <c r="S7" i="8" s="1"/>
  <c r="R28" i="13" a="1"/>
  <c r="R28" i="13" s="1"/>
  <c r="S28" i="13" s="1" a="1"/>
  <c r="S28" i="13" s="1"/>
  <c r="R35" i="13" a="1"/>
  <c r="R35" i="13" s="1"/>
  <c r="S35" i="13" s="1" a="1"/>
  <c r="S35" i="13" s="1"/>
  <c r="T35" i="13" s="1" a="1"/>
  <c r="T35" i="13" s="1"/>
  <c r="U35" i="13" s="1" a="1"/>
  <c r="U35" i="13" s="1"/>
  <c r="R18" i="13" a="1"/>
  <c r="R18" i="13" s="1"/>
  <c r="S18" i="13" s="1" a="1"/>
  <c r="S18" i="13" s="1"/>
  <c r="T18" i="13" s="1" a="1"/>
  <c r="T18" i="13" s="1"/>
  <c r="R63" i="13" a="1"/>
  <c r="R63" i="13" s="1"/>
  <c r="S63" i="13" s="1" a="1"/>
  <c r="S63" i="13" s="1"/>
  <c r="T63" i="13" s="1" a="1"/>
  <c r="T63" i="13" s="1"/>
  <c r="U63" i="13" s="1" a="1"/>
  <c r="U63" i="13" s="1"/>
  <c r="R24" i="13" a="1"/>
  <c r="R24" i="13" s="1"/>
  <c r="S24" i="13" s="1" a="1"/>
  <c r="S24" i="13" s="1"/>
  <c r="T24" i="13" s="1" a="1"/>
  <c r="T24" i="13" s="1"/>
  <c r="R19" i="13" a="1"/>
  <c r="R19" i="13" s="1"/>
  <c r="S19" i="13" s="1" a="1"/>
  <c r="S19" i="13" s="1"/>
  <c r="T19" i="13" s="1" a="1"/>
  <c r="T19" i="13" s="1"/>
  <c r="U19" i="13" s="1" a="1"/>
  <c r="U19" i="13" s="1"/>
  <c r="R30" i="13" a="1"/>
  <c r="R30" i="13" s="1"/>
  <c r="S30" i="13" s="1" a="1"/>
  <c r="S30" i="13" s="1"/>
  <c r="T30" i="13" s="1" a="1"/>
  <c r="T30" i="13" s="1"/>
  <c r="U30" i="13" s="1" a="1"/>
  <c r="U30" i="13" s="1"/>
  <c r="R8" i="13" a="1"/>
  <c r="R8" i="13" s="1"/>
  <c r="S8" i="13" s="1" a="1"/>
  <c r="S8" i="13" s="1"/>
  <c r="T8" i="13" s="1" a="1"/>
  <c r="T8" i="13" s="1"/>
  <c r="R3" i="13" a="1"/>
  <c r="R3" i="13" s="1"/>
  <c r="S3" i="13" s="1" a="1"/>
  <c r="S3" i="13" s="1"/>
  <c r="T3" i="13" s="1" a="1"/>
  <c r="T3" i="13" s="1"/>
  <c r="R14" i="13" a="1"/>
  <c r="R14" i="13" s="1"/>
  <c r="R44" i="13" a="1"/>
  <c r="R44" i="13" s="1"/>
  <c r="S44" i="13" s="1" a="1"/>
  <c r="S44" i="13" s="1"/>
  <c r="R20" i="13" a="1"/>
  <c r="R20" i="13" s="1"/>
  <c r="S20" i="13" s="1" a="1"/>
  <c r="S20" i="13" s="1"/>
  <c r="T20" i="13" s="1" a="1"/>
  <c r="T20" i="13" s="1"/>
  <c r="R4" i="13" a="1"/>
  <c r="R4" i="13" s="1"/>
  <c r="S4" i="13" s="1" a="1"/>
  <c r="S4" i="13" s="1"/>
  <c r="R10" i="13" a="1"/>
  <c r="R10" i="13" s="1"/>
  <c r="S10" i="13" s="1" a="1"/>
  <c r="S10" i="13" s="1"/>
  <c r="T10" i="13" s="1" a="1"/>
  <c r="T10" i="13" s="1"/>
  <c r="R40" i="13" a="1"/>
  <c r="R40" i="13" s="1"/>
  <c r="R45" i="13" a="1"/>
  <c r="R45" i="13" s="1"/>
  <c r="S45" i="13" s="1" a="1"/>
  <c r="S45" i="13" s="1"/>
  <c r="T45" i="13" s="1" a="1"/>
  <c r="T45" i="13" s="1"/>
  <c r="R68" i="13" a="1"/>
  <c r="R68" i="13" s="1"/>
  <c r="S68" i="13" s="1" a="1"/>
  <c r="S68" i="13" s="1"/>
  <c r="T68" i="13" s="1" a="1"/>
  <c r="T68" i="13" s="1"/>
  <c r="R58" i="13" a="1"/>
  <c r="R58" i="13" s="1"/>
  <c r="R69" i="13" a="1"/>
  <c r="R69" i="13" s="1"/>
  <c r="S69" i="13" s="1" a="1"/>
  <c r="S69" i="13" s="1"/>
  <c r="R9" i="13" a="1"/>
  <c r="R9" i="13" s="1"/>
  <c r="S9" i="13" s="1" a="1"/>
  <c r="S9" i="13" s="1"/>
  <c r="R25" i="13" a="1"/>
  <c r="R25" i="13" s="1"/>
  <c r="S25" i="13" s="1" a="1"/>
  <c r="S25" i="13" s="1"/>
  <c r="R53" i="13" a="1"/>
  <c r="R53" i="13" s="1"/>
  <c r="S53" i="13" s="1" a="1"/>
  <c r="S53" i="13" s="1"/>
  <c r="T53" i="13" s="1" a="1"/>
  <c r="T53" i="13" s="1"/>
  <c r="U53" i="13" s="1" a="1"/>
  <c r="U53" i="13" s="1"/>
  <c r="R48" i="13" a="1"/>
  <c r="R48" i="13" s="1"/>
  <c r="S48" i="13" s="1" a="1"/>
  <c r="S48" i="13" s="1"/>
  <c r="T48" i="13" s="1" a="1"/>
  <c r="T48" i="13" s="1"/>
  <c r="U48" i="13" s="1" a="1"/>
  <c r="U48" i="13" s="1"/>
  <c r="R64" i="13" a="1"/>
  <c r="R64" i="13" s="1"/>
  <c r="S64" i="13" s="1" a="1"/>
  <c r="S64" i="13" s="1"/>
  <c r="R70" i="13" a="1"/>
  <c r="R70" i="13" s="1"/>
  <c r="R15" i="13" a="1"/>
  <c r="R15" i="13" s="1"/>
  <c r="R43" i="13" a="1"/>
  <c r="R43" i="13" s="1"/>
  <c r="S43" i="13" s="1" a="1"/>
  <c r="S43" i="13" s="1"/>
  <c r="T43" i="13" s="1" a="1"/>
  <c r="T43" i="13" s="1"/>
  <c r="U43" i="13" s="1" a="1"/>
  <c r="U43" i="13" s="1"/>
  <c r="R59" i="13" a="1"/>
  <c r="R59" i="13" s="1"/>
  <c r="S59" i="13" s="1" a="1"/>
  <c r="S59" i="13" s="1"/>
  <c r="R38" i="13" a="1"/>
  <c r="R38" i="13" s="1"/>
  <c r="S38" i="13" s="1" a="1"/>
  <c r="S38" i="13" s="1"/>
  <c r="T38" i="13" s="1" a="1"/>
  <c r="T38" i="13" s="1"/>
  <c r="R54" i="13" a="1"/>
  <c r="R54" i="13" s="1"/>
  <c r="R73" i="13" a="1"/>
  <c r="R73" i="13" s="1"/>
  <c r="S73" i="13" s="1" a="1"/>
  <c r="S73" i="13" s="1"/>
  <c r="T73" i="13" s="1" a="1"/>
  <c r="T73" i="13" s="1"/>
  <c r="R5" i="13" a="1"/>
  <c r="R5" i="13" s="1"/>
  <c r="S5" i="13" s="1" a="1"/>
  <c r="S5" i="13" s="1"/>
  <c r="T5" i="13" s="1" a="1"/>
  <c r="T5" i="13" s="1"/>
  <c r="R33" i="13" a="1"/>
  <c r="R33" i="13" s="1"/>
  <c r="S33" i="13" s="1" a="1"/>
  <c r="S33" i="13" s="1"/>
  <c r="T33" i="13" s="1" a="1"/>
  <c r="T33" i="13" s="1"/>
  <c r="R49" i="13" a="1"/>
  <c r="R49" i="13" s="1"/>
  <c r="S49" i="13" s="1" a="1"/>
  <c r="S49" i="13" s="1"/>
  <c r="T49" i="13" s="1" a="1"/>
  <c r="T49" i="13" s="1"/>
  <c r="R65" i="13" a="1"/>
  <c r="R65" i="13" s="1"/>
  <c r="S65" i="13" s="1" a="1"/>
  <c r="S65" i="13" s="1"/>
  <c r="R60" i="13" a="1"/>
  <c r="R60" i="13" s="1"/>
  <c r="S60" i="13" s="1" a="1"/>
  <c r="S60" i="13" s="1"/>
  <c r="R74" i="13" a="1"/>
  <c r="R74" i="13" s="1"/>
  <c r="R23" i="13" a="1"/>
  <c r="R23" i="13" s="1"/>
  <c r="S23" i="13" s="1" a="1"/>
  <c r="S23" i="13" s="1"/>
  <c r="R39" i="13" a="1"/>
  <c r="R39" i="13" s="1"/>
  <c r="R55" i="13" a="1"/>
  <c r="R55" i="13" s="1"/>
  <c r="S55" i="13" s="1" a="1"/>
  <c r="S55" i="13" s="1"/>
  <c r="R34" i="13" a="1"/>
  <c r="R34" i="13" s="1"/>
  <c r="S34" i="13" s="1" a="1"/>
  <c r="S34" i="13" s="1"/>
  <c r="R50" i="13" a="1"/>
  <c r="R50" i="13" s="1"/>
  <c r="S50" i="13" s="1" a="1"/>
  <c r="S50" i="13" s="1"/>
  <c r="R75" i="13" a="1"/>
  <c r="R75" i="13" s="1"/>
  <c r="S75" i="13" s="1" a="1"/>
  <c r="S75" i="13" s="1"/>
  <c r="R13" i="13" a="1"/>
  <c r="R13" i="13" s="1"/>
  <c r="S13" i="13" s="1" a="1"/>
  <c r="S13" i="13" s="1"/>
  <c r="R29" i="13" a="1"/>
  <c r="R29" i="13" s="1"/>
  <c r="S29" i="13" s="1" a="1"/>
  <c r="S29" i="13" s="1"/>
  <c r="A4" i="2"/>
  <c r="U105" i="8" l="1" a="1"/>
  <c r="U105" i="8" s="1"/>
  <c r="T98" i="8" a="1"/>
  <c r="T98" i="8" s="1"/>
  <c r="U91" i="8" a="1"/>
  <c r="U91" i="8" s="1"/>
  <c r="V91" i="8" s="1" a="1"/>
  <c r="V91" i="8" s="1"/>
  <c r="W91" i="8" s="1" a="1"/>
  <c r="W91" i="8" s="1"/>
  <c r="T77" i="8" a="1"/>
  <c r="T77" i="8" s="1"/>
  <c r="U84" i="8" a="1"/>
  <c r="U84" i="8" s="1"/>
  <c r="V84" i="8" s="1" a="1"/>
  <c r="V84" i="8" s="1"/>
  <c r="W84" i="8" s="1" a="1"/>
  <c r="W84" i="8" s="1"/>
  <c r="T70" i="8" a="1"/>
  <c r="T70" i="8" s="1"/>
  <c r="T63" i="8" a="1"/>
  <c r="T63" i="8" s="1"/>
  <c r="U63" i="8" s="1" a="1"/>
  <c r="U63" i="8" s="1"/>
  <c r="U49" i="8" a="1"/>
  <c r="U49" i="8" s="1"/>
  <c r="U56" i="8" a="1"/>
  <c r="U56" i="8" s="1"/>
  <c r="U42" i="8" a="1"/>
  <c r="U42" i="8" s="1"/>
  <c r="U35" i="8" a="1"/>
  <c r="U35" i="8" s="1"/>
  <c r="V35" i="8" s="1" a="1"/>
  <c r="V35" i="8" s="1"/>
  <c r="W35" i="8" s="1" a="1"/>
  <c r="W35" i="8" s="1"/>
  <c r="T28" i="8" a="1"/>
  <c r="T28" i="8" s="1"/>
  <c r="U28" i="8" s="1" a="1"/>
  <c r="U28" i="8" s="1"/>
  <c r="U21" i="8" a="1"/>
  <c r="U21" i="8" s="1"/>
  <c r="V21" i="8" s="1" a="1"/>
  <c r="V21" i="8" s="1"/>
  <c r="W21" i="8" s="1" a="1"/>
  <c r="W21" i="8" s="1"/>
  <c r="T14" i="8" a="1"/>
  <c r="T14" i="8" s="1"/>
  <c r="U14" i="8" s="1" a="1"/>
  <c r="U14" i="8" s="1"/>
  <c r="V14" i="8" s="1" a="1"/>
  <c r="V14" i="8" s="1"/>
  <c r="T7" i="8" a="1"/>
  <c r="T7" i="8" s="1"/>
  <c r="U7" i="8" s="1" a="1"/>
  <c r="U7" i="8" s="1"/>
  <c r="S58" i="13" a="1"/>
  <c r="S58" i="13" s="1"/>
  <c r="T58" i="13" s="1" a="1"/>
  <c r="T58" i="13" s="1"/>
  <c r="U58" i="13" s="1" a="1"/>
  <c r="U58" i="13" s="1"/>
  <c r="V58" i="13" s="1" a="1"/>
  <c r="V58" i="13" s="1"/>
  <c r="S15" i="13" a="1"/>
  <c r="S15" i="13" s="1"/>
  <c r="T15" i="13" s="1" a="1"/>
  <c r="T15" i="13" s="1"/>
  <c r="S14" i="13" a="1"/>
  <c r="S14" i="13" s="1"/>
  <c r="T14" i="13" s="1" a="1"/>
  <c r="T14" i="13" s="1"/>
  <c r="U14" i="13" s="1" a="1"/>
  <c r="U14" i="13" s="1"/>
  <c r="V14" i="13" s="1" a="1"/>
  <c r="V14" i="13" s="1"/>
  <c r="S70" i="13" a="1"/>
  <c r="S70" i="13" s="1"/>
  <c r="U3" i="13" a="1"/>
  <c r="U3" i="13" s="1"/>
  <c r="V3" i="13" s="1" a="1"/>
  <c r="V3" i="13" s="1"/>
  <c r="V63" i="13" a="1"/>
  <c r="V63" i="13" s="1"/>
  <c r="V19" i="13" a="1"/>
  <c r="V19" i="13" s="1"/>
  <c r="S40" i="13" a="1"/>
  <c r="S40" i="13" s="1"/>
  <c r="V53" i="13" a="1"/>
  <c r="V53" i="13" s="1"/>
  <c r="T9" i="13" a="1"/>
  <c r="T9" i="13" s="1"/>
  <c r="U20" i="13" a="1"/>
  <c r="U20" i="13" s="1"/>
  <c r="V20" i="13" s="1" a="1"/>
  <c r="V20" i="13" s="1"/>
  <c r="S54" i="13" a="1"/>
  <c r="S54" i="13" s="1"/>
  <c r="U33" i="13" a="1"/>
  <c r="U33" i="13" s="1"/>
  <c r="V33" i="13" s="1" a="1"/>
  <c r="V33" i="13" s="1"/>
  <c r="U24" i="13" a="1"/>
  <c r="U24" i="13" s="1"/>
  <c r="V24" i="13" s="1" a="1"/>
  <c r="V24" i="13" s="1"/>
  <c r="T28" i="13" a="1"/>
  <c r="T28" i="13" s="1"/>
  <c r="U28" i="13" s="1" a="1"/>
  <c r="U28" i="13" s="1"/>
  <c r="T69" i="13" a="1"/>
  <c r="T69" i="13" s="1"/>
  <c r="U69" i="13" s="1" a="1"/>
  <c r="U69" i="13" s="1"/>
  <c r="T59" i="13" a="1"/>
  <c r="T59" i="13" s="1"/>
  <c r="U59" i="13" s="1" a="1"/>
  <c r="U59" i="13" s="1"/>
  <c r="T25" i="13" a="1"/>
  <c r="T25" i="13" s="1"/>
  <c r="U68" i="13" a="1"/>
  <c r="U68" i="13" s="1"/>
  <c r="V68" i="13" s="1" a="1"/>
  <c r="V68" i="13" s="1"/>
  <c r="U18" i="13" a="1"/>
  <c r="U18" i="13" s="1"/>
  <c r="V18" i="13" s="1" a="1"/>
  <c r="V18" i="13" s="1"/>
  <c r="T29" i="13" a="1"/>
  <c r="T29" i="13" s="1"/>
  <c r="U10" i="13" a="1"/>
  <c r="U10" i="13" s="1"/>
  <c r="V10" i="13" s="1" a="1"/>
  <c r="V10" i="13" s="1"/>
  <c r="T55" i="13" a="1"/>
  <c r="T55" i="13" s="1"/>
  <c r="U55" i="13" s="1" a="1"/>
  <c r="U55" i="13" s="1"/>
  <c r="V55" i="13" s="1" a="1"/>
  <c r="V55" i="13" s="1"/>
  <c r="T13" i="13" a="1"/>
  <c r="T13" i="13" s="1"/>
  <c r="U13" i="13" s="1" a="1"/>
  <c r="U13" i="13" s="1"/>
  <c r="T50" i="13" a="1"/>
  <c r="T50" i="13" s="1"/>
  <c r="U50" i="13" s="1" a="1"/>
  <c r="U50" i="13" s="1"/>
  <c r="V50" i="13" s="1" a="1"/>
  <c r="V50" i="13" s="1"/>
  <c r="T4" i="13" a="1"/>
  <c r="T4" i="13" s="1"/>
  <c r="U4" i="13" s="1" a="1"/>
  <c r="U4" i="13" s="1"/>
  <c r="V4" i="13" s="1" a="1"/>
  <c r="V4" i="13" s="1"/>
  <c r="T44" i="13" a="1"/>
  <c r="T44" i="13" s="1"/>
  <c r="U5" i="13" a="1"/>
  <c r="U5" i="13" s="1"/>
  <c r="V5" i="13" s="1" a="1"/>
  <c r="V5" i="13" s="1"/>
  <c r="V30" i="13" a="1"/>
  <c r="V30" i="13" s="1"/>
  <c r="V35" i="13" a="1"/>
  <c r="V35" i="13" s="1"/>
  <c r="U49" i="13" a="1"/>
  <c r="U49" i="13" s="1"/>
  <c r="V49" i="13" s="1" a="1"/>
  <c r="V49" i="13" s="1"/>
  <c r="S74" i="13" a="1"/>
  <c r="S74" i="13" s="1"/>
  <c r="T74" i="13" s="1" a="1"/>
  <c r="T74" i="13" s="1"/>
  <c r="U74" i="13" s="1" a="1"/>
  <c r="U74" i="13" s="1"/>
  <c r="S39" i="13" a="1"/>
  <c r="S39" i="13" s="1"/>
  <c r="T64" i="13" a="1"/>
  <c r="T64" i="13" s="1"/>
  <c r="U64" i="13" s="1" a="1"/>
  <c r="U64" i="13" s="1"/>
  <c r="V64" i="13" s="1" a="1"/>
  <c r="V64" i="13" s="1"/>
  <c r="U8" i="13" a="1"/>
  <c r="U8" i="13" s="1"/>
  <c r="V8" i="13" s="1" a="1"/>
  <c r="V8" i="13" s="1"/>
  <c r="U38" i="13" a="1"/>
  <c r="U38" i="13" s="1"/>
  <c r="V38" i="13" s="1" a="1"/>
  <c r="V38" i="13" s="1"/>
  <c r="V48" i="13" a="1"/>
  <c r="V48" i="13" s="1"/>
  <c r="T60" i="13" a="1"/>
  <c r="T60" i="13" s="1"/>
  <c r="U60" i="13" s="1" a="1"/>
  <c r="U60" i="13" s="1"/>
  <c r="U45" i="13" a="1"/>
  <c r="U45" i="13" s="1"/>
  <c r="V45" i="13" s="1" a="1"/>
  <c r="V45" i="13" s="1"/>
  <c r="T75" i="13" a="1"/>
  <c r="T75" i="13" s="1"/>
  <c r="U75" i="13" s="1" a="1"/>
  <c r="U75" i="13" s="1"/>
  <c r="T34" i="13" a="1"/>
  <c r="T34" i="13" s="1"/>
  <c r="U34" i="13" s="1" a="1"/>
  <c r="U34" i="13" s="1"/>
  <c r="V34" i="13" s="1" a="1"/>
  <c r="V34" i="13" s="1"/>
  <c r="T23" i="13" a="1"/>
  <c r="T23" i="13" s="1"/>
  <c r="U73" i="13" a="1"/>
  <c r="U73" i="13" s="1"/>
  <c r="V73" i="13" s="1" a="1"/>
  <c r="V73" i="13" s="1"/>
  <c r="V43" i="13" a="1"/>
  <c r="V43" i="13" s="1"/>
  <c r="T65" i="13" a="1"/>
  <c r="T65" i="13" s="1"/>
  <c r="U65" i="13" s="1" a="1"/>
  <c r="U65" i="13" s="1"/>
  <c r="A5" i="2"/>
  <c r="V105" i="8" l="1" a="1"/>
  <c r="V105" i="8" s="1"/>
  <c r="W105" i="8" s="1" a="1"/>
  <c r="W105" i="8" s="1"/>
  <c r="U98" i="8" a="1"/>
  <c r="U98" i="8" s="1"/>
  <c r="U77" i="8" a="1"/>
  <c r="U77" i="8" s="1"/>
  <c r="U70" i="8" a="1"/>
  <c r="U70" i="8" s="1"/>
  <c r="V70" i="8" s="1" a="1"/>
  <c r="V70" i="8" s="1"/>
  <c r="W70" i="8" s="1" a="1"/>
  <c r="W70" i="8" s="1"/>
  <c r="V63" i="8" a="1"/>
  <c r="V63" i="8" s="1"/>
  <c r="W63" i="8" s="1" a="1"/>
  <c r="W63" i="8" s="1"/>
  <c r="V49" i="8" a="1"/>
  <c r="V49" i="8" s="1"/>
  <c r="W49" i="8" s="1" a="1"/>
  <c r="W49" i="8" s="1"/>
  <c r="V56" i="8" a="1"/>
  <c r="V56" i="8" s="1"/>
  <c r="W56" i="8" s="1" a="1"/>
  <c r="W56" i="8" s="1"/>
  <c r="V42" i="8" a="1"/>
  <c r="V42" i="8" s="1"/>
  <c r="W42" i="8" s="1" a="1"/>
  <c r="W42" i="8" s="1"/>
  <c r="V28" i="8" a="1"/>
  <c r="V28" i="8" s="1"/>
  <c r="W28" i="8" s="1" a="1"/>
  <c r="W28" i="8" s="1"/>
  <c r="V7" i="8" a="1"/>
  <c r="V7" i="8" s="1"/>
  <c r="W7" i="8" s="1" a="1"/>
  <c r="W7" i="8" s="1"/>
  <c r="W14" i="8" a="1"/>
  <c r="W14" i="8" s="1"/>
  <c r="U15" i="13" a="1"/>
  <c r="U15" i="13" s="1"/>
  <c r="V15" i="13" s="1" a="1"/>
  <c r="V15" i="13" s="1"/>
  <c r="T70" i="13" a="1"/>
  <c r="T70" i="13" s="1"/>
  <c r="V59" i="13" a="1"/>
  <c r="V59" i="13" s="1"/>
  <c r="U44" i="13" a="1"/>
  <c r="U44" i="13" s="1"/>
  <c r="V44" i="13" s="1" a="1"/>
  <c r="V44" i="13" s="1"/>
  <c r="U29" i="13" a="1"/>
  <c r="U29" i="13" s="1"/>
  <c r="V29" i="13" s="1" a="1"/>
  <c r="V29" i="13" s="1"/>
  <c r="T39" i="13" a="1"/>
  <c r="T39" i="13" s="1"/>
  <c r="U39" i="13" s="1" a="1"/>
  <c r="U39" i="13" s="1"/>
  <c r="V13" i="13" a="1"/>
  <c r="V13" i="13" s="1"/>
  <c r="T40" i="13" a="1"/>
  <c r="T40" i="13" s="1"/>
  <c r="V28" i="13" a="1"/>
  <c r="V28" i="13" s="1"/>
  <c r="V74" i="13" a="1"/>
  <c r="V74" i="13" s="1"/>
  <c r="V65" i="13" a="1"/>
  <c r="V65" i="13" s="1"/>
  <c r="U23" i="13" a="1"/>
  <c r="U23" i="13" s="1"/>
  <c r="V23" i="13" s="1" a="1"/>
  <c r="V23" i="13" s="1"/>
  <c r="V69" i="13" a="1"/>
  <c r="V69" i="13" s="1"/>
  <c r="V75" i="13" a="1"/>
  <c r="V75" i="13" s="1"/>
  <c r="T54" i="13" a="1"/>
  <c r="T54" i="13" s="1"/>
  <c r="U54" i="13" s="1" a="1"/>
  <c r="U54" i="13" s="1"/>
  <c r="V54" i="13" s="1" a="1"/>
  <c r="V54" i="13" s="1"/>
  <c r="U9" i="13" a="1"/>
  <c r="U9" i="13" s="1"/>
  <c r="V9" i="13" s="1" a="1"/>
  <c r="V9" i="13" s="1"/>
  <c r="V60" i="13" a="1"/>
  <c r="V60" i="13" s="1"/>
  <c r="U25" i="13" a="1"/>
  <c r="U25" i="13" s="1"/>
  <c r="V25" i="13" s="1" a="1"/>
  <c r="V25" i="13" s="1"/>
  <c r="A6" i="2"/>
  <c r="V98" i="8" l="1" a="1"/>
  <c r="V98" i="8" s="1"/>
  <c r="W98" i="8" s="1" a="1"/>
  <c r="W98" i="8" s="1"/>
  <c r="V77" i="8" a="1"/>
  <c r="V77" i="8" s="1"/>
  <c r="W77" i="8" s="1" a="1"/>
  <c r="W77" i="8" s="1"/>
  <c r="U70" i="13" a="1"/>
  <c r="U70" i="13" s="1"/>
  <c r="V70" i="13" s="1" a="1"/>
  <c r="V70" i="13" s="1"/>
  <c r="U40" i="13" a="1"/>
  <c r="U40" i="13" s="1"/>
  <c r="V40" i="13" s="1" a="1"/>
  <c r="V40" i="13" s="1"/>
  <c r="V39" i="13" a="1"/>
  <c r="V39" i="13" s="1"/>
  <c r="A7" i="2"/>
  <c r="A8" i="2" l="1"/>
  <c r="A9" i="2" l="1"/>
  <c r="A10" i="2" l="1"/>
  <c r="A11" i="2" l="1"/>
  <c r="A12" i="2" l="1"/>
  <c r="A13" i="2" l="1"/>
  <c r="A14" i="2" l="1"/>
  <c r="A15" i="2" l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R15" i="9" l="1" a="1"/>
  <c r="R15" i="9" s="1"/>
  <c r="S15" i="9" s="1" a="1"/>
  <c r="S15" i="9" s="1"/>
  <c r="T15" i="9" s="1" a="1"/>
  <c r="T15" i="9" s="1"/>
  <c r="R75" i="9" a="1"/>
  <c r="R75" i="9" s="1"/>
  <c r="S75" i="9" s="1" a="1"/>
  <c r="S75" i="9" s="1"/>
  <c r="R65" i="9" a="1"/>
  <c r="R65" i="9" s="1"/>
  <c r="S65" i="9" s="1" a="1"/>
  <c r="S65" i="9" s="1"/>
  <c r="R64" i="9" a="1"/>
  <c r="R64" i="9" s="1"/>
  <c r="S64" i="9" s="1" a="1"/>
  <c r="S64" i="9" s="1"/>
  <c r="T64" i="9" s="1" a="1"/>
  <c r="T64" i="9" s="1"/>
  <c r="U64" i="9" s="1" a="1"/>
  <c r="U64" i="9" s="1"/>
  <c r="R53" i="9" a="1"/>
  <c r="R53" i="9" s="1"/>
  <c r="S53" i="9" s="1" a="1"/>
  <c r="S53" i="9" s="1"/>
  <c r="R50" i="9" a="1"/>
  <c r="R50" i="9" s="1"/>
  <c r="S50" i="9" s="1" a="1"/>
  <c r="S50" i="9" s="1"/>
  <c r="T50" i="9" s="1" a="1"/>
  <c r="T50" i="9" s="1"/>
  <c r="U50" i="9" s="1" a="1"/>
  <c r="U50" i="9" s="1"/>
  <c r="R73" i="9" a="1"/>
  <c r="R73" i="9" s="1"/>
  <c r="S73" i="9" s="1" a="1"/>
  <c r="S73" i="9" s="1"/>
  <c r="T73" i="9" s="1" a="1"/>
  <c r="T73" i="9" s="1"/>
  <c r="U73" i="9" s="1" a="1"/>
  <c r="U73" i="9" s="1"/>
  <c r="V73" i="9" s="1" a="1"/>
  <c r="V73" i="9" s="1"/>
  <c r="R70" i="9" a="1"/>
  <c r="R70" i="9" s="1"/>
  <c r="S70" i="9" s="1" a="1"/>
  <c r="S70" i="9" s="1"/>
  <c r="R29" i="9" a="1"/>
  <c r="R29" i="9" s="1"/>
  <c r="S29" i="9" s="1" a="1"/>
  <c r="S29" i="9" s="1"/>
  <c r="R48" i="9" a="1"/>
  <c r="R48" i="9" s="1"/>
  <c r="S48" i="9" s="1" a="1"/>
  <c r="S48" i="9" s="1"/>
  <c r="R45" i="9" a="1"/>
  <c r="R45" i="9" s="1"/>
  <c r="S45" i="9" s="1" a="1"/>
  <c r="S45" i="9" s="1"/>
  <c r="T45" i="9" s="1" a="1"/>
  <c r="T45" i="9" s="1"/>
  <c r="U45" i="9" s="1" a="1"/>
  <c r="U45" i="9" s="1"/>
  <c r="V45" i="9" s="1" a="1"/>
  <c r="V45" i="9" s="1"/>
  <c r="R55" i="9" a="1"/>
  <c r="R55" i="9" s="1"/>
  <c r="S55" i="9" s="1" a="1"/>
  <c r="S55" i="9" s="1"/>
  <c r="T55" i="9" s="1" a="1"/>
  <c r="T55" i="9" s="1"/>
  <c r="U55" i="9" s="1" a="1"/>
  <c r="U55" i="9" s="1"/>
  <c r="R10" i="9" a="1"/>
  <c r="R10" i="9" s="1"/>
  <c r="S10" i="9" s="1" a="1"/>
  <c r="S10" i="9" s="1"/>
  <c r="R19" i="9" a="1"/>
  <c r="R19" i="9" s="1"/>
  <c r="S19" i="9" s="1" a="1"/>
  <c r="S19" i="9" s="1"/>
  <c r="T19" i="9" s="1" a="1"/>
  <c r="T19" i="9" s="1"/>
  <c r="R74" i="9" a="1"/>
  <c r="R74" i="9" s="1"/>
  <c r="S74" i="9" s="1" a="1"/>
  <c r="S74" i="9" s="1"/>
  <c r="R40" i="9" a="1"/>
  <c r="R40" i="9" s="1"/>
  <c r="R28" i="9" a="1"/>
  <c r="R28" i="9" s="1"/>
  <c r="S28" i="9" s="1" a="1"/>
  <c r="S28" i="9" s="1"/>
  <c r="T28" i="9" s="1" a="1"/>
  <c r="T28" i="9" s="1"/>
  <c r="R69" i="9" a="1"/>
  <c r="R69" i="9" s="1"/>
  <c r="S69" i="9" s="1" a="1"/>
  <c r="S69" i="9" s="1"/>
  <c r="R68" i="9" a="1"/>
  <c r="R68" i="9" s="1"/>
  <c r="S68" i="9" s="1" a="1"/>
  <c r="S68" i="9" s="1"/>
  <c r="T68" i="9" s="1" a="1"/>
  <c r="T68" i="9" s="1"/>
  <c r="R24" i="9" a="1"/>
  <c r="R24" i="9" s="1"/>
  <c r="S24" i="9" s="1" a="1"/>
  <c r="S24" i="9" s="1"/>
  <c r="R54" i="9" a="1"/>
  <c r="R54" i="9" s="1"/>
  <c r="S54" i="9" s="1" a="1"/>
  <c r="S54" i="9" s="1"/>
  <c r="R30" i="9" a="1"/>
  <c r="R30" i="9" s="1"/>
  <c r="R14" i="9" a="1"/>
  <c r="R14" i="9" s="1"/>
  <c r="S14" i="9" s="1" a="1"/>
  <c r="S14" i="9" s="1"/>
  <c r="R3" i="9" a="1"/>
  <c r="R3" i="9" s="1"/>
  <c r="S3" i="9" s="1" a="1"/>
  <c r="S3" i="9" s="1"/>
  <c r="R23" i="9" a="1"/>
  <c r="R23" i="9" s="1"/>
  <c r="S23" i="9" s="1" a="1"/>
  <c r="S23" i="9" s="1"/>
  <c r="R20" i="9" a="1"/>
  <c r="R20" i="9" s="1"/>
  <c r="S20" i="9" s="1" a="1"/>
  <c r="S20" i="9" s="1"/>
  <c r="R25" i="9" a="1"/>
  <c r="R25" i="9" s="1"/>
  <c r="S25" i="9" s="1" a="1"/>
  <c r="S25" i="9" s="1"/>
  <c r="R58" i="9" a="1"/>
  <c r="R58" i="9" s="1"/>
  <c r="R9" i="9" a="1"/>
  <c r="R9" i="9" s="1"/>
  <c r="S9" i="9" s="1" a="1"/>
  <c r="S9" i="9" s="1"/>
  <c r="R63" i="9" a="1"/>
  <c r="R63" i="9" s="1"/>
  <c r="S63" i="9" s="1" a="1"/>
  <c r="S63" i="9" s="1"/>
  <c r="R4" i="9" a="1"/>
  <c r="R4" i="9" s="1"/>
  <c r="S4" i="9" s="1" a="1"/>
  <c r="S4" i="9" s="1"/>
  <c r="R34" i="9" a="1"/>
  <c r="R34" i="9" s="1"/>
  <c r="R39" i="9" a="1"/>
  <c r="R39" i="9" s="1"/>
  <c r="S39" i="9" s="1" a="1"/>
  <c r="S39" i="9" s="1"/>
  <c r="T39" i="9" s="1" a="1"/>
  <c r="T39" i="9" s="1"/>
  <c r="R13" i="9" a="1"/>
  <c r="R13" i="9" s="1"/>
  <c r="S13" i="9" s="1" a="1"/>
  <c r="S13" i="9" s="1"/>
  <c r="R49" i="9" a="1"/>
  <c r="R49" i="9" s="1"/>
  <c r="S49" i="9" s="1" a="1"/>
  <c r="S49" i="9" s="1"/>
  <c r="R60" i="9" a="1"/>
  <c r="R60" i="9" s="1"/>
  <c r="S60" i="9" s="1" a="1"/>
  <c r="S60" i="9" s="1"/>
  <c r="R5" i="9" a="1"/>
  <c r="R5" i="9" s="1"/>
  <c r="S5" i="9" s="1" a="1"/>
  <c r="S5" i="9" s="1"/>
  <c r="R59" i="9" a="1"/>
  <c r="R59" i="9" s="1"/>
  <c r="R35" i="9" a="1"/>
  <c r="R35" i="9" s="1"/>
  <c r="S35" i="9" s="1" a="1"/>
  <c r="S35" i="9" s="1"/>
  <c r="T35" i="9" s="1" a="1"/>
  <c r="T35" i="9" s="1"/>
  <c r="R43" i="9" a="1"/>
  <c r="R43" i="9" s="1"/>
  <c r="R33" i="9" a="1"/>
  <c r="R33" i="9" s="1"/>
  <c r="S33" i="9" s="1" a="1"/>
  <c r="S33" i="9" s="1"/>
  <c r="R38" i="9" a="1"/>
  <c r="R38" i="9" s="1"/>
  <c r="R44" i="9" a="1"/>
  <c r="R44" i="9" s="1"/>
  <c r="R8" i="9" a="1"/>
  <c r="R8" i="9" s="1"/>
  <c r="S8" i="9" s="1" a="1"/>
  <c r="S8" i="9" s="1"/>
  <c r="R18" i="9" a="1"/>
  <c r="R18" i="9" s="1"/>
  <c r="S18" i="9" s="1" a="1"/>
  <c r="S18" i="9" s="1"/>
  <c r="T18" i="9" s="1" a="1"/>
  <c r="T18" i="9" s="1"/>
  <c r="S69" i="8" a="1"/>
  <c r="S69" i="8" s="1"/>
  <c r="T69" i="8" s="1" a="1"/>
  <c r="T69" i="8" s="1"/>
  <c r="U69" i="8" s="1" a="1"/>
  <c r="U69" i="8" s="1"/>
  <c r="S66" i="8" a="1"/>
  <c r="S66" i="8" s="1"/>
  <c r="T66" i="8" s="1" a="1"/>
  <c r="T66" i="8" s="1"/>
  <c r="S87" i="8" a="1"/>
  <c r="S87" i="8" s="1"/>
  <c r="T87" i="8" s="1" a="1"/>
  <c r="T87" i="8" s="1"/>
  <c r="U87" i="8" s="1" a="1"/>
  <c r="U87" i="8" s="1"/>
  <c r="V87" i="8" s="1" a="1"/>
  <c r="V87" i="8" s="1"/>
  <c r="S34" i="8" a="1"/>
  <c r="S34" i="8" s="1"/>
  <c r="T34" i="8" s="1" a="1"/>
  <c r="T34" i="8" s="1"/>
  <c r="U34" i="8" s="1" a="1"/>
  <c r="U34" i="8" s="1"/>
  <c r="S53" i="8" a="1"/>
  <c r="S53" i="8" s="1"/>
  <c r="T53" i="8" s="1" a="1"/>
  <c r="T53" i="8" s="1"/>
  <c r="S88" i="8" a="1"/>
  <c r="S88" i="8" s="1"/>
  <c r="T88" i="8" s="1" a="1"/>
  <c r="T88" i="8" s="1"/>
  <c r="U88" i="8" s="1" a="1"/>
  <c r="U88" i="8" s="1"/>
  <c r="S83" i="8" a="1"/>
  <c r="S83" i="8" s="1"/>
  <c r="T83" i="8" s="1" a="1"/>
  <c r="T83" i="8" s="1"/>
  <c r="U83" i="8" s="1" a="1"/>
  <c r="U83" i="8" s="1"/>
  <c r="V83" i="8" s="1" a="1"/>
  <c r="V83" i="8" s="1"/>
  <c r="S20" i="8" a="1"/>
  <c r="S20" i="8" s="1"/>
  <c r="T20" i="8" s="1" a="1"/>
  <c r="T20" i="8" s="1"/>
  <c r="U20" i="8" s="1" a="1"/>
  <c r="U20" i="8" s="1"/>
  <c r="S89" i="8" a="1"/>
  <c r="S89" i="8" s="1"/>
  <c r="T89" i="8" s="1" a="1"/>
  <c r="T89" i="8" s="1"/>
  <c r="U89" i="8" s="1" a="1"/>
  <c r="U89" i="8" s="1"/>
  <c r="V89" i="8" s="1" a="1"/>
  <c r="V89" i="8" s="1"/>
  <c r="S61" i="8" a="1"/>
  <c r="S61" i="8" s="1"/>
  <c r="T61" i="8" s="1" a="1"/>
  <c r="T61" i="8" s="1"/>
  <c r="U61" i="8" s="1" a="1"/>
  <c r="U61" i="8" s="1"/>
  <c r="S38" i="8" a="1"/>
  <c r="S38" i="8" s="1"/>
  <c r="T38" i="8" s="1" a="1"/>
  <c r="T38" i="8" s="1"/>
  <c r="S102" i="8" a="1"/>
  <c r="S102" i="8" s="1"/>
  <c r="T102" i="8" s="1" a="1"/>
  <c r="T102" i="8" s="1"/>
  <c r="S19" i="8" a="1"/>
  <c r="S19" i="8" s="1"/>
  <c r="T19" i="8" s="1" a="1"/>
  <c r="T19" i="8" s="1"/>
  <c r="S74" i="8" a="1"/>
  <c r="S74" i="8" s="1"/>
  <c r="T74" i="8" s="1" a="1"/>
  <c r="T74" i="8" s="1"/>
  <c r="U74" i="8" s="1" a="1"/>
  <c r="U74" i="8" s="1"/>
  <c r="V74" i="8" s="1" a="1"/>
  <c r="V74" i="8" s="1"/>
  <c r="S104" i="8" a="1"/>
  <c r="S104" i="8" s="1"/>
  <c r="T104" i="8" s="1" a="1"/>
  <c r="T104" i="8" s="1"/>
  <c r="S32" i="8" a="1"/>
  <c r="S32" i="8" s="1"/>
  <c r="S46" i="8" a="1"/>
  <c r="S46" i="8" s="1"/>
  <c r="T46" i="8" s="1" a="1"/>
  <c r="T46" i="8" s="1"/>
  <c r="U46" i="8" s="1" a="1"/>
  <c r="U46" i="8" s="1"/>
  <c r="S101" i="8" a="1"/>
  <c r="S101" i="8" s="1"/>
  <c r="T101" i="8" s="1" a="1"/>
  <c r="T101" i="8" s="1"/>
  <c r="U101" i="8" s="1" a="1"/>
  <c r="U101" i="8" s="1"/>
  <c r="S103" i="8" a="1"/>
  <c r="S103" i="8" s="1"/>
  <c r="S48" i="8" a="1"/>
  <c r="S48" i="8" s="1"/>
  <c r="T48" i="8" s="1" a="1"/>
  <c r="T48" i="8" s="1"/>
  <c r="S76" i="8" a="1"/>
  <c r="S76" i="8" s="1"/>
  <c r="T76" i="8" s="1" a="1"/>
  <c r="T76" i="8" s="1"/>
  <c r="S33" i="8" a="1"/>
  <c r="S33" i="8" s="1"/>
  <c r="T33" i="8" s="1" a="1"/>
  <c r="T33" i="8" s="1"/>
  <c r="S90" i="8" a="1"/>
  <c r="S90" i="8" s="1"/>
  <c r="S82" i="8" a="1"/>
  <c r="S82" i="8" s="1"/>
  <c r="T82" i="8" s="1" a="1"/>
  <c r="T82" i="8" s="1"/>
  <c r="U82" i="8" s="1" a="1"/>
  <c r="U82" i="8" s="1"/>
  <c r="V82" i="8" s="1" a="1"/>
  <c r="V82" i="8" s="1"/>
  <c r="S81" i="8" a="1"/>
  <c r="S81" i="8" s="1"/>
  <c r="S40" i="8" a="1"/>
  <c r="S40" i="8" s="1"/>
  <c r="T40" i="8" s="1" a="1"/>
  <c r="T40" i="8" s="1"/>
  <c r="U40" i="8" s="1" a="1"/>
  <c r="U40" i="8" s="1"/>
  <c r="S96" i="8" a="1"/>
  <c r="S96" i="8" s="1"/>
  <c r="T96" i="8" s="1" a="1"/>
  <c r="T96" i="8" s="1"/>
  <c r="U96" i="8" s="1" a="1"/>
  <c r="U96" i="8" s="1"/>
  <c r="S26" i="8" a="1"/>
  <c r="S26" i="8" s="1"/>
  <c r="T26" i="8" s="1" a="1"/>
  <c r="T26" i="8" s="1"/>
  <c r="S97" i="8" a="1"/>
  <c r="S97" i="8" s="1"/>
  <c r="T97" i="8" s="1" a="1"/>
  <c r="T97" i="8" s="1"/>
  <c r="S52" i="8" a="1"/>
  <c r="S52" i="8" s="1"/>
  <c r="T52" i="8" s="1" a="1"/>
  <c r="T52" i="8" s="1"/>
  <c r="U52" i="8" s="1" a="1"/>
  <c r="U52" i="8" s="1"/>
  <c r="S11" i="8" a="1"/>
  <c r="S11" i="8" s="1"/>
  <c r="T11" i="8" s="1" a="1"/>
  <c r="T11" i="8" s="1"/>
  <c r="U11" i="8" s="1" a="1"/>
  <c r="U11" i="8" s="1"/>
  <c r="V11" i="8" s="1" a="1"/>
  <c r="V11" i="8" s="1"/>
  <c r="S18" i="8" a="1"/>
  <c r="S18" i="8" s="1"/>
  <c r="T18" i="8" s="1" a="1"/>
  <c r="T18" i="8" s="1"/>
  <c r="S6" i="8" a="1"/>
  <c r="S6" i="8" s="1"/>
  <c r="S95" i="8" a="1"/>
  <c r="S95" i="8" s="1"/>
  <c r="T95" i="8" s="1" a="1"/>
  <c r="T95" i="8" s="1"/>
  <c r="S47" i="8" a="1"/>
  <c r="S47" i="8" s="1"/>
  <c r="S55" i="8" a="1"/>
  <c r="S55" i="8" s="1"/>
  <c r="S67" i="8" a="1"/>
  <c r="S67" i="8" s="1"/>
  <c r="T67" i="8" s="1" a="1"/>
  <c r="T67" i="8" s="1"/>
  <c r="S94" i="8" a="1"/>
  <c r="S94" i="8" s="1"/>
  <c r="S75" i="8" a="1"/>
  <c r="S75" i="8" s="1"/>
  <c r="S13" i="8" a="1"/>
  <c r="S13" i="8" s="1"/>
  <c r="S68" i="8" a="1"/>
  <c r="S68" i="8" s="1"/>
  <c r="T68" i="8" s="1" a="1"/>
  <c r="T68" i="8" s="1"/>
  <c r="U68" i="8" s="1" a="1"/>
  <c r="U68" i="8" s="1"/>
  <c r="S45" i="8" a="1"/>
  <c r="S45" i="8" s="1"/>
  <c r="S31" i="8" a="1"/>
  <c r="S31" i="8" s="1"/>
  <c r="S62" i="8" a="1"/>
  <c r="S62" i="8" s="1"/>
  <c r="T62" i="8" s="1" a="1"/>
  <c r="T62" i="8" s="1"/>
  <c r="U62" i="8" s="1" a="1"/>
  <c r="U62" i="8" s="1"/>
  <c r="V62" i="8" s="1" a="1"/>
  <c r="V62" i="8" s="1"/>
  <c r="S3" i="8" a="1"/>
  <c r="S3" i="8" s="1"/>
  <c r="T3" i="8" s="1" a="1"/>
  <c r="T3" i="8" s="1"/>
  <c r="S12" i="8" a="1"/>
  <c r="S12" i="8" s="1"/>
  <c r="S24" i="8" a="1"/>
  <c r="S24" i="8" s="1"/>
  <c r="T24" i="8" s="1" a="1"/>
  <c r="T24" i="8" s="1"/>
  <c r="S17" i="8" a="1"/>
  <c r="S17" i="8" s="1"/>
  <c r="T17" i="8" s="1" a="1"/>
  <c r="T17" i="8" s="1"/>
  <c r="U17" i="8" s="1" a="1"/>
  <c r="U17" i="8" s="1"/>
  <c r="S27" i="8" a="1"/>
  <c r="S27" i="8" s="1"/>
  <c r="T27" i="8" s="1" a="1"/>
  <c r="T27" i="8" s="1"/>
  <c r="S60" i="8" a="1"/>
  <c r="S60" i="8" s="1"/>
  <c r="S73" i="8" a="1"/>
  <c r="S73" i="8" s="1"/>
  <c r="T73" i="8" s="1" a="1"/>
  <c r="T73" i="8" s="1"/>
  <c r="S25" i="8" a="1"/>
  <c r="S25" i="8" s="1"/>
  <c r="T25" i="8" s="1" a="1"/>
  <c r="T25" i="8" s="1"/>
  <c r="S59" i="8" a="1"/>
  <c r="S59" i="8" s="1"/>
  <c r="T59" i="8" s="1" a="1"/>
  <c r="T59" i="8" s="1"/>
  <c r="S80" i="8" a="1"/>
  <c r="S80" i="8" s="1"/>
  <c r="S39" i="8" a="1"/>
  <c r="S39" i="8" s="1"/>
  <c r="S41" i="8" a="1"/>
  <c r="S41" i="8" s="1"/>
  <c r="S5" i="8" a="1"/>
  <c r="S5" i="8" s="1"/>
  <c r="S10" i="8" a="1"/>
  <c r="S10" i="8" s="1"/>
  <c r="S54" i="8" a="1"/>
  <c r="S54" i="8" s="1"/>
  <c r="S4" i="8" a="1"/>
  <c r="S4" i="8" s="1"/>
  <c r="S52" i="7" a="1"/>
  <c r="S52" i="7" s="1"/>
  <c r="T52" i="7" s="1" a="1"/>
  <c r="T52" i="7" s="1"/>
  <c r="U52" i="7" s="1" a="1"/>
  <c r="U52" i="7" s="1"/>
  <c r="V52" i="7" s="1" a="1"/>
  <c r="V52" i="7" s="1"/>
  <c r="W52" i="7" s="1" a="1"/>
  <c r="W52" i="7" s="1"/>
  <c r="S10" i="7" a="1"/>
  <c r="S10" i="7" s="1"/>
  <c r="T10" i="7" s="1" a="1"/>
  <c r="T10" i="7" s="1"/>
  <c r="U10" i="7" s="1" a="1"/>
  <c r="U10" i="7" s="1"/>
  <c r="S48" i="7" a="1"/>
  <c r="S48" i="7" s="1"/>
  <c r="T48" i="7" s="1" a="1"/>
  <c r="T48" i="7" s="1"/>
  <c r="S24" i="7" a="1"/>
  <c r="S24" i="7" s="1"/>
  <c r="T24" i="7" s="1" a="1"/>
  <c r="T24" i="7" s="1"/>
  <c r="S42" i="7" a="1"/>
  <c r="S42" i="7" s="1"/>
  <c r="T42" i="7" s="1" a="1"/>
  <c r="T42" i="7" s="1"/>
  <c r="S17" i="7" a="1"/>
  <c r="S17" i="7" s="1"/>
  <c r="S63" i="7" a="1"/>
  <c r="S63" i="7" s="1"/>
  <c r="T63" i="7" s="1" a="1"/>
  <c r="T63" i="7" s="1"/>
  <c r="U63" i="7" s="1" a="1"/>
  <c r="U63" i="7" s="1"/>
  <c r="S15" i="7" a="1"/>
  <c r="S15" i="7" s="1"/>
  <c r="T15" i="7" s="1" a="1"/>
  <c r="T15" i="7" s="1"/>
  <c r="S30" i="7" a="1"/>
  <c r="S30" i="7" s="1"/>
  <c r="S66" i="7" a="1"/>
  <c r="S66" i="7" s="1"/>
  <c r="T66" i="7" s="1" a="1"/>
  <c r="T66" i="7" s="1"/>
  <c r="S3" i="7" a="1"/>
  <c r="S3" i="7" s="1"/>
  <c r="T3" i="7" s="1" a="1"/>
  <c r="T3" i="7" s="1"/>
  <c r="S36" i="7" a="1"/>
  <c r="S36" i="7" s="1"/>
  <c r="T36" i="7" s="1" a="1"/>
  <c r="T36" i="7" s="1"/>
  <c r="S57" i="7" a="1"/>
  <c r="S57" i="7" s="1"/>
  <c r="T57" i="7" s="1" a="1"/>
  <c r="T57" i="7" s="1"/>
  <c r="S16" i="7" a="1"/>
  <c r="S16" i="7" s="1"/>
  <c r="T16" i="7" s="1" a="1"/>
  <c r="T16" i="7" s="1"/>
  <c r="U16" i="7" s="1" a="1"/>
  <c r="U16" i="7" s="1"/>
  <c r="S41" i="7" a="1"/>
  <c r="S41" i="7" s="1"/>
  <c r="T41" i="7" s="1" a="1"/>
  <c r="T41" i="7" s="1"/>
  <c r="U41" i="7" s="1" a="1"/>
  <c r="U41" i="7" s="1"/>
  <c r="S28" i="7" a="1"/>
  <c r="S28" i="7" s="1"/>
  <c r="T28" i="7" s="1" a="1"/>
  <c r="T28" i="7" s="1"/>
  <c r="S46" i="7" a="1"/>
  <c r="S46" i="7" s="1"/>
  <c r="S54" i="7" a="1"/>
  <c r="S54" i="7" s="1"/>
  <c r="T54" i="7" s="1" a="1"/>
  <c r="T54" i="7" s="1"/>
  <c r="S83" i="7" a="1"/>
  <c r="S83" i="7" s="1"/>
  <c r="S39" i="7" a="1"/>
  <c r="S39" i="7" s="1"/>
  <c r="S75" i="7" a="1"/>
  <c r="S75" i="7" s="1"/>
  <c r="T75" i="7" s="1" a="1"/>
  <c r="T75" i="7" s="1"/>
  <c r="S70" i="7" a="1"/>
  <c r="S70" i="7" s="1"/>
  <c r="T70" i="7" s="1" a="1"/>
  <c r="T70" i="7" s="1"/>
  <c r="S21" i="7" a="1"/>
  <c r="S21" i="7" s="1"/>
  <c r="T21" i="7" s="1" a="1"/>
  <c r="T21" i="7" s="1"/>
  <c r="S69" i="7" a="1"/>
  <c r="S69" i="7" s="1"/>
  <c r="S84" i="7" a="1"/>
  <c r="S84" i="7" s="1"/>
  <c r="S29" i="7" a="1"/>
  <c r="S29" i="7" s="1"/>
  <c r="T29" i="7" s="1" a="1"/>
  <c r="T29" i="7" s="1"/>
  <c r="S71" i="7" a="1"/>
  <c r="S71" i="7" s="1"/>
  <c r="S89" i="7" a="1"/>
  <c r="S89" i="7" s="1"/>
  <c r="T89" i="7" s="1" a="1"/>
  <c r="T89" i="7" s="1"/>
  <c r="U89" i="7" s="1" a="1"/>
  <c r="U89" i="7" s="1"/>
  <c r="V89" i="7" s="1" a="1"/>
  <c r="V89" i="7" s="1"/>
  <c r="S4" i="7" a="1"/>
  <c r="S4" i="7" s="1"/>
  <c r="S33" i="7" a="1"/>
  <c r="S33" i="7" s="1"/>
  <c r="T33" i="7" s="1" a="1"/>
  <c r="T33" i="7" s="1"/>
  <c r="S82" i="7" a="1"/>
  <c r="S82" i="7" s="1"/>
  <c r="S58" i="7" a="1"/>
  <c r="S58" i="7" s="1"/>
  <c r="S60" i="7" a="1"/>
  <c r="S60" i="7" s="1"/>
  <c r="T60" i="7" s="1" a="1"/>
  <c r="T60" i="7" s="1"/>
  <c r="S78" i="7" a="1"/>
  <c r="S78" i="7" s="1"/>
  <c r="S65" i="7" a="1"/>
  <c r="S65" i="7" s="1"/>
  <c r="S64" i="7" a="1"/>
  <c r="S64" i="7" s="1"/>
  <c r="T64" i="7" s="1" a="1"/>
  <c r="T64" i="7" s="1"/>
  <c r="S40" i="7" a="1"/>
  <c r="S40" i="7" s="1"/>
  <c r="T40" i="7" s="1" a="1"/>
  <c r="T40" i="7" s="1"/>
  <c r="S12" i="7" a="1"/>
  <c r="S12" i="7" s="1"/>
  <c r="S77" i="7" a="1"/>
  <c r="S77" i="7" s="1"/>
  <c r="T77" i="7" s="1" a="1"/>
  <c r="T77" i="7" s="1"/>
  <c r="S51" i="7" a="1"/>
  <c r="S51" i="7" s="1"/>
  <c r="S27" i="7" a="1"/>
  <c r="S27" i="7" s="1"/>
  <c r="T27" i="7" s="1" a="1"/>
  <c r="T27" i="7" s="1"/>
  <c r="S88" i="7" a="1"/>
  <c r="S88" i="7" s="1"/>
  <c r="T88" i="7" s="1" a="1"/>
  <c r="T88" i="7" s="1"/>
  <c r="S90" i="7" a="1"/>
  <c r="S90" i="7" s="1"/>
  <c r="S59" i="7" a="1"/>
  <c r="S59" i="7" s="1"/>
  <c r="T59" i="7" s="1" a="1"/>
  <c r="T59" i="7" s="1"/>
  <c r="S22" i="7" a="1"/>
  <c r="S22" i="7" s="1"/>
  <c r="S35" i="7" a="1"/>
  <c r="S35" i="7" s="1"/>
  <c r="T35" i="7" s="1" a="1"/>
  <c r="T35" i="7" s="1"/>
  <c r="S9" i="7" a="1"/>
  <c r="S9" i="7" s="1"/>
  <c r="T9" i="7" s="1" a="1"/>
  <c r="T9" i="7" s="1"/>
  <c r="S18" i="7" a="1"/>
  <c r="S18" i="7" s="1"/>
  <c r="S53" i="7" a="1"/>
  <c r="S53" i="7" s="1"/>
  <c r="S76" i="7" a="1"/>
  <c r="S76" i="7" s="1"/>
  <c r="S23" i="7" a="1"/>
  <c r="S23" i="7" s="1"/>
  <c r="S72" i="7" a="1"/>
  <c r="S72" i="7" s="1"/>
  <c r="T72" i="7" s="1" a="1"/>
  <c r="T72" i="7" s="1"/>
  <c r="S34" i="7" a="1"/>
  <c r="S34" i="7" s="1"/>
  <c r="S87" i="7" a="1"/>
  <c r="S87" i="7" s="1"/>
  <c r="T87" i="7" s="1" a="1"/>
  <c r="T87" i="7" s="1"/>
  <c r="S81" i="7" a="1"/>
  <c r="S81" i="7" s="1"/>
  <c r="T81" i="7" s="1" a="1"/>
  <c r="T81" i="7" s="1"/>
  <c r="S5" i="7" a="1"/>
  <c r="S5" i="7" s="1"/>
  <c r="S47" i="7" a="1"/>
  <c r="S47" i="7" s="1"/>
  <c r="S6" i="7" a="1"/>
  <c r="S6" i="7" s="1"/>
  <c r="T6" i="7" s="1" a="1"/>
  <c r="T6" i="7" s="1"/>
  <c r="S11" i="7" a="1"/>
  <c r="S11" i="7" s="1"/>
  <c r="T11" i="7" s="1" a="1"/>
  <c r="T11" i="7" s="1"/>
  <c r="S45" i="7" a="1"/>
  <c r="S45" i="7" s="1"/>
  <c r="T45" i="7" s="1" a="1"/>
  <c r="T45" i="7" s="1"/>
  <c r="S18" i="2" a="1"/>
  <c r="S18" i="2" s="1"/>
  <c r="S4" i="2" a="1"/>
  <c r="S4" i="2" s="1"/>
  <c r="S39" i="2" a="1"/>
  <c r="S39" i="2" s="1"/>
  <c r="T39" i="2" s="1" a="1"/>
  <c r="T39" i="2" s="1"/>
  <c r="U39" i="2" s="1" a="1"/>
  <c r="U39" i="2" s="1"/>
  <c r="S30" i="2" a="1"/>
  <c r="S30" i="2" s="1"/>
  <c r="S72" i="2" a="1"/>
  <c r="S72" i="2" s="1"/>
  <c r="S33" i="2" a="1"/>
  <c r="S33" i="2" s="1"/>
  <c r="S27" i="2" a="1"/>
  <c r="S27" i="2" s="1"/>
  <c r="T27" i="2" s="1" a="1"/>
  <c r="T27" i="2" s="1"/>
  <c r="S15" i="2" a="1"/>
  <c r="S15" i="2" s="1"/>
  <c r="S57" i="2" a="1"/>
  <c r="S57" i="2" s="1"/>
  <c r="S53" i="2" a="1"/>
  <c r="S53" i="2" s="1"/>
  <c r="S40" i="2" a="1"/>
  <c r="S40" i="2" s="1"/>
  <c r="S71" i="2" a="1"/>
  <c r="S71" i="2" s="1"/>
  <c r="S6" i="2" a="1"/>
  <c r="S6" i="2" s="1"/>
  <c r="T6" i="2" s="1" a="1"/>
  <c r="T6" i="2" s="1"/>
  <c r="S65" i="2" a="1"/>
  <c r="S65" i="2" s="1"/>
  <c r="S78" i="2" a="1"/>
  <c r="S78" i="2" s="1"/>
  <c r="S21" i="2" a="1"/>
  <c r="S21" i="2" s="1"/>
  <c r="S45" i="2" a="1"/>
  <c r="S45" i="2" s="1"/>
  <c r="S64" i="2" a="1"/>
  <c r="S64" i="2" s="1"/>
  <c r="S51" i="2" a="1"/>
  <c r="S51" i="2" s="1"/>
  <c r="T51" i="2" s="1" a="1"/>
  <c r="T51" i="2" s="1"/>
  <c r="S87" i="2" a="1"/>
  <c r="S87" i="2" s="1"/>
  <c r="S22" i="2" a="1"/>
  <c r="S22" i="2" s="1"/>
  <c r="T22" i="2" s="1" a="1"/>
  <c r="T22" i="2" s="1"/>
  <c r="S24" i="2" a="1"/>
  <c r="S24" i="2" s="1"/>
  <c r="S16" i="2" a="1"/>
  <c r="S16" i="2" s="1"/>
  <c r="S77" i="2" a="1"/>
  <c r="S77" i="2" s="1"/>
  <c r="T77" i="2" s="1" a="1"/>
  <c r="T77" i="2" s="1"/>
  <c r="S66" i="2" a="1"/>
  <c r="S66" i="2" s="1"/>
  <c r="S46" i="2" a="1"/>
  <c r="S46" i="2" s="1"/>
  <c r="S10" i="2" a="1"/>
  <c r="S10" i="2" s="1"/>
  <c r="S54" i="2" a="1"/>
  <c r="S54" i="2" s="1"/>
  <c r="S69" i="2" a="1"/>
  <c r="S69" i="2" s="1"/>
  <c r="S84" i="2" a="1"/>
  <c r="S84" i="2" s="1"/>
  <c r="T84" i="2" s="1" a="1"/>
  <c r="T84" i="2" s="1"/>
  <c r="S59" i="2" a="1"/>
  <c r="S59" i="2" s="1"/>
  <c r="T59" i="2" s="1" a="1"/>
  <c r="T59" i="2" s="1"/>
  <c r="S42" i="2" a="1"/>
  <c r="S42" i="2" s="1"/>
  <c r="S90" i="2" a="1"/>
  <c r="S90" i="2" s="1"/>
  <c r="S36" i="2" a="1"/>
  <c r="S36" i="2" s="1"/>
  <c r="S9" i="2" a="1"/>
  <c r="S9" i="2" s="1"/>
  <c r="S89" i="2" a="1"/>
  <c r="S89" i="2" s="1"/>
  <c r="S81" i="2" a="1"/>
  <c r="S81" i="2" s="1"/>
  <c r="S63" i="2" a="1"/>
  <c r="S63" i="2" s="1"/>
  <c r="S17" i="2" a="1"/>
  <c r="S17" i="2" s="1"/>
  <c r="T17" i="2" s="1" a="1"/>
  <c r="T17" i="2" s="1"/>
  <c r="S76" i="2" a="1"/>
  <c r="S76" i="2" s="1"/>
  <c r="S82" i="2" a="1"/>
  <c r="S82" i="2" s="1"/>
  <c r="T82" i="2" s="1" a="1"/>
  <c r="T82" i="2" s="1"/>
  <c r="S48" i="2" a="1"/>
  <c r="S48" i="2" s="1"/>
  <c r="S47" i="2" a="1"/>
  <c r="S47" i="2" s="1"/>
  <c r="T47" i="2" s="1" a="1"/>
  <c r="T47" i="2" s="1"/>
  <c r="U47" i="2" s="1" a="1"/>
  <c r="U47" i="2" s="1"/>
  <c r="S12" i="2" a="1"/>
  <c r="S12" i="2" s="1"/>
  <c r="S70" i="2" a="1"/>
  <c r="S70" i="2" s="1"/>
  <c r="S41" i="2" a="1"/>
  <c r="S41" i="2" s="1"/>
  <c r="S58" i="2" a="1"/>
  <c r="S58" i="2" s="1"/>
  <c r="S60" i="2" a="1"/>
  <c r="S60" i="2" s="1"/>
  <c r="S5" i="2" a="1"/>
  <c r="S5" i="2" s="1"/>
  <c r="S29" i="2" a="1"/>
  <c r="S29" i="2" s="1"/>
  <c r="S75" i="2" a="1"/>
  <c r="S75" i="2" s="1"/>
  <c r="S83" i="2" a="1"/>
  <c r="S83" i="2" s="1"/>
  <c r="T83" i="2" s="1" a="1"/>
  <c r="T83" i="2" s="1"/>
  <c r="S52" i="2" a="1"/>
  <c r="S52" i="2" s="1"/>
  <c r="S34" i="2" a="1"/>
  <c r="S34" i="2" s="1"/>
  <c r="S23" i="2" a="1"/>
  <c r="S23" i="2" s="1"/>
  <c r="S11" i="2" a="1"/>
  <c r="S11" i="2" s="1"/>
  <c r="S35" i="2" a="1"/>
  <c r="S35" i="2" s="1"/>
  <c r="T35" i="2" s="1" a="1"/>
  <c r="T35" i="2" s="1"/>
  <c r="S88" i="2" a="1"/>
  <c r="S88" i="2" s="1"/>
  <c r="T88" i="2" s="1" a="1"/>
  <c r="T88" i="2" s="1"/>
  <c r="U88" i="2" s="1" a="1"/>
  <c r="U88" i="2" s="1"/>
  <c r="S28" i="2" a="1"/>
  <c r="S28" i="2" s="1"/>
  <c r="S3" i="2" a="1"/>
  <c r="S3" i="2" s="1"/>
  <c r="T3" i="2" s="1" a="1"/>
  <c r="T3" i="2" s="1"/>
  <c r="T74" i="9" l="1" a="1"/>
  <c r="T74" i="9" s="1"/>
  <c r="U74" i="9" s="1" a="1"/>
  <c r="U74" i="9" s="1"/>
  <c r="V74" i="9" s="1" a="1"/>
  <c r="V74" i="9" s="1"/>
  <c r="T48" i="9" a="1"/>
  <c r="T48" i="9" s="1"/>
  <c r="U48" i="9" s="1" a="1"/>
  <c r="U48" i="9" s="1"/>
  <c r="V48" i="9" s="1" a="1"/>
  <c r="V48" i="9" s="1"/>
  <c r="T54" i="9" a="1"/>
  <c r="T54" i="9" s="1"/>
  <c r="U54" i="9" s="1" a="1"/>
  <c r="U54" i="9" s="1"/>
  <c r="V54" i="9" s="1" a="1"/>
  <c r="V54" i="9" s="1"/>
  <c r="T3" i="9" a="1"/>
  <c r="T3" i="9" s="1"/>
  <c r="U3" i="9" s="1" a="1"/>
  <c r="U3" i="9" s="1"/>
  <c r="V3" i="9" s="1" a="1"/>
  <c r="V3" i="9" s="1"/>
  <c r="T24" i="9" a="1"/>
  <c r="T24" i="9" s="1"/>
  <c r="U24" i="9" s="1" a="1"/>
  <c r="U24" i="9" s="1"/>
  <c r="V24" i="9" s="1" a="1"/>
  <c r="V24" i="9" s="1"/>
  <c r="U28" i="9" a="1"/>
  <c r="U28" i="9" s="1"/>
  <c r="V28" i="9" s="1" a="1"/>
  <c r="V28" i="9" s="1"/>
  <c r="T4" i="9" a="1"/>
  <c r="T4" i="9" s="1"/>
  <c r="U4" i="9" s="1" a="1"/>
  <c r="U4" i="9" s="1"/>
  <c r="V4" i="9" s="1" a="1"/>
  <c r="V4" i="9" s="1"/>
  <c r="T23" i="9" a="1"/>
  <c r="T23" i="9" s="1"/>
  <c r="U23" i="9" s="1" a="1"/>
  <c r="U23" i="9" s="1"/>
  <c r="V23" i="9" s="1" a="1"/>
  <c r="V23" i="9" s="1"/>
  <c r="V50" i="9" a="1"/>
  <c r="V50" i="9" s="1"/>
  <c r="S34" i="9" a="1"/>
  <c r="S34" i="9" s="1"/>
  <c r="T34" i="9" s="1" a="1"/>
  <c r="T34" i="9" s="1"/>
  <c r="U34" i="9" s="1" a="1"/>
  <c r="U34" i="9" s="1"/>
  <c r="V34" i="9" s="1" a="1"/>
  <c r="V34" i="9" s="1"/>
  <c r="T69" i="9" a="1"/>
  <c r="T69" i="9" s="1"/>
  <c r="T13" i="9" a="1"/>
  <c r="T13" i="9" s="1"/>
  <c r="U13" i="9" s="1" a="1"/>
  <c r="U13" i="9" s="1"/>
  <c r="V13" i="9" s="1" a="1"/>
  <c r="V13" i="9" s="1"/>
  <c r="T29" i="9" a="1"/>
  <c r="T29" i="9" s="1"/>
  <c r="U29" i="9" s="1" a="1"/>
  <c r="U29" i="9" s="1"/>
  <c r="V29" i="9" s="1" a="1"/>
  <c r="V29" i="9" s="1"/>
  <c r="T70" i="9" a="1"/>
  <c r="T70" i="9" s="1"/>
  <c r="U70" i="9" s="1" a="1"/>
  <c r="U70" i="9" s="1"/>
  <c r="V70" i="9" s="1" a="1"/>
  <c r="V70" i="9" s="1"/>
  <c r="T8" i="9" a="1"/>
  <c r="T8" i="9" s="1"/>
  <c r="U8" i="9" s="1" a="1"/>
  <c r="U8" i="9" s="1"/>
  <c r="V8" i="9" s="1" a="1"/>
  <c r="V8" i="9" s="1"/>
  <c r="U39" i="9" a="1"/>
  <c r="U39" i="9" s="1"/>
  <c r="V39" i="9" s="1" a="1"/>
  <c r="V39" i="9" s="1"/>
  <c r="U19" i="9" a="1"/>
  <c r="U19" i="9" s="1"/>
  <c r="V19" i="9" s="1" a="1"/>
  <c r="V19" i="9" s="1"/>
  <c r="U68" i="9" a="1"/>
  <c r="U68" i="9" s="1"/>
  <c r="V68" i="9" s="1" a="1"/>
  <c r="V68" i="9" s="1"/>
  <c r="S59" i="9" a="1"/>
  <c r="S59" i="9" s="1"/>
  <c r="T25" i="9" a="1"/>
  <c r="T25" i="9" s="1"/>
  <c r="U25" i="9" s="1" a="1"/>
  <c r="U25" i="9" s="1"/>
  <c r="T49" i="9" a="1"/>
  <c r="T49" i="9" s="1"/>
  <c r="U49" i="9" s="1" a="1"/>
  <c r="U49" i="9" s="1"/>
  <c r="V49" i="9" s="1" a="1"/>
  <c r="V49" i="9" s="1"/>
  <c r="T60" i="9" a="1"/>
  <c r="T60" i="9" s="1"/>
  <c r="U60" i="9" s="1" a="1"/>
  <c r="U60" i="9" s="1"/>
  <c r="V60" i="9" s="1" a="1"/>
  <c r="V60" i="9" s="1"/>
  <c r="T20" i="9" a="1"/>
  <c r="T20" i="9" s="1"/>
  <c r="U20" i="9" s="1" a="1"/>
  <c r="U20" i="9" s="1"/>
  <c r="T63" i="9" a="1"/>
  <c r="T63" i="9" s="1"/>
  <c r="U63" i="9" s="1" a="1"/>
  <c r="U63" i="9" s="1"/>
  <c r="V63" i="9" s="1" a="1"/>
  <c r="V63" i="9" s="1"/>
  <c r="T65" i="9" a="1"/>
  <c r="T65" i="9" s="1"/>
  <c r="U65" i="9" s="1" a="1"/>
  <c r="U65" i="9" s="1"/>
  <c r="V64" i="9" a="1"/>
  <c r="V64" i="9" s="1"/>
  <c r="S58" i="9" a="1"/>
  <c r="S58" i="9" s="1"/>
  <c r="T58" i="9" s="1" a="1"/>
  <c r="T58" i="9" s="1"/>
  <c r="T75" i="9" a="1"/>
  <c r="T75" i="9" s="1"/>
  <c r="U75" i="9" s="1" a="1"/>
  <c r="U75" i="9" s="1"/>
  <c r="U15" i="9" a="1"/>
  <c r="U15" i="9" s="1"/>
  <c r="V15" i="9" s="1" a="1"/>
  <c r="V15" i="9" s="1"/>
  <c r="T5" i="9" a="1"/>
  <c r="T5" i="9" s="1"/>
  <c r="U5" i="9" s="1" a="1"/>
  <c r="U5" i="9" s="1"/>
  <c r="V5" i="9" s="1" a="1"/>
  <c r="V5" i="9" s="1"/>
  <c r="T53" i="9" a="1"/>
  <c r="T53" i="9" s="1"/>
  <c r="U53" i="9" s="1" a="1"/>
  <c r="U53" i="9" s="1"/>
  <c r="S40" i="9" a="1"/>
  <c r="S40" i="9" s="1"/>
  <c r="T40" i="9" s="1" a="1"/>
  <c r="T40" i="9" s="1"/>
  <c r="U40" i="9" s="1" a="1"/>
  <c r="U40" i="9" s="1"/>
  <c r="U35" i="9" a="1"/>
  <c r="U35" i="9" s="1"/>
  <c r="V35" i="9" s="1" a="1"/>
  <c r="V35" i="9" s="1"/>
  <c r="T9" i="9" a="1"/>
  <c r="T9" i="9" s="1"/>
  <c r="U9" i="9" s="1" a="1"/>
  <c r="U9" i="9" s="1"/>
  <c r="V55" i="9" a="1"/>
  <c r="V55" i="9" s="1"/>
  <c r="S30" i="9" a="1"/>
  <c r="S30" i="9" s="1"/>
  <c r="T30" i="9" s="1" a="1"/>
  <c r="T30" i="9" s="1"/>
  <c r="S43" i="9" a="1"/>
  <c r="S43" i="9" s="1"/>
  <c r="T10" i="9" a="1"/>
  <c r="T10" i="9" s="1"/>
  <c r="U10" i="9" s="1" a="1"/>
  <c r="U10" i="9" s="1"/>
  <c r="U18" i="9" a="1"/>
  <c r="U18" i="9" s="1"/>
  <c r="V18" i="9" s="1" a="1"/>
  <c r="V18" i="9" s="1"/>
  <c r="T14" i="9" a="1"/>
  <c r="T14" i="9" s="1"/>
  <c r="S44" i="9" a="1"/>
  <c r="S44" i="9" s="1"/>
  <c r="T44" i="9" s="1" a="1"/>
  <c r="T44" i="9" s="1"/>
  <c r="S38" i="9" a="1"/>
  <c r="S38" i="9" s="1"/>
  <c r="T33" i="9" a="1"/>
  <c r="T33" i="9" s="1"/>
  <c r="U33" i="9" s="1" a="1"/>
  <c r="U33" i="9" s="1"/>
  <c r="U24" i="7" a="1"/>
  <c r="U24" i="7" s="1"/>
  <c r="V24" i="7" s="1" a="1"/>
  <c r="V24" i="7" s="1"/>
  <c r="W24" i="7" s="1" a="1"/>
  <c r="W24" i="7" s="1"/>
  <c r="T32" i="8" a="1"/>
  <c r="T32" i="8" s="1"/>
  <c r="U32" i="8" s="1" a="1"/>
  <c r="U32" i="8" s="1"/>
  <c r="V32" i="8" s="1" a="1"/>
  <c r="V32" i="8" s="1"/>
  <c r="W32" i="8" s="1" a="1"/>
  <c r="W32" i="8" s="1"/>
  <c r="U38" i="8" a="1"/>
  <c r="U38" i="8" s="1"/>
  <c r="V38" i="8" s="1" a="1"/>
  <c r="V38" i="8" s="1"/>
  <c r="W38" i="8" s="1" a="1"/>
  <c r="W38" i="8" s="1"/>
  <c r="W62" i="8" a="1"/>
  <c r="W62" i="8" s="1"/>
  <c r="W74" i="8" a="1"/>
  <c r="W74" i="8" s="1"/>
  <c r="V88" i="8" a="1"/>
  <c r="V88" i="8" s="1"/>
  <c r="W88" i="8" s="1" a="1"/>
  <c r="W88" i="8" s="1"/>
  <c r="U3" i="8" a="1"/>
  <c r="U3" i="8" s="1"/>
  <c r="V3" i="8" s="1" a="1"/>
  <c r="V3" i="8" s="1"/>
  <c r="W3" i="8" s="1" a="1"/>
  <c r="W3" i="8" s="1"/>
  <c r="W83" i="8" a="1"/>
  <c r="W83" i="8" s="1"/>
  <c r="T103" i="8" a="1"/>
  <c r="T103" i="8" s="1"/>
  <c r="U103" i="8" s="1" a="1"/>
  <c r="U103" i="8" s="1"/>
  <c r="V103" i="8" s="1" a="1"/>
  <c r="V103" i="8" s="1"/>
  <c r="W103" i="8" s="1" a="1"/>
  <c r="W103" i="8" s="1"/>
  <c r="V20" i="8" a="1"/>
  <c r="V20" i="8" s="1"/>
  <c r="W20" i="8" s="1" a="1"/>
  <c r="W20" i="8" s="1"/>
  <c r="U26" i="8" a="1"/>
  <c r="U26" i="8" s="1"/>
  <c r="V26" i="8" s="1" a="1"/>
  <c r="V26" i="8" s="1"/>
  <c r="W26" i="8" s="1" a="1"/>
  <c r="W26" i="8" s="1"/>
  <c r="W82" i="8" a="1"/>
  <c r="W82" i="8" s="1"/>
  <c r="W11" i="8" a="1"/>
  <c r="W11" i="8" s="1"/>
  <c r="V96" i="8" a="1"/>
  <c r="V96" i="8" s="1"/>
  <c r="W96" i="8" s="1" a="1"/>
  <c r="W96" i="8" s="1"/>
  <c r="U53" i="8" a="1"/>
  <c r="U53" i="8" s="1"/>
  <c r="V53" i="8" s="1" a="1"/>
  <c r="V53" i="8" s="1"/>
  <c r="W53" i="8" s="1" a="1"/>
  <c r="W53" i="8" s="1"/>
  <c r="W89" i="8" a="1"/>
  <c r="W89" i="8" s="1"/>
  <c r="T81" i="8" a="1"/>
  <c r="T81" i="8" s="1"/>
  <c r="V40" i="8" a="1"/>
  <c r="V40" i="8" s="1"/>
  <c r="W40" i="8" s="1" a="1"/>
  <c r="W40" i="8" s="1"/>
  <c r="V68" i="8" a="1"/>
  <c r="V68" i="8" s="1"/>
  <c r="W68" i="8" s="1" a="1"/>
  <c r="W68" i="8" s="1"/>
  <c r="U33" i="8" a="1"/>
  <c r="U33" i="8" s="1"/>
  <c r="V33" i="8" s="1" a="1"/>
  <c r="V33" i="8" s="1"/>
  <c r="W33" i="8" s="1" a="1"/>
  <c r="W33" i="8" s="1"/>
  <c r="U104" i="8" a="1"/>
  <c r="U104" i="8" s="1"/>
  <c r="U76" i="8" a="1"/>
  <c r="U76" i="8" s="1"/>
  <c r="V76" i="8" s="1" a="1"/>
  <c r="V76" i="8" s="1"/>
  <c r="W87" i="8" a="1"/>
  <c r="W87" i="8" s="1"/>
  <c r="T55" i="8" a="1"/>
  <c r="T55" i="8" s="1"/>
  <c r="T39" i="8" a="1"/>
  <c r="T39" i="8" s="1"/>
  <c r="U39" i="8" s="1" a="1"/>
  <c r="U39" i="8" s="1"/>
  <c r="V39" i="8" s="1" a="1"/>
  <c r="V39" i="8" s="1"/>
  <c r="V46" i="8" a="1"/>
  <c r="V46" i="8" s="1"/>
  <c r="W46" i="8" s="1" a="1"/>
  <c r="W46" i="8" s="1"/>
  <c r="T45" i="8" a="1"/>
  <c r="T45" i="8" s="1"/>
  <c r="U45" i="8" s="1" a="1"/>
  <c r="U45" i="8" s="1"/>
  <c r="V45" i="8" s="1" a="1"/>
  <c r="V45" i="8" s="1"/>
  <c r="V101" i="8" a="1"/>
  <c r="V101" i="8" s="1"/>
  <c r="W101" i="8" s="1" a="1"/>
  <c r="W101" i="8" s="1"/>
  <c r="U27" i="8" a="1"/>
  <c r="U27" i="8" s="1"/>
  <c r="V27" i="8" s="1" a="1"/>
  <c r="V27" i="8" s="1"/>
  <c r="U97" i="8" a="1"/>
  <c r="U97" i="8" s="1"/>
  <c r="T13" i="8" a="1"/>
  <c r="T13" i="8" s="1"/>
  <c r="V61" i="8" a="1"/>
  <c r="V61" i="8" s="1"/>
  <c r="W61" i="8" s="1" a="1"/>
  <c r="W61" i="8" s="1"/>
  <c r="T10" i="8" a="1"/>
  <c r="T10" i="8" s="1"/>
  <c r="U10" i="8" s="1" a="1"/>
  <c r="U10" i="8" s="1"/>
  <c r="U18" i="8" a="1"/>
  <c r="U18" i="8" s="1"/>
  <c r="V18" i="8" s="1" a="1"/>
  <c r="V18" i="8" s="1"/>
  <c r="U59" i="8" a="1"/>
  <c r="U59" i="8" s="1"/>
  <c r="V59" i="8" s="1" a="1"/>
  <c r="V59" i="8" s="1"/>
  <c r="V69" i="8" a="1"/>
  <c r="V69" i="8" s="1"/>
  <c r="W69" i="8" s="1" a="1"/>
  <c r="W69" i="8" s="1"/>
  <c r="T31" i="8" a="1"/>
  <c r="T31" i="8" s="1"/>
  <c r="U31" i="8" s="1" a="1"/>
  <c r="U31" i="8" s="1"/>
  <c r="V31" i="8" s="1" a="1"/>
  <c r="V31" i="8" s="1"/>
  <c r="T47" i="8" a="1"/>
  <c r="T47" i="8" s="1"/>
  <c r="U47" i="8" s="1" a="1"/>
  <c r="U47" i="8" s="1"/>
  <c r="T41" i="8" a="1"/>
  <c r="T41" i="8" s="1"/>
  <c r="U95" i="8" a="1"/>
  <c r="U95" i="8" s="1"/>
  <c r="V95" i="8" s="1" a="1"/>
  <c r="V95" i="8" s="1"/>
  <c r="W95" i="8" s="1" a="1"/>
  <c r="W95" i="8" s="1"/>
  <c r="V17" i="8" a="1"/>
  <c r="V17" i="8" s="1"/>
  <c r="W17" i="8" s="1" a="1"/>
  <c r="W17" i="8" s="1"/>
  <c r="T75" i="8" a="1"/>
  <c r="T75" i="8" s="1"/>
  <c r="U75" i="8" s="1" a="1"/>
  <c r="U75" i="8" s="1"/>
  <c r="U24" i="8" a="1"/>
  <c r="U24" i="8" s="1"/>
  <c r="T6" i="8" a="1"/>
  <c r="T6" i="8" s="1"/>
  <c r="U6" i="8" s="1" a="1"/>
  <c r="U6" i="8" s="1"/>
  <c r="U25" i="8" a="1"/>
  <c r="U25" i="8" s="1"/>
  <c r="T54" i="8" a="1"/>
  <c r="T54" i="8" s="1"/>
  <c r="T94" i="8" a="1"/>
  <c r="T94" i="8" s="1"/>
  <c r="U94" i="8" s="1" a="1"/>
  <c r="U94" i="8" s="1"/>
  <c r="U48" i="8" a="1"/>
  <c r="U48" i="8" s="1"/>
  <c r="V48" i="8" s="1" a="1"/>
  <c r="V48" i="8" s="1"/>
  <c r="U67" i="8" a="1"/>
  <c r="U67" i="8" s="1"/>
  <c r="V67" i="8" s="1" a="1"/>
  <c r="V67" i="8" s="1"/>
  <c r="T60" i="8" a="1"/>
  <c r="T60" i="8" s="1"/>
  <c r="U60" i="8" s="1" a="1"/>
  <c r="U60" i="8" s="1"/>
  <c r="T80" i="8" a="1"/>
  <c r="T80" i="8" s="1"/>
  <c r="V34" i="8" a="1"/>
  <c r="V34" i="8" s="1"/>
  <c r="W34" i="8" s="1" a="1"/>
  <c r="W34" i="8" s="1"/>
  <c r="T5" i="8" a="1"/>
  <c r="T5" i="8" s="1"/>
  <c r="U5" i="8" s="1" a="1"/>
  <c r="U5" i="8" s="1"/>
  <c r="U102" i="8" a="1"/>
  <c r="U102" i="8" s="1"/>
  <c r="T4" i="8" a="1"/>
  <c r="T4" i="8" s="1"/>
  <c r="T12" i="8" a="1"/>
  <c r="T12" i="8" s="1"/>
  <c r="T90" i="8" a="1"/>
  <c r="T90" i="8" s="1"/>
  <c r="U19" i="8" a="1"/>
  <c r="U19" i="8" s="1"/>
  <c r="V19" i="8" s="1" a="1"/>
  <c r="V19" i="8" s="1"/>
  <c r="U66" i="8" a="1"/>
  <c r="U66" i="8" s="1"/>
  <c r="V66" i="8" s="1" a="1"/>
  <c r="V66" i="8" s="1"/>
  <c r="V52" i="8" a="1"/>
  <c r="V52" i="8" s="1"/>
  <c r="W52" i="8" s="1" a="1"/>
  <c r="W52" i="8" s="1"/>
  <c r="U73" i="8" a="1"/>
  <c r="U73" i="8" s="1"/>
  <c r="V73" i="8" s="1" a="1"/>
  <c r="V73" i="8" s="1"/>
  <c r="W73" i="8" s="1" a="1"/>
  <c r="W73" i="8" s="1"/>
  <c r="U36" i="7" a="1"/>
  <c r="U36" i="7" s="1"/>
  <c r="V36" i="7" s="1" a="1"/>
  <c r="V36" i="7" s="1"/>
  <c r="W36" i="7" s="1" a="1"/>
  <c r="W36" i="7" s="1"/>
  <c r="T4" i="7" a="1"/>
  <c r="T4" i="7" s="1"/>
  <c r="U4" i="7" s="1" a="1"/>
  <c r="U4" i="7" s="1"/>
  <c r="V4" i="7" s="1" a="1"/>
  <c r="V4" i="7" s="1"/>
  <c r="W4" i="7" s="1" a="1"/>
  <c r="W4" i="7" s="1"/>
  <c r="U48" i="7" a="1"/>
  <c r="U48" i="7" s="1"/>
  <c r="V48" i="7" s="1" a="1"/>
  <c r="V48" i="7" s="1"/>
  <c r="U29" i="7" a="1"/>
  <c r="U29" i="7" s="1"/>
  <c r="V29" i="7" s="1" a="1"/>
  <c r="V29" i="7" s="1"/>
  <c r="W29" i="7" s="1" a="1"/>
  <c r="W29" i="7" s="1"/>
  <c r="U70" i="7" a="1"/>
  <c r="U70" i="7" s="1"/>
  <c r="U64" i="7" a="1"/>
  <c r="U64" i="7" s="1"/>
  <c r="V64" i="7" s="1" a="1"/>
  <c r="V64" i="7" s="1"/>
  <c r="W64" i="7" s="1" a="1"/>
  <c r="W64" i="7" s="1"/>
  <c r="U27" i="7" a="1"/>
  <c r="U27" i="7" s="1"/>
  <c r="V27" i="7" s="1" a="1"/>
  <c r="V27" i="7" s="1"/>
  <c r="W27" i="7" s="1" a="1"/>
  <c r="W27" i="7" s="1"/>
  <c r="U15" i="7" a="1"/>
  <c r="U15" i="7" s="1"/>
  <c r="T90" i="7" a="1"/>
  <c r="T90" i="7" s="1"/>
  <c r="T46" i="7" a="1"/>
  <c r="T46" i="7" s="1"/>
  <c r="U54" i="7" a="1"/>
  <c r="U54" i="7" s="1"/>
  <c r="V54" i="7" s="1" a="1"/>
  <c r="V54" i="7" s="1"/>
  <c r="W54" i="7" s="1" a="1"/>
  <c r="W54" i="7" s="1"/>
  <c r="V10" i="7" a="1"/>
  <c r="V10" i="7" s="1"/>
  <c r="W10" i="7" s="1" a="1"/>
  <c r="W10" i="7" s="1"/>
  <c r="W89" i="7" a="1"/>
  <c r="W89" i="7" s="1"/>
  <c r="V16" i="7" a="1"/>
  <c r="V16" i="7" s="1"/>
  <c r="W16" i="7" s="1" a="1"/>
  <c r="W16" i="7" s="1"/>
  <c r="U9" i="7" a="1"/>
  <c r="U9" i="7" s="1"/>
  <c r="V9" i="7" s="1" a="1"/>
  <c r="V9" i="7" s="1"/>
  <c r="W9" i="7" s="1" a="1"/>
  <c r="W9" i="7" s="1"/>
  <c r="U57" i="7" a="1"/>
  <c r="U57" i="7" s="1"/>
  <c r="V57" i="7" s="1" a="1"/>
  <c r="V57" i="7" s="1"/>
  <c r="W57" i="7" s="1" a="1"/>
  <c r="W57" i="7" s="1"/>
  <c r="U3" i="7" a="1"/>
  <c r="U3" i="7" s="1"/>
  <c r="V3" i="7" s="1" a="1"/>
  <c r="V3" i="7" s="1"/>
  <c r="U66" i="7" a="1"/>
  <c r="U66" i="7" s="1"/>
  <c r="U42" i="7" a="1"/>
  <c r="U42" i="7" s="1"/>
  <c r="V42" i="7" s="1" a="1"/>
  <c r="V42" i="7" s="1"/>
  <c r="W42" i="7" s="1" a="1"/>
  <c r="W42" i="7" s="1"/>
  <c r="U72" i="7" a="1"/>
  <c r="U72" i="7" s="1"/>
  <c r="U11" i="7" a="1"/>
  <c r="U11" i="7" s="1"/>
  <c r="T30" i="7" a="1"/>
  <c r="T30" i="7" s="1"/>
  <c r="T5" i="7" a="1"/>
  <c r="T5" i="7" s="1"/>
  <c r="U5" i="7" s="1" a="1"/>
  <c r="U5" i="7" s="1"/>
  <c r="V5" i="7" s="1" a="1"/>
  <c r="V5" i="7" s="1"/>
  <c r="V41" i="7" a="1"/>
  <c r="V41" i="7" s="1"/>
  <c r="W41" i="7" s="1" a="1"/>
  <c r="W41" i="7" s="1"/>
  <c r="U45" i="7" a="1"/>
  <c r="U45" i="7" s="1"/>
  <c r="V45" i="7" s="1" a="1"/>
  <c r="V45" i="7" s="1"/>
  <c r="W45" i="7" s="1" a="1"/>
  <c r="W45" i="7" s="1"/>
  <c r="U88" i="7" a="1"/>
  <c r="U88" i="7" s="1"/>
  <c r="V88" i="7" s="1" a="1"/>
  <c r="V88" i="7" s="1"/>
  <c r="U40" i="7" a="1"/>
  <c r="U40" i="7" s="1"/>
  <c r="V40" i="7" s="1" a="1"/>
  <c r="V40" i="7" s="1"/>
  <c r="T58" i="7" a="1"/>
  <c r="T58" i="7" s="1"/>
  <c r="T39" i="7" a="1"/>
  <c r="T39" i="7" s="1"/>
  <c r="U21" i="7" a="1"/>
  <c r="U21" i="7" s="1"/>
  <c r="T51" i="7" a="1"/>
  <c r="T51" i="7" s="1"/>
  <c r="U51" i="7" s="1" a="1"/>
  <c r="U51" i="7" s="1"/>
  <c r="V51" i="7" s="1" a="1"/>
  <c r="V51" i="7" s="1"/>
  <c r="U75" i="7" a="1"/>
  <c r="U75" i="7" s="1"/>
  <c r="T17" i="7" a="1"/>
  <c r="T17" i="7" s="1"/>
  <c r="T47" i="7" a="1"/>
  <c r="T47" i="7" s="1"/>
  <c r="U47" i="7" s="1" a="1"/>
  <c r="U47" i="7" s="1"/>
  <c r="V47" i="7" s="1" a="1"/>
  <c r="V47" i="7" s="1"/>
  <c r="U81" i="7" a="1"/>
  <c r="U81" i="7" s="1"/>
  <c r="V81" i="7" s="1" a="1"/>
  <c r="V81" i="7" s="1"/>
  <c r="T22" i="7" a="1"/>
  <c r="T22" i="7" s="1"/>
  <c r="U22" i="7" s="1" a="1"/>
  <c r="U22" i="7" s="1"/>
  <c r="T53" i="7" a="1"/>
  <c r="T53" i="7" s="1"/>
  <c r="T12" i="7" a="1"/>
  <c r="T12" i="7" s="1"/>
  <c r="T69" i="7" a="1"/>
  <c r="T69" i="7" s="1"/>
  <c r="U6" i="7" a="1"/>
  <c r="U6" i="7" s="1"/>
  <c r="V6" i="7" s="1" a="1"/>
  <c r="V6" i="7" s="1"/>
  <c r="U60" i="7" a="1"/>
  <c r="U60" i="7" s="1"/>
  <c r="U87" i="7" a="1"/>
  <c r="U87" i="7" s="1"/>
  <c r="V87" i="7" s="1" a="1"/>
  <c r="V87" i="7" s="1"/>
  <c r="W87" i="7" s="1" a="1"/>
  <c r="W87" i="7" s="1"/>
  <c r="U33" i="7" a="1"/>
  <c r="U33" i="7" s="1"/>
  <c r="V33" i="7" s="1" a="1"/>
  <c r="V33" i="7" s="1"/>
  <c r="T23" i="7" a="1"/>
  <c r="T23" i="7" s="1"/>
  <c r="U23" i="7" s="1" a="1"/>
  <c r="U23" i="7" s="1"/>
  <c r="U28" i="7" a="1"/>
  <c r="U28" i="7" s="1"/>
  <c r="V28" i="7" s="1" a="1"/>
  <c r="V28" i="7" s="1"/>
  <c r="W28" i="7" s="1" a="1"/>
  <c r="W28" i="7" s="1"/>
  <c r="T71" i="7" a="1"/>
  <c r="T71" i="7" s="1"/>
  <c r="V63" i="7" a="1"/>
  <c r="V63" i="7" s="1"/>
  <c r="W63" i="7" s="1" a="1"/>
  <c r="W63" i="7" s="1"/>
  <c r="T34" i="7" a="1"/>
  <c r="T34" i="7" s="1"/>
  <c r="U34" i="7" s="1" a="1"/>
  <c r="U34" i="7" s="1"/>
  <c r="V34" i="7" s="1" a="1"/>
  <c r="V34" i="7" s="1"/>
  <c r="U35" i="7" a="1"/>
  <c r="U35" i="7" s="1"/>
  <c r="V35" i="7" s="1" a="1"/>
  <c r="V35" i="7" s="1"/>
  <c r="T84" i="7" a="1"/>
  <c r="T84" i="7" s="1"/>
  <c r="T83" i="7" a="1"/>
  <c r="T83" i="7" s="1"/>
  <c r="U83" i="7" s="1" a="1"/>
  <c r="U83" i="7" s="1"/>
  <c r="T76" i="7" a="1"/>
  <c r="T76" i="7" s="1"/>
  <c r="U76" i="7" s="1" a="1"/>
  <c r="U76" i="7" s="1"/>
  <c r="T18" i="7" a="1"/>
  <c r="T18" i="7" s="1"/>
  <c r="U18" i="7" s="1" a="1"/>
  <c r="U18" i="7" s="1"/>
  <c r="U77" i="7" a="1"/>
  <c r="U77" i="7" s="1"/>
  <c r="T65" i="7" a="1"/>
  <c r="T65" i="7" s="1"/>
  <c r="T82" i="7" a="1"/>
  <c r="T82" i="7" s="1"/>
  <c r="U82" i="7" s="1" a="1"/>
  <c r="U82" i="7" s="1"/>
  <c r="V82" i="7" s="1" a="1"/>
  <c r="V82" i="7" s="1"/>
  <c r="U59" i="7" a="1"/>
  <c r="U59" i="7" s="1"/>
  <c r="T78" i="7" a="1"/>
  <c r="T78" i="7" s="1"/>
  <c r="T46" i="2" a="1"/>
  <c r="T46" i="2" s="1"/>
  <c r="U46" i="2" s="1" a="1"/>
  <c r="U46" i="2" s="1"/>
  <c r="V46" i="2" s="1" a="1"/>
  <c r="V46" i="2" s="1"/>
  <c r="W46" i="2" s="1" a="1"/>
  <c r="W46" i="2" s="1"/>
  <c r="U59" i="2" a="1"/>
  <c r="U59" i="2" s="1"/>
  <c r="V59" i="2" s="1" a="1"/>
  <c r="V59" i="2" s="1"/>
  <c r="W59" i="2" s="1" a="1"/>
  <c r="W59" i="2" s="1"/>
  <c r="T87" i="2" a="1"/>
  <c r="T87" i="2" s="1"/>
  <c r="U87" i="2" s="1" a="1"/>
  <c r="U87" i="2" s="1"/>
  <c r="V87" i="2" s="1" a="1"/>
  <c r="V87" i="2" s="1"/>
  <c r="T58" i="2" a="1"/>
  <c r="T58" i="2" s="1"/>
  <c r="U58" i="2" s="1" a="1"/>
  <c r="U58" i="2" s="1"/>
  <c r="T28" i="2" a="1"/>
  <c r="T28" i="2" s="1"/>
  <c r="U28" i="2" s="1" a="1"/>
  <c r="U28" i="2" s="1"/>
  <c r="V28" i="2" s="1" a="1"/>
  <c r="V28" i="2" s="1"/>
  <c r="T78" i="2" a="1"/>
  <c r="T78" i="2" s="1"/>
  <c r="U78" i="2" s="1" a="1"/>
  <c r="U78" i="2" s="1"/>
  <c r="V78" i="2" s="1" a="1"/>
  <c r="V78" i="2" s="1"/>
  <c r="T65" i="2" a="1"/>
  <c r="T65" i="2" s="1"/>
  <c r="U65" i="2" s="1" a="1"/>
  <c r="U65" i="2" s="1"/>
  <c r="V65" i="2" s="1" a="1"/>
  <c r="V65" i="2" s="1"/>
  <c r="U82" i="2" a="1"/>
  <c r="U82" i="2" s="1"/>
  <c r="T33" i="2" a="1"/>
  <c r="T33" i="2" s="1"/>
  <c r="U33" i="2" s="1" a="1"/>
  <c r="U33" i="2" s="1"/>
  <c r="U27" i="2" a="1"/>
  <c r="U27" i="2" s="1"/>
  <c r="V27" i="2" s="1" a="1"/>
  <c r="V27" i="2" s="1"/>
  <c r="W27" i="2" s="1" a="1"/>
  <c r="W27" i="2" s="1"/>
  <c r="T81" i="2" a="1"/>
  <c r="T81" i="2" s="1"/>
  <c r="U81" i="2" s="1" a="1"/>
  <c r="U81" i="2" s="1"/>
  <c r="T75" i="2" a="1"/>
  <c r="T75" i="2" s="1"/>
  <c r="U75" i="2" s="1" a="1"/>
  <c r="U75" i="2" s="1"/>
  <c r="T90" i="2" a="1"/>
  <c r="T90" i="2" s="1"/>
  <c r="U90" i="2" s="1" a="1"/>
  <c r="U90" i="2" s="1"/>
  <c r="V90" i="2" s="1" a="1"/>
  <c r="V90" i="2" s="1"/>
  <c r="V47" i="2" a="1"/>
  <c r="V47" i="2" s="1"/>
  <c r="W47" i="2" s="1" a="1"/>
  <c r="W47" i="2" s="1"/>
  <c r="T71" i="2" a="1"/>
  <c r="T71" i="2" s="1"/>
  <c r="U51" i="2" a="1"/>
  <c r="U51" i="2" s="1"/>
  <c r="V51" i="2" s="1" a="1"/>
  <c r="V51" i="2" s="1"/>
  <c r="W51" i="2" s="1" a="1"/>
  <c r="W51" i="2" s="1"/>
  <c r="T11" i="2" a="1"/>
  <c r="T11" i="2" s="1"/>
  <c r="U11" i="2" s="1" a="1"/>
  <c r="U11" i="2" s="1"/>
  <c r="T89" i="2" a="1"/>
  <c r="T89" i="2" s="1"/>
  <c r="T60" i="2" a="1"/>
  <c r="T60" i="2" s="1"/>
  <c r="U60" i="2" s="1" a="1"/>
  <c r="U60" i="2" s="1"/>
  <c r="U83" i="2" a="1"/>
  <c r="U83" i="2" s="1"/>
  <c r="V83" i="2" s="1" a="1"/>
  <c r="V83" i="2" s="1"/>
  <c r="W83" i="2" s="1" a="1"/>
  <c r="W83" i="2" s="1"/>
  <c r="T9" i="2" a="1"/>
  <c r="T9" i="2" s="1"/>
  <c r="U9" i="2" s="1" a="1"/>
  <c r="U9" i="2" s="1"/>
  <c r="T70" i="2" a="1"/>
  <c r="T70" i="2" s="1"/>
  <c r="U70" i="2" s="1" a="1"/>
  <c r="U70" i="2" s="1"/>
  <c r="T64" i="2" a="1"/>
  <c r="T64" i="2" s="1"/>
  <c r="U77" i="2" a="1"/>
  <c r="U77" i="2" s="1"/>
  <c r="V77" i="2" s="1" a="1"/>
  <c r="V77" i="2" s="1"/>
  <c r="T5" i="2" a="1"/>
  <c r="T5" i="2" s="1"/>
  <c r="U5" i="2" s="1" a="1"/>
  <c r="U5" i="2" s="1"/>
  <c r="T12" i="2" a="1"/>
  <c r="T12" i="2" s="1"/>
  <c r="U12" i="2" s="1" a="1"/>
  <c r="U12" i="2" s="1"/>
  <c r="T24" i="2" a="1"/>
  <c r="T24" i="2" s="1"/>
  <c r="U24" i="2" s="1" a="1"/>
  <c r="U24" i="2" s="1"/>
  <c r="T66" i="2" a="1"/>
  <c r="T66" i="2" s="1"/>
  <c r="U66" i="2" s="1" a="1"/>
  <c r="U66" i="2" s="1"/>
  <c r="U17" i="2" a="1"/>
  <c r="U17" i="2" s="1"/>
  <c r="T63" i="2" a="1"/>
  <c r="T63" i="2" s="1"/>
  <c r="U63" i="2" s="1" a="1"/>
  <c r="U63" i="2" s="1"/>
  <c r="V39" i="2" a="1"/>
  <c r="V39" i="2" s="1"/>
  <c r="W39" i="2" s="1" a="1"/>
  <c r="W39" i="2" s="1"/>
  <c r="T30" i="2" a="1"/>
  <c r="T30" i="2" s="1"/>
  <c r="T45" i="2" a="1"/>
  <c r="T45" i="2" s="1"/>
  <c r="U45" i="2" s="1" a="1"/>
  <c r="U45" i="2" s="1"/>
  <c r="T54" i="2" a="1"/>
  <c r="T54" i="2" s="1"/>
  <c r="U54" i="2" s="1" a="1"/>
  <c r="U54" i="2" s="1"/>
  <c r="T52" i="2" a="1"/>
  <c r="T52" i="2" s="1"/>
  <c r="U52" i="2" s="1" a="1"/>
  <c r="U52" i="2" s="1"/>
  <c r="T53" i="2" a="1"/>
  <c r="T53" i="2" s="1"/>
  <c r="U53" i="2" s="1" a="1"/>
  <c r="U53" i="2" s="1"/>
  <c r="V88" i="2" a="1"/>
  <c r="V88" i="2" s="1"/>
  <c r="W88" i="2" s="1" a="1"/>
  <c r="W88" i="2" s="1"/>
  <c r="T29" i="2" a="1"/>
  <c r="T29" i="2" s="1"/>
  <c r="U29" i="2" s="1" a="1"/>
  <c r="U29" i="2" s="1"/>
  <c r="T18" i="2" a="1"/>
  <c r="T18" i="2" s="1"/>
  <c r="U18" i="2" s="1" a="1"/>
  <c r="U18" i="2" s="1"/>
  <c r="T42" i="2" a="1"/>
  <c r="T42" i="2" s="1"/>
  <c r="T23" i="2" a="1"/>
  <c r="T23" i="2" s="1"/>
  <c r="U23" i="2" s="1" a="1"/>
  <c r="U23" i="2" s="1"/>
  <c r="T69" i="2" a="1"/>
  <c r="T69" i="2" s="1"/>
  <c r="U22" i="2" a="1"/>
  <c r="U22" i="2" s="1"/>
  <c r="T40" i="2" a="1"/>
  <c r="T40" i="2" s="1"/>
  <c r="T15" i="2" a="1"/>
  <c r="T15" i="2" s="1"/>
  <c r="T57" i="2" a="1"/>
  <c r="T57" i="2" s="1"/>
  <c r="T4" i="2" a="1"/>
  <c r="T4" i="2" s="1"/>
  <c r="U4" i="2" s="1" a="1"/>
  <c r="U4" i="2" s="1"/>
  <c r="T16" i="2" a="1"/>
  <c r="T16" i="2" s="1"/>
  <c r="U84" i="2" a="1"/>
  <c r="U84" i="2" s="1"/>
  <c r="V84" i="2" s="1" a="1"/>
  <c r="V84" i="2" s="1"/>
  <c r="W84" i="2" s="1" a="1"/>
  <c r="W84" i="2" s="1"/>
  <c r="U35" i="2" a="1"/>
  <c r="U35" i="2" s="1"/>
  <c r="T10" i="2" a="1"/>
  <c r="T10" i="2" s="1"/>
  <c r="T48" i="2" a="1"/>
  <c r="T48" i="2" s="1"/>
  <c r="T72" i="2" a="1"/>
  <c r="T72" i="2" s="1"/>
  <c r="T41" i="2" a="1"/>
  <c r="T41" i="2" s="1"/>
  <c r="U6" i="2" a="1"/>
  <c r="U6" i="2" s="1"/>
  <c r="V6" i="2" s="1" a="1"/>
  <c r="V6" i="2" s="1"/>
  <c r="T34" i="2" a="1"/>
  <c r="T34" i="2" s="1"/>
  <c r="T21" i="2" a="1"/>
  <c r="T21" i="2" s="1"/>
  <c r="T36" i="2" a="1"/>
  <c r="T36" i="2" s="1"/>
  <c r="U36" i="2" s="1" a="1"/>
  <c r="U36" i="2" s="1"/>
  <c r="T76" i="2" a="1"/>
  <c r="T76" i="2" s="1"/>
  <c r="U3" i="2" a="1"/>
  <c r="U3" i="2" s="1"/>
  <c r="V75" i="9" l="1" a="1"/>
  <c r="V75" i="9" s="1"/>
  <c r="V40" i="9" a="1"/>
  <c r="V40" i="9" s="1"/>
  <c r="V53" i="9" a="1"/>
  <c r="V53" i="9" s="1"/>
  <c r="U69" i="9" a="1"/>
  <c r="U69" i="9" s="1"/>
  <c r="V69" i="9" s="1" a="1"/>
  <c r="V69" i="9" s="1"/>
  <c r="V33" i="9" a="1"/>
  <c r="V33" i="9" s="1"/>
  <c r="U14" i="9" a="1"/>
  <c r="U14" i="9" s="1"/>
  <c r="V14" i="9" s="1" a="1"/>
  <c r="V14" i="9" s="1"/>
  <c r="V20" i="9" a="1"/>
  <c r="V20" i="9" s="1"/>
  <c r="V25" i="9" a="1"/>
  <c r="V25" i="9" s="1"/>
  <c r="T38" i="9" a="1"/>
  <c r="T38" i="9" s="1"/>
  <c r="U38" i="9" s="1" a="1"/>
  <c r="U38" i="9" s="1"/>
  <c r="U44" i="9" a="1"/>
  <c r="U44" i="9" s="1"/>
  <c r="V44" i="9" s="1" a="1"/>
  <c r="V44" i="9" s="1"/>
  <c r="T43" i="9" a="1"/>
  <c r="T43" i="9" s="1"/>
  <c r="U43" i="9" s="1" a="1"/>
  <c r="U43" i="9" s="1"/>
  <c r="U58" i="9" a="1"/>
  <c r="U58" i="9" s="1"/>
  <c r="V58" i="9" s="1" a="1"/>
  <c r="V58" i="9" s="1"/>
  <c r="V10" i="9" a="1"/>
  <c r="V10" i="9" s="1"/>
  <c r="U30" i="9" a="1"/>
  <c r="U30" i="9" s="1"/>
  <c r="V30" i="9" s="1" a="1"/>
  <c r="V30" i="9" s="1"/>
  <c r="T59" i="9" a="1"/>
  <c r="T59" i="9" s="1"/>
  <c r="U59" i="9" s="1" a="1"/>
  <c r="U59" i="9" s="1"/>
  <c r="V59" i="9" s="1" a="1"/>
  <c r="V59" i="9" s="1"/>
  <c r="V65" i="9" a="1"/>
  <c r="V65" i="9" s="1"/>
  <c r="V9" i="9" a="1"/>
  <c r="V9" i="9" s="1"/>
  <c r="W18" i="8" a="1"/>
  <c r="W18" i="8" s="1"/>
  <c r="W45" i="8" a="1"/>
  <c r="W45" i="8" s="1"/>
  <c r="W59" i="8" a="1"/>
  <c r="W59" i="8" s="1"/>
  <c r="V94" i="8" a="1"/>
  <c r="V94" i="8" s="1"/>
  <c r="W94" i="8" s="1" a="1"/>
  <c r="W94" i="8" s="1"/>
  <c r="U81" i="8" a="1"/>
  <c r="U81" i="8" s="1"/>
  <c r="W66" i="8" a="1"/>
  <c r="W66" i="8" s="1"/>
  <c r="V24" i="8" a="1"/>
  <c r="V24" i="8" s="1"/>
  <c r="W24" i="8" s="1" a="1"/>
  <c r="W24" i="8" s="1"/>
  <c r="V25" i="8" a="1"/>
  <c r="V25" i="8" s="1"/>
  <c r="W25" i="8" s="1" a="1"/>
  <c r="W25" i="8" s="1"/>
  <c r="W31" i="8" a="1"/>
  <c r="W31" i="8" s="1"/>
  <c r="W27" i="8" a="1"/>
  <c r="W27" i="8" s="1"/>
  <c r="W39" i="8" a="1"/>
  <c r="W39" i="8" s="1"/>
  <c r="V10" i="8" a="1"/>
  <c r="V10" i="8" s="1"/>
  <c r="W10" i="8" s="1" a="1"/>
  <c r="W10" i="8" s="1"/>
  <c r="V47" i="8" a="1"/>
  <c r="V47" i="8" s="1"/>
  <c r="W47" i="8" s="1" a="1"/>
  <c r="W47" i="8" s="1"/>
  <c r="U55" i="8" a="1"/>
  <c r="U55" i="8" s="1"/>
  <c r="V55" i="8" s="1" a="1"/>
  <c r="V55" i="8" s="1"/>
  <c r="W55" i="8" s="1" a="1"/>
  <c r="W55" i="8" s="1"/>
  <c r="W67" i="8" a="1"/>
  <c r="W67" i="8" s="1"/>
  <c r="V75" i="8" a="1"/>
  <c r="V75" i="8" s="1"/>
  <c r="W75" i="8" s="1" a="1"/>
  <c r="W75" i="8" s="1"/>
  <c r="U90" i="8" a="1"/>
  <c r="U90" i="8" s="1"/>
  <c r="W48" i="8" a="1"/>
  <c r="W48" i="8" s="1"/>
  <c r="V102" i="8" a="1"/>
  <c r="V102" i="8" s="1"/>
  <c r="W102" i="8" s="1" a="1"/>
  <c r="W102" i="8" s="1"/>
  <c r="V6" i="8" a="1"/>
  <c r="V6" i="8" s="1"/>
  <c r="W6" i="8" s="1" a="1"/>
  <c r="W6" i="8" s="1"/>
  <c r="V104" i="8" a="1"/>
  <c r="V104" i="8" s="1"/>
  <c r="W104" i="8" s="1" a="1"/>
  <c r="W104" i="8" s="1"/>
  <c r="U12" i="8" a="1"/>
  <c r="U12" i="8" s="1"/>
  <c r="V12" i="8" s="1" a="1"/>
  <c r="V12" i="8" s="1"/>
  <c r="W12" i="8" s="1" a="1"/>
  <c r="W12" i="8" s="1"/>
  <c r="U4" i="8" a="1"/>
  <c r="U4" i="8" s="1"/>
  <c r="U80" i="8" a="1"/>
  <c r="U80" i="8" s="1"/>
  <c r="V80" i="8" s="1" a="1"/>
  <c r="V80" i="8" s="1"/>
  <c r="U13" i="8" a="1"/>
  <c r="U13" i="8" s="1"/>
  <c r="U41" i="8" a="1"/>
  <c r="U41" i="8" s="1"/>
  <c r="V41" i="8" s="1" a="1"/>
  <c r="V41" i="8" s="1"/>
  <c r="V60" i="8" a="1"/>
  <c r="V60" i="8" s="1"/>
  <c r="W60" i="8" s="1" a="1"/>
  <c r="W60" i="8" s="1"/>
  <c r="V97" i="8" a="1"/>
  <c r="V97" i="8" s="1"/>
  <c r="W97" i="8" s="1" a="1"/>
  <c r="W97" i="8" s="1"/>
  <c r="W19" i="8" a="1"/>
  <c r="W19" i="8" s="1"/>
  <c r="U54" i="8" a="1"/>
  <c r="U54" i="8" s="1"/>
  <c r="V54" i="8" s="1" a="1"/>
  <c r="V54" i="8" s="1"/>
  <c r="V5" i="8" a="1"/>
  <c r="V5" i="8" s="1"/>
  <c r="W5" i="8" s="1" a="1"/>
  <c r="W5" i="8" s="1"/>
  <c r="W76" i="8" a="1"/>
  <c r="W76" i="8" s="1"/>
  <c r="W48" i="7" a="1"/>
  <c r="W48" i="7" s="1"/>
  <c r="V70" i="7" a="1"/>
  <c r="V70" i="7" s="1"/>
  <c r="W70" i="7" s="1" a="1"/>
  <c r="W70" i="7" s="1"/>
  <c r="V15" i="7" a="1"/>
  <c r="V15" i="7" s="1"/>
  <c r="W15" i="7" s="1" a="1"/>
  <c r="W15" i="7" s="1"/>
  <c r="W6" i="7" a="1"/>
  <c r="W6" i="7" s="1"/>
  <c r="U90" i="7" a="1"/>
  <c r="U90" i="7" s="1"/>
  <c r="U46" i="7" a="1"/>
  <c r="U46" i="7" s="1"/>
  <c r="V46" i="7" s="1" a="1"/>
  <c r="V46" i="7" s="1"/>
  <c r="W46" i="7" s="1" a="1"/>
  <c r="W46" i="7" s="1"/>
  <c r="W81" i="7" a="1"/>
  <c r="W81" i="7" s="1"/>
  <c r="W40" i="7" a="1"/>
  <c r="W40" i="7" s="1"/>
  <c r="W82" i="7" a="1"/>
  <c r="W82" i="7" s="1"/>
  <c r="W88" i="7" a="1"/>
  <c r="W88" i="7" s="1"/>
  <c r="V76" i="7" a="1"/>
  <c r="V76" i="7" s="1"/>
  <c r="W76" i="7" s="1" a="1"/>
  <c r="W76" i="7" s="1"/>
  <c r="U30" i="7" a="1"/>
  <c r="U30" i="7" s="1"/>
  <c r="V30" i="7" s="1" a="1"/>
  <c r="V30" i="7" s="1"/>
  <c r="W30" i="7" s="1" a="1"/>
  <c r="W30" i="7" s="1"/>
  <c r="V60" i="7" a="1"/>
  <c r="V60" i="7" s="1"/>
  <c r="W60" i="7" s="1" a="1"/>
  <c r="W60" i="7" s="1"/>
  <c r="W47" i="7" a="1"/>
  <c r="W47" i="7" s="1"/>
  <c r="V21" i="7" a="1"/>
  <c r="V21" i="7" s="1"/>
  <c r="W21" i="7" s="1" a="1"/>
  <c r="W21" i="7" s="1"/>
  <c r="U12" i="7" a="1"/>
  <c r="U12" i="7" s="1"/>
  <c r="V12" i="7" s="1" a="1"/>
  <c r="V12" i="7" s="1"/>
  <c r="W12" i="7" s="1" a="1"/>
  <c r="W12" i="7" s="1"/>
  <c r="V66" i="7" a="1"/>
  <c r="V66" i="7" s="1"/>
  <c r="W66" i="7" s="1" a="1"/>
  <c r="W66" i="7" s="1"/>
  <c r="V59" i="7" a="1"/>
  <c r="V59" i="7" s="1"/>
  <c r="W59" i="7" s="1" a="1"/>
  <c r="W59" i="7" s="1"/>
  <c r="V72" i="7" a="1"/>
  <c r="V72" i="7" s="1"/>
  <c r="W72" i="7" s="1" a="1"/>
  <c r="W72" i="7" s="1"/>
  <c r="V75" i="7" a="1"/>
  <c r="V75" i="7" s="1"/>
  <c r="W75" i="7" s="1" a="1"/>
  <c r="W75" i="7" s="1"/>
  <c r="W33" i="7" a="1"/>
  <c r="W33" i="7" s="1"/>
  <c r="V83" i="7" a="1"/>
  <c r="V83" i="7" s="1"/>
  <c r="W83" i="7" s="1" a="1"/>
  <c r="W83" i="7" s="1"/>
  <c r="W35" i="7" a="1"/>
  <c r="W35" i="7" s="1"/>
  <c r="V23" i="7" a="1"/>
  <c r="V23" i="7" s="1"/>
  <c r="W23" i="7" s="1" a="1"/>
  <c r="W23" i="7" s="1"/>
  <c r="U53" i="7" a="1"/>
  <c r="U53" i="7" s="1"/>
  <c r="V11" i="7" a="1"/>
  <c r="V11" i="7" s="1"/>
  <c r="W11" i="7" s="1" a="1"/>
  <c r="W11" i="7" s="1"/>
  <c r="U78" i="7" a="1"/>
  <c r="U78" i="7" s="1"/>
  <c r="V78" i="7" s="1" a="1"/>
  <c r="V78" i="7" s="1"/>
  <c r="U69" i="7" a="1"/>
  <c r="U69" i="7" s="1"/>
  <c r="V69" i="7" s="1" a="1"/>
  <c r="V69" i="7" s="1"/>
  <c r="W69" i="7" s="1" a="1"/>
  <c r="W69" i="7" s="1"/>
  <c r="U84" i="7" a="1"/>
  <c r="U84" i="7" s="1"/>
  <c r="U65" i="7" a="1"/>
  <c r="U65" i="7" s="1"/>
  <c r="V65" i="7" s="1" a="1"/>
  <c r="V65" i="7" s="1"/>
  <c r="W65" i="7" s="1" a="1"/>
  <c r="W65" i="7" s="1"/>
  <c r="V77" i="7" a="1"/>
  <c r="V77" i="7" s="1"/>
  <c r="W77" i="7" s="1" a="1"/>
  <c r="W77" i="7" s="1"/>
  <c r="W51" i="7" a="1"/>
  <c r="W51" i="7" s="1"/>
  <c r="U71" i="7" a="1"/>
  <c r="U71" i="7" s="1"/>
  <c r="V71" i="7" s="1" a="1"/>
  <c r="V71" i="7" s="1"/>
  <c r="W71" i="7" s="1" a="1"/>
  <c r="W71" i="7" s="1"/>
  <c r="U17" i="7" a="1"/>
  <c r="U17" i="7" s="1"/>
  <c r="V17" i="7" s="1" a="1"/>
  <c r="V17" i="7" s="1"/>
  <c r="W34" i="7" a="1"/>
  <c r="W34" i="7" s="1"/>
  <c r="U58" i="7" a="1"/>
  <c r="U58" i="7" s="1"/>
  <c r="V58" i="7" s="1" a="1"/>
  <c r="V58" i="7" s="1"/>
  <c r="U39" i="7" a="1"/>
  <c r="U39" i="7" s="1"/>
  <c r="V39" i="7" s="1" a="1"/>
  <c r="V39" i="7" s="1"/>
  <c r="W39" i="7" s="1" a="1"/>
  <c r="W39" i="7" s="1"/>
  <c r="V22" i="7" a="1"/>
  <c r="V22" i="7" s="1"/>
  <c r="W22" i="7" s="1" a="1"/>
  <c r="W22" i="7" s="1"/>
  <c r="V18" i="7" a="1"/>
  <c r="V18" i="7" s="1"/>
  <c r="W18" i="7" s="1" a="1"/>
  <c r="W18" i="7" s="1"/>
  <c r="W3" i="7" a="1"/>
  <c r="W3" i="7" s="1"/>
  <c r="W5" i="7" a="1"/>
  <c r="W5" i="7" s="1"/>
  <c r="W28" i="2" a="1"/>
  <c r="W28" i="2" s="1"/>
  <c r="V45" i="2" a="1"/>
  <c r="V45" i="2" s="1"/>
  <c r="W45" i="2" s="1" a="1"/>
  <c r="W45" i="2" s="1"/>
  <c r="V24" i="2" a="1"/>
  <c r="V24" i="2" s="1"/>
  <c r="W24" i="2" s="1" a="1"/>
  <c r="W24" i="2" s="1"/>
  <c r="U64" i="2" a="1"/>
  <c r="U64" i="2" s="1"/>
  <c r="V36" i="2" a="1"/>
  <c r="V36" i="2" s="1"/>
  <c r="W36" i="2" s="1" a="1"/>
  <c r="W36" i="2" s="1"/>
  <c r="V11" i="2" a="1"/>
  <c r="V11" i="2" s="1"/>
  <c r="W11" i="2" s="1" a="1"/>
  <c r="W11" i="2" s="1"/>
  <c r="W78" i="2" a="1"/>
  <c r="W78" i="2" s="1"/>
  <c r="V81" i="2" a="1"/>
  <c r="V81" i="2" s="1"/>
  <c r="W81" i="2" s="1" a="1"/>
  <c r="W81" i="2" s="1"/>
  <c r="V12" i="2" a="1"/>
  <c r="V12" i="2" s="1"/>
  <c r="W12" i="2" s="1" a="1"/>
  <c r="W12" i="2" s="1"/>
  <c r="W65" i="2" a="1"/>
  <c r="W65" i="2" s="1"/>
  <c r="V5" i="2" a="1"/>
  <c r="V5" i="2" s="1"/>
  <c r="W5" i="2" s="1" a="1"/>
  <c r="W5" i="2" s="1"/>
  <c r="V58" i="2" a="1"/>
  <c r="V58" i="2" s="1"/>
  <c r="W58" i="2" s="1" a="1"/>
  <c r="W58" i="2" s="1"/>
  <c r="W87" i="2" a="1"/>
  <c r="W87" i="2" s="1"/>
  <c r="V70" i="2" a="1"/>
  <c r="V70" i="2" s="1"/>
  <c r="W70" i="2" s="1" a="1"/>
  <c r="W70" i="2" s="1"/>
  <c r="V9" i="2" a="1"/>
  <c r="V9" i="2" s="1"/>
  <c r="W9" i="2" s="1" a="1"/>
  <c r="W9" i="2" s="1"/>
  <c r="W90" i="2" a="1"/>
  <c r="W90" i="2" s="1"/>
  <c r="V17" i="2" a="1"/>
  <c r="V17" i="2" s="1"/>
  <c r="W17" i="2" s="1" a="1"/>
  <c r="W17" i="2" s="1"/>
  <c r="W6" i="2" a="1"/>
  <c r="W6" i="2" s="1"/>
  <c r="U48" i="2" a="1"/>
  <c r="U48" i="2" s="1"/>
  <c r="V48" i="2" s="1" a="1"/>
  <c r="V48" i="2" s="1"/>
  <c r="U69" i="2" a="1"/>
  <c r="U69" i="2" s="1"/>
  <c r="V69" i="2" s="1" a="1"/>
  <c r="V69" i="2" s="1"/>
  <c r="W69" i="2" s="1" a="1"/>
  <c r="W69" i="2" s="1"/>
  <c r="V18" i="2" a="1"/>
  <c r="V18" i="2" s="1"/>
  <c r="W18" i="2" s="1" a="1"/>
  <c r="W18" i="2" s="1"/>
  <c r="V4" i="2" a="1"/>
  <c r="V4" i="2" s="1"/>
  <c r="W4" i="2" s="1" a="1"/>
  <c r="W4" i="2" s="1"/>
  <c r="V54" i="2" a="1"/>
  <c r="V54" i="2" s="1"/>
  <c r="W54" i="2" s="1" a="1"/>
  <c r="W54" i="2" s="1"/>
  <c r="U16" i="2" a="1"/>
  <c r="U16" i="2" s="1"/>
  <c r="V16" i="2" s="1" a="1"/>
  <c r="V16" i="2" s="1"/>
  <c r="V66" i="2" a="1"/>
  <c r="V66" i="2" s="1"/>
  <c r="W66" i="2" s="1" a="1"/>
  <c r="W66" i="2" s="1"/>
  <c r="V52" i="2" a="1"/>
  <c r="V52" i="2" s="1"/>
  <c r="W52" i="2" s="1" a="1"/>
  <c r="W52" i="2" s="1"/>
  <c r="U72" i="2" a="1"/>
  <c r="U72" i="2" s="1"/>
  <c r="V72" i="2" s="1" a="1"/>
  <c r="V72" i="2" s="1"/>
  <c r="W72" i="2" s="1" a="1"/>
  <c r="W72" i="2" s="1"/>
  <c r="U71" i="2" a="1"/>
  <c r="U71" i="2" s="1"/>
  <c r="V71" i="2" s="1" a="1"/>
  <c r="V71" i="2" s="1"/>
  <c r="W77" i="2" a="1"/>
  <c r="W77" i="2" s="1"/>
  <c r="V75" i="2" a="1"/>
  <c r="V75" i="2" s="1"/>
  <c r="W75" i="2" s="1" a="1"/>
  <c r="W75" i="2" s="1"/>
  <c r="U42" i="2" a="1"/>
  <c r="U42" i="2" s="1"/>
  <c r="V42" i="2" s="1" a="1"/>
  <c r="V42" i="2" s="1"/>
  <c r="U10" i="2" a="1"/>
  <c r="U10" i="2" s="1"/>
  <c r="V10" i="2" s="1" a="1"/>
  <c r="V10" i="2" s="1"/>
  <c r="U41" i="2" a="1"/>
  <c r="U41" i="2" s="1"/>
  <c r="V60" i="2" a="1"/>
  <c r="V60" i="2" s="1"/>
  <c r="W60" i="2" s="1" a="1"/>
  <c r="W60" i="2" s="1"/>
  <c r="U89" i="2" a="1"/>
  <c r="U89" i="2" s="1"/>
  <c r="V89" i="2" s="1" a="1"/>
  <c r="V89" i="2" s="1"/>
  <c r="W89" i="2" s="1" a="1"/>
  <c r="W89" i="2" s="1"/>
  <c r="V23" i="2" a="1"/>
  <c r="V23" i="2" s="1"/>
  <c r="W23" i="2" s="1" a="1"/>
  <c r="W23" i="2" s="1"/>
  <c r="V29" i="2" a="1"/>
  <c r="V29" i="2" s="1"/>
  <c r="W29" i="2" s="1" a="1"/>
  <c r="W29" i="2" s="1"/>
  <c r="U15" i="2" a="1"/>
  <c r="U15" i="2" s="1"/>
  <c r="V15" i="2" s="1" a="1"/>
  <c r="V15" i="2" s="1"/>
  <c r="U57" i="2" a="1"/>
  <c r="U57" i="2" s="1"/>
  <c r="V57" i="2" s="1" a="1"/>
  <c r="V57" i="2" s="1"/>
  <c r="W57" i="2" s="1" a="1"/>
  <c r="W57" i="2" s="1"/>
  <c r="V35" i="2" a="1"/>
  <c r="V35" i="2" s="1"/>
  <c r="W35" i="2" s="1" a="1"/>
  <c r="W35" i="2" s="1"/>
  <c r="V63" i="2" a="1"/>
  <c r="V63" i="2" s="1"/>
  <c r="W63" i="2" s="1" a="1"/>
  <c r="W63" i="2" s="1"/>
  <c r="V33" i="2" a="1"/>
  <c r="V33" i="2" s="1"/>
  <c r="W33" i="2" s="1" a="1"/>
  <c r="W33" i="2" s="1"/>
  <c r="V53" i="2" a="1"/>
  <c r="V53" i="2" s="1"/>
  <c r="W53" i="2" s="1" a="1"/>
  <c r="W53" i="2" s="1"/>
  <c r="U30" i="2" a="1"/>
  <c r="U30" i="2" s="1"/>
  <c r="U76" i="2" a="1"/>
  <c r="U76" i="2" s="1"/>
  <c r="V76" i="2" s="1" a="1"/>
  <c r="V76" i="2" s="1"/>
  <c r="W76" i="2" s="1" a="1"/>
  <c r="W76" i="2" s="1"/>
  <c r="V82" i="2" a="1"/>
  <c r="V82" i="2" s="1"/>
  <c r="W82" i="2" s="1" a="1"/>
  <c r="W82" i="2" s="1"/>
  <c r="V22" i="2" a="1"/>
  <c r="V22" i="2" s="1"/>
  <c r="W22" i="2" s="1" a="1"/>
  <c r="W22" i="2" s="1"/>
  <c r="U34" i="2" a="1"/>
  <c r="U34" i="2" s="1"/>
  <c r="V34" i="2" s="1" a="1"/>
  <c r="V34" i="2" s="1"/>
  <c r="U40" i="2" a="1"/>
  <c r="U40" i="2" s="1"/>
  <c r="V40" i="2" s="1" a="1"/>
  <c r="V40" i="2" s="1"/>
  <c r="W40" i="2" s="1" a="1"/>
  <c r="W40" i="2" s="1"/>
  <c r="U21" i="2" a="1"/>
  <c r="U21" i="2" s="1"/>
  <c r="V21" i="2" s="1" a="1"/>
  <c r="V21" i="2" s="1"/>
  <c r="W21" i="2" s="1" a="1"/>
  <c r="W21" i="2" s="1"/>
  <c r="V3" i="2" a="1"/>
  <c r="V3" i="2" s="1"/>
  <c r="W3" i="2" s="1" a="1"/>
  <c r="W3" i="2" s="1"/>
  <c r="V38" i="9" l="1" a="1"/>
  <c r="V38" i="9" s="1"/>
  <c r="V43" i="9" a="1"/>
  <c r="V43" i="9" s="1"/>
  <c r="V90" i="8" a="1"/>
  <c r="V90" i="8" s="1"/>
  <c r="W90" i="8" s="1" a="1"/>
  <c r="W90" i="8" s="1"/>
  <c r="V4" i="8" a="1"/>
  <c r="V4" i="8" s="1"/>
  <c r="W4" i="8" s="1" a="1"/>
  <c r="W4" i="8" s="1"/>
  <c r="V81" i="8" a="1"/>
  <c r="V81" i="8" s="1"/>
  <c r="W81" i="8" s="1" a="1"/>
  <c r="W81" i="8" s="1"/>
  <c r="V13" i="8" a="1"/>
  <c r="V13" i="8" s="1"/>
  <c r="W13" i="8" s="1" a="1"/>
  <c r="W13" i="8" s="1"/>
  <c r="W41" i="8" a="1"/>
  <c r="W41" i="8" s="1"/>
  <c r="W80" i="8" a="1"/>
  <c r="W80" i="8" s="1"/>
  <c r="W54" i="8" a="1"/>
  <c r="W54" i="8" s="1"/>
  <c r="V90" i="7" a="1"/>
  <c r="V90" i="7" s="1"/>
  <c r="W90" i="7" s="1" a="1"/>
  <c r="W90" i="7" s="1"/>
  <c r="W17" i="7" a="1"/>
  <c r="W17" i="7" s="1"/>
  <c r="W78" i="7" a="1"/>
  <c r="W78" i="7" s="1"/>
  <c r="V53" i="7" a="1"/>
  <c r="V53" i="7" s="1"/>
  <c r="W53" i="7" s="1" a="1"/>
  <c r="W53" i="7" s="1"/>
  <c r="W58" i="7" a="1"/>
  <c r="W58" i="7" s="1"/>
  <c r="V84" i="7" a="1"/>
  <c r="V84" i="7" s="1"/>
  <c r="W84" i="7" s="1" a="1"/>
  <c r="W84" i="7" s="1"/>
  <c r="W42" i="2" a="1"/>
  <c r="W42" i="2" s="1"/>
  <c r="W71" i="2" a="1"/>
  <c r="W71" i="2" s="1"/>
  <c r="W48" i="2" a="1"/>
  <c r="W48" i="2" s="1"/>
  <c r="W16" i="2" a="1"/>
  <c r="W16" i="2" s="1"/>
  <c r="V64" i="2" a="1"/>
  <c r="V64" i="2" s="1"/>
  <c r="W64" i="2" s="1" a="1"/>
  <c r="W64" i="2" s="1"/>
  <c r="W34" i="2" a="1"/>
  <c r="W34" i="2" s="1"/>
  <c r="W15" i="2" a="1"/>
  <c r="W15" i="2" s="1"/>
  <c r="W10" i="2" a="1"/>
  <c r="W10" i="2" s="1"/>
  <c r="V30" i="2" a="1"/>
  <c r="V30" i="2" s="1"/>
  <c r="W30" i="2" s="1" a="1"/>
  <c r="W30" i="2" s="1"/>
  <c r="V41" i="2" a="1"/>
  <c r="V41" i="2" s="1"/>
  <c r="W41" i="2" s="1" a="1"/>
  <c r="W4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FAA774-076E-451A-8E95-3C3CF470425E}" keepAlive="1" name="Query - 1577213729" description="Connection to the '1577213729' query in the workbook." type="5" refreshedVersion="8" background="1" saveData="1">
    <dbPr connection="Provider=Microsoft.Mashup.OleDb.1;Data Source=$Workbook$;Location=1577213729;Extended Properties=&quot;&quot;" command="SELECT * FROM [1577213729]"/>
  </connection>
  <connection id="2" xr16:uid="{25BAAF82-740B-4D3F-820C-DA57E0DE2CA4}" keepAlive="1" name="Query - 1577213729-heuristics" description="Connection to the '1577213729-heuristics' query in the workbook." type="5" refreshedVersion="0" background="1">
    <dbPr connection="Provider=Microsoft.Mashup.OleDb.1;Data Source=$Workbook$;Location=1577213729-heuristics;Extended Properties=&quot;&quot;" command="SELECT * FROM [1577213729-heuristics]"/>
  </connection>
  <connection id="3" xr16:uid="{6B80DEC0-C494-4C0E-AC00-F2763B13514E}" keepAlive="1" name="Query - 1577213729-heuristics-summary" description="Connection to the '1577213729-heuristics-summary' query in the workbook." type="5" refreshedVersion="8" background="1" saveData="1">
    <dbPr connection="Provider=Microsoft.Mashup.OleDb.1;Data Source=$Workbook$;Location=1577213729-heuristics-summary;Extended Properties=&quot;&quot;" command="SELECT * FROM [1577213729-heuristics-summary]"/>
  </connection>
  <connection id="4" xr16:uid="{385BC1CA-4A70-4F9F-BA6A-2A95C8C4DB6A}" keepAlive="1" name="Query - 344450736" description="Connection to the '344450736' query in the workbook." type="5" refreshedVersion="8" background="1" saveData="1">
    <dbPr connection="Provider=Microsoft.Mashup.OleDb.1;Data Source=$Workbook$;Location=344450736;Extended Properties=&quot;&quot;" command="SELECT * FROM [344450736]"/>
  </connection>
  <connection id="5" xr16:uid="{81B85CAC-626F-4727-93FE-665342C0E054}" keepAlive="1" name="Query - 344450736-asp" description="Connection to the '344450736-asp' query in the workbook." type="5" refreshedVersion="0" background="1">
    <dbPr connection="Provider=Microsoft.Mashup.OleDb.1;Data Source=$Workbook$;Location=344450736-asp;Extended Properties=&quot;&quot;" command="SELECT * FROM [344450736-asp]"/>
  </connection>
  <connection id="6" xr16:uid="{7D03C0B3-F56D-4408-87E7-E6F37365FA73}" keepAlive="1" name="Query - 344450736-summary" description="Connection to the '344450736-summary' query in the workbook." type="5" refreshedVersion="0" background="1">
    <dbPr connection="Provider=Microsoft.Mashup.OleDb.1;Data Source=$Workbook$;Location=344450736-summary;Extended Properties=&quot;&quot;" command="SELECT * FROM [344450736-summary]"/>
  </connection>
  <connection id="7" xr16:uid="{833FA527-B455-48C4-8914-16594A8107C7}" keepAlive="1" name="Query - 372845237" description="Connection to the '372845237' query in the workbook." type="5" refreshedVersion="8" background="1" saveData="1">
    <dbPr connection="Provider=Microsoft.Mashup.OleDb.1;Data Source=$Workbook$;Location=372845237;Extended Properties=&quot;&quot;" command="SELECT * FROM [372845237]"/>
  </connection>
  <connection id="8" xr16:uid="{E0E2C7E0-9D42-4CFB-89FF-976AD43BE753}" keepAlive="1" name="Query - 372845237-asp" description="Connection to the '372845237-asp' query in the workbook." type="5" refreshedVersion="0" background="1">
    <dbPr connection="Provider=Microsoft.Mashup.OleDb.1;Data Source=$Workbook$;Location=372845237-asp;Extended Properties=&quot;&quot;" command="SELECT * FROM [372845237-asp]"/>
  </connection>
  <connection id="9" xr16:uid="{E7C5FCA9-BF51-4B63-9B67-05204636BEDC}" keepAlive="1" name="Query - 372845237-summary" description="Connection to the '372845237-summary' query in the workbook." type="5" refreshedVersion="8" background="1" saveData="1">
    <dbPr connection="Provider=Microsoft.Mashup.OleDb.1;Data Source=$Workbook$;Location=372845237-summary;Extended Properties=&quot;&quot;" command="SELECT * FROM [372845237-summary]"/>
  </connection>
  <connection id="10" xr16:uid="{36C1AE6C-6864-481E-98E4-EAEB51E6D9CC}" keepAlive="1" name="Query - summary" description="Connection to the 'summary' query in the workbook." type="5" refreshedVersion="0" background="1">
    <dbPr connection="Provider=Microsoft.Mashup.OleDb.1;Data Source=$Workbook$;Location=summary;Extended Properties=&quot;&quot;" command="SELECT * FROM [summar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<sst xmlns="http://schemas.openxmlformats.org/spreadsheetml/2006/main" count="143" uniqueCount="15">
  <si>
    <t>instance</t>
  </si>
  <si>
    <t>time</t>
  </si>
  <si>
    <t>wine</t>
  </si>
  <si>
    <t>bottles</t>
  </si>
  <si>
    <t>boxes</t>
  </si>
  <si>
    <t>total flattening</t>
  </si>
  <si>
    <t>total time</t>
  </si>
  <si>
    <t>average time</t>
  </si>
  <si>
    <t>average flattening</t>
  </si>
  <si>
    <t>model</t>
  </si>
  <si>
    <t>objective</t>
  </si>
  <si>
    <t>best</t>
  </si>
  <si>
    <t>total grounding</t>
  </si>
  <si>
    <t>TIMEOUT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</si>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</sst>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.hh:mm:ss"/>
    <numFmt numFmtId="165" formatCode="[mm]:ss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rial Nova Cond"/>
      <family val="2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45" fontId="0" fillId="0" borderId="0" xfId="0" applyNumberFormat="1"/>
    <xf numFmtId="0" fontId="1" fillId="0" borderId="0" xfId="0" applyFont="1"/>
    <xf numFmtId="165" fontId="0" fillId="0" borderId="0" xfId="0" applyNumberFormat="1"/>
    <xf numFmtId="0" fontId="0" fillId="0" borderId="1" xfId="0" applyBorder="1"/>
    <xf numFmtId="0" fontId="2" fillId="2" borderId="0" xfId="0" applyFont="1" applyFill="1"/>
    <xf numFmtId="0" fontId="0" fillId="0" borderId="0" xfId="0" applyAlignment="1">
      <alignment horizontal="right"/>
    </xf>
    <xf numFmtId="9" fontId="0" fillId="0" borderId="0" xfId="1" applyFont="1"/>
    <xf numFmtId="10" fontId="0" fillId="0" borderId="0" xfId="1" applyNumberFormat="1" applyFont="1" applyBorder="1"/>
    <xf numFmtId="9" fontId="0" fillId="0" borderId="0" xfId="1" applyFont="1" applyBorder="1"/>
    <xf numFmtId="165" fontId="0" fillId="0" borderId="2" xfId="0" applyNumberFormat="1" applyBorder="1"/>
    <xf numFmtId="10" fontId="0" fillId="0" borderId="2" xfId="1" applyNumberFormat="1" applyFont="1" applyBorder="1"/>
    <xf numFmtId="10" fontId="0" fillId="0" borderId="0" xfId="0" applyNumberFormat="1"/>
  </cellXfs>
  <cellStyles count="2">
    <cellStyle name="Normal" xfId="0" builtinId="0"/>
    <cellStyle name="Per cent" xfId="1" builtinId="5"/>
  </cellStyles>
  <dxfs count="38"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0" formatCode="General"/>
    </dxf>
    <dxf>
      <numFmt numFmtId="165" formatCode="[mm]:ss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0" formatCode="General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0" formatCode="General"/>
    </dxf>
    <dxf>
      <numFmt numFmtId="165" formatCode="[mm]:ss.00"/>
    </dxf>
    <dxf>
      <numFmt numFmtId="0" formatCode="General"/>
    </dxf>
  </dxfs>
  <tableStyles count="1" defaultTableStyle="TableStyleMedium2" defaultPivotStyle="PivotStyleLight16">
    <tableStyle name="Invisible" pivot="0" table="0" count="0" xr9:uid="{6AF65E10-EF78-4BB1-B355-D9EBD17FF664}"/>
  </tableStyles>
  <colors>
    <mruColors>
      <color rgb="FFD95959"/>
      <color rgb="FF8BBF65"/>
      <color rgb="FF5B97D3"/>
      <color rgb="FF945C8B"/>
      <color rgb="FF8A5281"/>
      <color rgb="FF91698A"/>
      <color rgb="FF805679"/>
      <color rgb="FFF2BC57"/>
      <color rgb="FF8C4A81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69928465138998E-2"/>
          <c:y val="3.5477509041301675E-2"/>
          <c:w val="0.96828643356168298"/>
          <c:h val="0.8901031853983255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'372845237'!$S$1</c:f>
              <c:strCache>
                <c:ptCount val="1"/>
                <c:pt idx="0">
                  <c:v>00:10</c:v>
                </c:pt>
              </c:strCache>
            </c:strRef>
          </c:tx>
          <c:spPr>
            <a:solidFill>
              <a:srgbClr val="945C8B"/>
            </a:solidFill>
            <a:ln>
              <a:noFill/>
            </a:ln>
            <a:effectLst/>
          </c:spPr>
          <c:invertIfNegative val="0"/>
          <c:cat>
            <c:multiLvlStrRef>
              <c:f>'372845237'!$Q$2:$R$92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'372845237'!$S$2:$S$91</c:f>
              <c:numCache>
                <c:formatCode>General</c:formatCode>
                <c:ptCount val="90"/>
                <c:pt idx="1">
                  <c:v>11.625</c:v>
                </c:pt>
                <c:pt idx="2">
                  <c:v>10.5</c:v>
                </c:pt>
                <c:pt idx="3">
                  <c:v>10.125</c:v>
                </c:pt>
                <c:pt idx="4">
                  <c:v>3</c:v>
                </c:pt>
                <c:pt idx="7">
                  <c:v>9.625</c:v>
                </c:pt>
                <c:pt idx="8">
                  <c:v>9.625</c:v>
                </c:pt>
                <c:pt idx="9">
                  <c:v>0</c:v>
                </c:pt>
                <c:pt idx="10">
                  <c:v>3.625</c:v>
                </c:pt>
                <c:pt idx="13">
                  <c:v>4.625</c:v>
                </c:pt>
                <c:pt idx="14">
                  <c:v>4.625</c:v>
                </c:pt>
                <c:pt idx="15">
                  <c:v>4.625</c:v>
                </c:pt>
                <c:pt idx="16">
                  <c:v>4.625</c:v>
                </c:pt>
                <c:pt idx="19">
                  <c:v>11</c:v>
                </c:pt>
                <c:pt idx="20">
                  <c:v>6</c:v>
                </c:pt>
                <c:pt idx="21">
                  <c:v>11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2.625</c:v>
                </c:pt>
                <c:pt idx="28">
                  <c:v>0</c:v>
                </c:pt>
                <c:pt idx="31">
                  <c:v>10</c:v>
                </c:pt>
                <c:pt idx="32">
                  <c:v>10</c:v>
                </c:pt>
                <c:pt idx="33">
                  <c:v>10.75</c:v>
                </c:pt>
                <c:pt idx="34">
                  <c:v>9.25</c:v>
                </c:pt>
                <c:pt idx="37">
                  <c:v>10.5</c:v>
                </c:pt>
                <c:pt idx="38">
                  <c:v>9</c:v>
                </c:pt>
                <c:pt idx="39">
                  <c:v>10.5</c:v>
                </c:pt>
                <c:pt idx="40">
                  <c:v>1.5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8.875</c:v>
                </c:pt>
                <c:pt idx="49">
                  <c:v>9</c:v>
                </c:pt>
                <c:pt idx="50">
                  <c:v>9</c:v>
                </c:pt>
                <c:pt idx="51">
                  <c:v>0</c:v>
                </c:pt>
                <c:pt idx="52">
                  <c:v>8.875</c:v>
                </c:pt>
                <c:pt idx="55">
                  <c:v>8.5</c:v>
                </c:pt>
                <c:pt idx="56">
                  <c:v>8.5</c:v>
                </c:pt>
                <c:pt idx="57">
                  <c:v>1.125</c:v>
                </c:pt>
                <c:pt idx="58">
                  <c:v>8.125</c:v>
                </c:pt>
                <c:pt idx="61">
                  <c:v>3</c:v>
                </c:pt>
                <c:pt idx="62">
                  <c:v>0</c:v>
                </c:pt>
                <c:pt idx="63">
                  <c:v>3.75</c:v>
                </c:pt>
                <c:pt idx="64">
                  <c:v>3.75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5.125</c:v>
                </c:pt>
                <c:pt idx="86">
                  <c:v>0</c:v>
                </c:pt>
                <c:pt idx="87">
                  <c:v>5.125</c:v>
                </c:pt>
                <c:pt idx="88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2-4C04-9CAC-5044D565C817}"/>
            </c:ext>
          </c:extLst>
        </c:ser>
        <c:ser>
          <c:idx val="0"/>
          <c:order val="1"/>
          <c:tx>
            <c:strRef>
              <c:f>'372845237'!$T$1</c:f>
              <c:strCache>
                <c:ptCount val="1"/>
                <c:pt idx="0">
                  <c:v>00:30</c:v>
                </c:pt>
              </c:strCache>
            </c:strRef>
          </c:tx>
          <c:spPr>
            <a:solidFill>
              <a:srgbClr val="D95959"/>
            </a:solidFill>
            <a:ln>
              <a:noFill/>
            </a:ln>
            <a:effectLst/>
          </c:spPr>
          <c:invertIfNegative val="0"/>
          <c:cat>
            <c:multiLvlStrRef>
              <c:f>'372845237'!$Q$2:$R$92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'372845237'!$T$2:$T$91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3.75</c:v>
                </c:pt>
                <c:pt idx="7">
                  <c:v>0.375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4.5</c:v>
                </c:pt>
                <c:pt idx="43">
                  <c:v>4.625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8.5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5.125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02-4C04-9CAC-5044D565C817}"/>
            </c:ext>
          </c:extLst>
        </c:ser>
        <c:ser>
          <c:idx val="2"/>
          <c:order val="2"/>
          <c:tx>
            <c:strRef>
              <c:f>'372845237'!$U$1</c:f>
              <c:strCache>
                <c:ptCount val="1"/>
                <c:pt idx="0">
                  <c:v>01:00</c:v>
                </c:pt>
              </c:strCache>
            </c:strRef>
          </c:tx>
          <c:spPr>
            <a:solidFill>
              <a:srgbClr val="F2BC57"/>
            </a:solidFill>
            <a:ln>
              <a:noFill/>
            </a:ln>
            <a:effectLst/>
          </c:spPr>
          <c:invertIfNegative val="0"/>
          <c:cat>
            <c:multiLvlStrRef>
              <c:f>'372845237'!$Q$2:$R$92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'372845237'!$U$2:$U$91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5">
                  <c:v>2.625</c:v>
                </c:pt>
                <c:pt idx="26">
                  <c:v>2.625</c:v>
                </c:pt>
                <c:pt idx="27">
                  <c:v>0</c:v>
                </c:pt>
                <c:pt idx="28">
                  <c:v>2.625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7">
                  <c:v>0</c:v>
                </c:pt>
                <c:pt idx="38">
                  <c:v>1.5</c:v>
                </c:pt>
                <c:pt idx="39">
                  <c:v>0</c:v>
                </c:pt>
                <c:pt idx="40">
                  <c:v>1.5</c:v>
                </c:pt>
                <c:pt idx="43">
                  <c:v>0</c:v>
                </c:pt>
                <c:pt idx="44">
                  <c:v>4.625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0.375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3.375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02-4C04-9CAC-5044D565C817}"/>
            </c:ext>
          </c:extLst>
        </c:ser>
        <c:ser>
          <c:idx val="3"/>
          <c:order val="3"/>
          <c:tx>
            <c:strRef>
              <c:f>'372845237'!$V$1</c:f>
              <c:strCache>
                <c:ptCount val="1"/>
                <c:pt idx="0">
                  <c:v>05:00</c:v>
                </c:pt>
              </c:strCache>
            </c:strRef>
          </c:tx>
          <c:spPr>
            <a:solidFill>
              <a:srgbClr val="8BBF65"/>
            </a:solidFill>
            <a:ln>
              <a:noFill/>
            </a:ln>
            <a:effectLst/>
          </c:spPr>
          <c:invertIfNegative val="0"/>
          <c:cat>
            <c:multiLvlStrRef>
              <c:f>'372845237'!$Q$2:$R$92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'372845237'!$V$2:$V$91</c:f>
              <c:numCache>
                <c:formatCode>General</c:formatCode>
                <c:ptCount val="90"/>
                <c:pt idx="1">
                  <c:v>0</c:v>
                </c:pt>
                <c:pt idx="2">
                  <c:v>1.5</c:v>
                </c:pt>
                <c:pt idx="3">
                  <c:v>0</c:v>
                </c:pt>
                <c:pt idx="4">
                  <c:v>0.75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3.75</c:v>
                </c:pt>
                <c:pt idx="33">
                  <c:v>0</c:v>
                </c:pt>
                <c:pt idx="34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0.375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02-4C04-9CAC-5044D565C817}"/>
            </c:ext>
          </c:extLst>
        </c:ser>
        <c:ser>
          <c:idx val="4"/>
          <c:order val="4"/>
          <c:tx>
            <c:strRef>
              <c:f>'372845237'!$W$1</c:f>
              <c:strCache>
                <c:ptCount val="1"/>
                <c:pt idx="0">
                  <c:v>10:00</c:v>
                </c:pt>
              </c:strCache>
            </c:strRef>
          </c:tx>
          <c:spPr>
            <a:solidFill>
              <a:srgbClr val="5B97D3"/>
            </a:solidFill>
            <a:ln>
              <a:noFill/>
            </a:ln>
            <a:effectLst/>
          </c:spPr>
          <c:invertIfNegative val="0"/>
          <c:cat>
            <c:multiLvlStrRef>
              <c:f>'372845237'!$Q$2:$R$92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'372845237'!$W$2:$W$91</c:f>
              <c:numCache>
                <c:formatCode>General</c:formatCode>
                <c:ptCount val="90"/>
                <c:pt idx="1">
                  <c:v>0.375</c:v>
                </c:pt>
                <c:pt idx="2">
                  <c:v>0</c:v>
                </c:pt>
                <c:pt idx="3">
                  <c:v>0</c:v>
                </c:pt>
                <c:pt idx="4">
                  <c:v>0.375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9.375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0.375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02-4C04-9CAC-5044D565C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695057536"/>
        <c:axId val="695077696"/>
      </c:barChart>
      <c:scatterChart>
        <c:scatterStyle val="lineMarker"/>
        <c:varyColors val="0"/>
        <c:ser>
          <c:idx val="5"/>
          <c:order val="5"/>
          <c:tx>
            <c:v>best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'372845237'!$X$2:$X$91</c:f>
              <c:numCache>
                <c:formatCode>General</c:formatCode>
                <c:ptCount val="90"/>
                <c:pt idx="1">
                  <c:v>12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3">
                  <c:v>4.625</c:v>
                </c:pt>
                <c:pt idx="14">
                  <c:v>4.625</c:v>
                </c:pt>
                <c:pt idx="15">
                  <c:v>4.625</c:v>
                </c:pt>
                <c:pt idx="16">
                  <c:v>4.625</c:v>
                </c:pt>
                <c:pt idx="19">
                  <c:v>11</c:v>
                </c:pt>
                <c:pt idx="20">
                  <c:v>11</c:v>
                </c:pt>
                <c:pt idx="21">
                  <c:v>#N/A</c:v>
                </c:pt>
                <c:pt idx="22">
                  <c:v>#N/A</c:v>
                </c:pt>
                <c:pt idx="25">
                  <c:v>#N/A</c:v>
                </c:pt>
                <c:pt idx="26">
                  <c:v>2.625</c:v>
                </c:pt>
                <c:pt idx="27">
                  <c:v>#N/A</c:v>
                </c:pt>
                <c:pt idx="28">
                  <c:v>#N/A</c:v>
                </c:pt>
                <c:pt idx="31">
                  <c:v>#N/A</c:v>
                </c:pt>
                <c:pt idx="32">
                  <c:v>13.75</c:v>
                </c:pt>
                <c:pt idx="33">
                  <c:v>#N/A</c:v>
                </c:pt>
                <c:pt idx="34">
                  <c:v>#N/A</c:v>
                </c:pt>
                <c:pt idx="37">
                  <c:v>10.5</c:v>
                </c:pt>
                <c:pt idx="38">
                  <c:v>10.5</c:v>
                </c:pt>
                <c:pt idx="39">
                  <c:v>#N/A</c:v>
                </c:pt>
                <c:pt idx="40">
                  <c:v>#N/A</c:v>
                </c:pt>
                <c:pt idx="43">
                  <c:v>16.625</c:v>
                </c:pt>
                <c:pt idx="44">
                  <c:v>16.625</c:v>
                </c:pt>
                <c:pt idx="45">
                  <c:v>#N/A</c:v>
                </c:pt>
                <c:pt idx="46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7">
                  <c:v>6</c:v>
                </c:pt>
                <c:pt idx="68">
                  <c:v>6</c:v>
                </c:pt>
                <c:pt idx="69">
                  <c:v>#N/A</c:v>
                </c:pt>
                <c:pt idx="70">
                  <c:v>#N/A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5.125</c:v>
                </c:pt>
                <c:pt idx="86">
                  <c:v>5.125</c:v>
                </c:pt>
                <c:pt idx="87">
                  <c:v>#N/A</c:v>
                </c:pt>
                <c:pt idx="88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F-447E-A952-0A6359D33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57536"/>
        <c:axId val="695077696"/>
      </c:scatterChart>
      <c:catAx>
        <c:axId val="6950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706F7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695077696"/>
        <c:crosses val="autoZero"/>
        <c:auto val="1"/>
        <c:lblAlgn val="ctr"/>
        <c:lblOffset val="0"/>
        <c:noMultiLvlLbl val="0"/>
      </c:catAx>
      <c:valAx>
        <c:axId val="695077696"/>
        <c:scaling>
          <c:orientation val="minMax"/>
          <c:max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3C3B4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6950575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207941100040641"/>
          <c:y val="0"/>
          <c:w val="0.3039087593095009"/>
          <c:h val="4.03011312583260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 Nova Cond" panose="020F0502020204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69928465138998E-2"/>
          <c:y val="3.5477509041301675E-2"/>
          <c:w val="0.96828643356168298"/>
          <c:h val="0.8901031853983255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'34445073613'!$S$1</c:f>
              <c:strCache>
                <c:ptCount val="1"/>
                <c:pt idx="0">
                  <c:v>00:10</c:v>
                </c:pt>
              </c:strCache>
            </c:strRef>
          </c:tx>
          <c:spPr>
            <a:solidFill>
              <a:srgbClr val="945C8B"/>
            </a:solidFill>
            <a:ln>
              <a:noFill/>
            </a:ln>
            <a:effectLst/>
          </c:spPr>
          <c:invertIfNegative val="0"/>
          <c:cat>
            <c:multiLvlStrRef>
              <c:f>'34445073613'!$Q$2:$R$92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'34445073613'!$S$2:$S$91</c:f>
              <c:numCache>
                <c:formatCode>General</c:formatCode>
                <c:ptCount val="90"/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9.625</c:v>
                </c:pt>
                <c:pt idx="13">
                  <c:v>9.25</c:v>
                </c:pt>
                <c:pt idx="14">
                  <c:v>7</c:v>
                </c:pt>
                <c:pt idx="15">
                  <c:v>4.5</c:v>
                </c:pt>
                <c:pt idx="16">
                  <c:v>3.625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4.5</c:v>
                </c:pt>
                <c:pt idx="25">
                  <c:v>7.75</c:v>
                </c:pt>
                <c:pt idx="26">
                  <c:v>7.75</c:v>
                </c:pt>
                <c:pt idx="27">
                  <c:v>4.75</c:v>
                </c:pt>
                <c:pt idx="28">
                  <c:v>4.875</c:v>
                </c:pt>
                <c:pt idx="31">
                  <c:v>17.25</c:v>
                </c:pt>
                <c:pt idx="32">
                  <c:v>16.5</c:v>
                </c:pt>
                <c:pt idx="33">
                  <c:v>4.5</c:v>
                </c:pt>
                <c:pt idx="34">
                  <c:v>3.375</c:v>
                </c:pt>
                <c:pt idx="37">
                  <c:v>12</c:v>
                </c:pt>
                <c:pt idx="38">
                  <c:v>12</c:v>
                </c:pt>
                <c:pt idx="39">
                  <c:v>3</c:v>
                </c:pt>
                <c:pt idx="40">
                  <c:v>0</c:v>
                </c:pt>
                <c:pt idx="43">
                  <c:v>19</c:v>
                </c:pt>
                <c:pt idx="44">
                  <c:v>14.5</c:v>
                </c:pt>
                <c:pt idx="45">
                  <c:v>12</c:v>
                </c:pt>
                <c:pt idx="46">
                  <c:v>4.375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61">
                  <c:v>15.75</c:v>
                </c:pt>
                <c:pt idx="62">
                  <c:v>12</c:v>
                </c:pt>
                <c:pt idx="63">
                  <c:v>10.5</c:v>
                </c:pt>
                <c:pt idx="64">
                  <c:v>4.125</c:v>
                </c:pt>
                <c:pt idx="67">
                  <c:v>12</c:v>
                </c:pt>
                <c:pt idx="68">
                  <c:v>12</c:v>
                </c:pt>
                <c:pt idx="69">
                  <c:v>3</c:v>
                </c:pt>
                <c:pt idx="70">
                  <c:v>0</c:v>
                </c:pt>
                <c:pt idx="73">
                  <c:v>13</c:v>
                </c:pt>
                <c:pt idx="74">
                  <c:v>15.75</c:v>
                </c:pt>
                <c:pt idx="75">
                  <c:v>7.5</c:v>
                </c:pt>
                <c:pt idx="76">
                  <c:v>3.75</c:v>
                </c:pt>
                <c:pt idx="79">
                  <c:v>12</c:v>
                </c:pt>
                <c:pt idx="80">
                  <c:v>19.5</c:v>
                </c:pt>
                <c:pt idx="81">
                  <c:v>12</c:v>
                </c:pt>
                <c:pt idx="82">
                  <c:v>7.5</c:v>
                </c:pt>
                <c:pt idx="85">
                  <c:v>16.875</c:v>
                </c:pt>
                <c:pt idx="86">
                  <c:v>21.375</c:v>
                </c:pt>
                <c:pt idx="87">
                  <c:v>12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A-4C3B-ACF6-BED733AD37BD}"/>
            </c:ext>
          </c:extLst>
        </c:ser>
        <c:ser>
          <c:idx val="0"/>
          <c:order val="1"/>
          <c:tx>
            <c:strRef>
              <c:f>'34445073613'!$T$1</c:f>
              <c:strCache>
                <c:ptCount val="1"/>
                <c:pt idx="0">
                  <c:v>00:30</c:v>
                </c:pt>
              </c:strCache>
            </c:strRef>
          </c:tx>
          <c:spPr>
            <a:solidFill>
              <a:srgbClr val="D95959"/>
            </a:solidFill>
            <a:ln>
              <a:noFill/>
            </a:ln>
            <a:effectLst/>
          </c:spPr>
          <c:invertIfNegative val="0"/>
          <c:cat>
            <c:multiLvlStrRef>
              <c:f>'34445073613'!$Q$2:$R$92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'34445073613'!$T$2:$T$91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6.25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0.375</c:v>
                </c:pt>
                <c:pt idx="32">
                  <c:v>0</c:v>
                </c:pt>
                <c:pt idx="33">
                  <c:v>0</c:v>
                </c:pt>
                <c:pt idx="34">
                  <c:v>1.125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3">
                  <c:v>0</c:v>
                </c:pt>
                <c:pt idx="44">
                  <c:v>4.5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1.5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8A-4C3B-ACF6-BED733AD37BD}"/>
            </c:ext>
          </c:extLst>
        </c:ser>
        <c:ser>
          <c:idx val="2"/>
          <c:order val="2"/>
          <c:tx>
            <c:strRef>
              <c:f>'34445073613'!$U$1</c:f>
              <c:strCache>
                <c:ptCount val="1"/>
                <c:pt idx="0">
                  <c:v>01:00</c:v>
                </c:pt>
              </c:strCache>
            </c:strRef>
          </c:tx>
          <c:spPr>
            <a:solidFill>
              <a:srgbClr val="F2BC57"/>
            </a:solidFill>
            <a:ln>
              <a:noFill/>
            </a:ln>
            <a:effectLst/>
          </c:spPr>
          <c:invertIfNegative val="0"/>
          <c:cat>
            <c:multiLvlStrRef>
              <c:f>'34445073613'!$Q$2:$R$92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'34445073613'!$U$2:$U$91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0.375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2.625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0.375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0.375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0.125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8A-4C3B-ACF6-BED733AD37BD}"/>
            </c:ext>
          </c:extLst>
        </c:ser>
        <c:ser>
          <c:idx val="3"/>
          <c:order val="3"/>
          <c:tx>
            <c:strRef>
              <c:f>'34445073613'!$V$1</c:f>
              <c:strCache>
                <c:ptCount val="1"/>
                <c:pt idx="0">
                  <c:v>05:00</c:v>
                </c:pt>
              </c:strCache>
            </c:strRef>
          </c:tx>
          <c:spPr>
            <a:solidFill>
              <a:srgbClr val="8BBF65"/>
            </a:solidFill>
            <a:ln>
              <a:noFill/>
            </a:ln>
            <a:effectLst/>
          </c:spPr>
          <c:invertIfNegative val="0"/>
          <c:cat>
            <c:multiLvlStrRef>
              <c:f>'34445073613'!$Q$2:$R$92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'34445073613'!$V$2:$V$91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1.625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1.125</c:v>
                </c:pt>
                <c:pt idx="33">
                  <c:v>0</c:v>
                </c:pt>
                <c:pt idx="34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3">
                  <c:v>1.5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5.625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</c:v>
                </c:pt>
                <c:pt idx="73">
                  <c:v>0.375</c:v>
                </c:pt>
                <c:pt idx="74">
                  <c:v>0</c:v>
                </c:pt>
                <c:pt idx="75">
                  <c:v>0</c:v>
                </c:pt>
                <c:pt idx="76">
                  <c:v>0.75</c:v>
                </c:pt>
                <c:pt idx="79">
                  <c:v>9.75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4.875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8A-4C3B-ACF6-BED733AD37BD}"/>
            </c:ext>
          </c:extLst>
        </c:ser>
        <c:ser>
          <c:idx val="4"/>
          <c:order val="4"/>
          <c:tx>
            <c:strRef>
              <c:f>'34445073613'!$W$1</c:f>
              <c:strCache>
                <c:ptCount val="1"/>
                <c:pt idx="0">
                  <c:v>10:00</c:v>
                </c:pt>
              </c:strCache>
            </c:strRef>
          </c:tx>
          <c:spPr>
            <a:solidFill>
              <a:srgbClr val="5B97D3"/>
            </a:solidFill>
            <a:ln>
              <a:noFill/>
            </a:ln>
            <a:effectLst/>
          </c:spPr>
          <c:invertIfNegative val="0"/>
          <c:cat>
            <c:multiLvlStrRef>
              <c:f>'34445073613'!$Q$2:$R$92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'34445073613'!$W$2:$W$91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0.625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8A-4C3B-ACF6-BED733AD3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695057536"/>
        <c:axId val="695077696"/>
      </c:barChart>
      <c:scatterChart>
        <c:scatterStyle val="lineMarker"/>
        <c:varyColors val="0"/>
        <c:ser>
          <c:idx val="5"/>
          <c:order val="5"/>
          <c:tx>
            <c:v>best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'34445073613'!$X$2:$X$91</c:f>
              <c:numCache>
                <c:formatCode>General</c:formatCode>
                <c:ptCount val="90"/>
                <c:pt idx="1">
                  <c:v>6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3">
                  <c:v>#N/A</c:v>
                </c:pt>
                <c:pt idx="14">
                  <c:v>9.625</c:v>
                </c:pt>
                <c:pt idx="15">
                  <c:v>#N/A</c:v>
                </c:pt>
                <c:pt idx="16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5">
                  <c:v>7.75</c:v>
                </c:pt>
                <c:pt idx="26">
                  <c:v>7.75</c:v>
                </c:pt>
                <c:pt idx="27">
                  <c:v>#N/A</c:v>
                </c:pt>
                <c:pt idx="28">
                  <c:v>#N/A</c:v>
                </c:pt>
                <c:pt idx="31">
                  <c:v>#N/A</c:v>
                </c:pt>
                <c:pt idx="32">
                  <c:v>17.625</c:v>
                </c:pt>
                <c:pt idx="33">
                  <c:v>#N/A</c:v>
                </c:pt>
                <c:pt idx="34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#N/A</c:v>
                </c:pt>
                <c:pt idx="61">
                  <c:v>17.625</c:v>
                </c:pt>
                <c:pt idx="62">
                  <c:v>17.625</c:v>
                </c:pt>
                <c:pt idx="63">
                  <c:v>#N/A</c:v>
                </c:pt>
                <c:pt idx="64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8A-4C3B-ACF6-BED733AD3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57536"/>
        <c:axId val="695077696"/>
      </c:scatterChart>
      <c:catAx>
        <c:axId val="6950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706F7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695077696"/>
        <c:crosses val="autoZero"/>
        <c:auto val="1"/>
        <c:lblAlgn val="ctr"/>
        <c:lblOffset val="0"/>
        <c:noMultiLvlLbl val="0"/>
      </c:catAx>
      <c:valAx>
        <c:axId val="695077696"/>
        <c:scaling>
          <c:orientation val="minMax"/>
          <c:max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3C3B4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6950575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207941100040641"/>
          <c:y val="0"/>
          <c:w val="0.3039087593095009"/>
          <c:h val="4.03011312583260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 Nova Cond" panose="020F0502020204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69928465138998E-2"/>
          <c:y val="3.5477509041301675E-2"/>
          <c:w val="0.96828643356168298"/>
          <c:h val="0.8901031853983255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'1577213729'!$S$1</c:f>
              <c:strCache>
                <c:ptCount val="1"/>
                <c:pt idx="0">
                  <c:v>00:10</c:v>
                </c:pt>
              </c:strCache>
            </c:strRef>
          </c:tx>
          <c:spPr>
            <a:solidFill>
              <a:srgbClr val="945C8B"/>
            </a:solidFill>
            <a:ln>
              <a:noFill/>
            </a:ln>
            <a:effectLst/>
          </c:spPr>
          <c:invertIfNegative val="0"/>
          <c:cat>
            <c:multiLvlStrRef>
              <c:f>'1577213729'!$Q$2:$R$107</c:f>
              <c:multiLvlStrCache>
                <c:ptCount val="10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5">
                    <c:v>1</c:v>
                  </c:pt>
                  <c:pt idx="16">
                    <c:v>2</c:v>
                  </c:pt>
                  <c:pt idx="17">
                    <c:v>3</c:v>
                  </c:pt>
                  <c:pt idx="18">
                    <c:v>4</c:v>
                  </c:pt>
                  <c:pt idx="19">
                    <c:v>5</c:v>
                  </c:pt>
                  <c:pt idx="22">
                    <c:v>1</c:v>
                  </c:pt>
                  <c:pt idx="23">
                    <c:v>2</c:v>
                  </c:pt>
                  <c:pt idx="24">
                    <c:v>3</c:v>
                  </c:pt>
                  <c:pt idx="25">
                    <c:v>4</c:v>
                  </c:pt>
                  <c:pt idx="26">
                    <c:v>5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4</c:v>
                  </c:pt>
                  <c:pt idx="33">
                    <c:v>5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7">
                    <c:v>5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7">
                    <c:v>1</c:v>
                  </c:pt>
                  <c:pt idx="58">
                    <c:v>2</c:v>
                  </c:pt>
                  <c:pt idx="59">
                    <c:v>3</c:v>
                  </c:pt>
                  <c:pt idx="60">
                    <c:v>4</c:v>
                  </c:pt>
                  <c:pt idx="61">
                    <c:v>5</c:v>
                  </c:pt>
                  <c:pt idx="64">
                    <c:v>1</c:v>
                  </c:pt>
                  <c:pt idx="65">
                    <c:v>2</c:v>
                  </c:pt>
                  <c:pt idx="66">
                    <c:v>3</c:v>
                  </c:pt>
                  <c:pt idx="67">
                    <c:v>4</c:v>
                  </c:pt>
                  <c:pt idx="68">
                    <c:v>5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  <c:pt idx="74">
                    <c:v>4</c:v>
                  </c:pt>
                  <c:pt idx="75">
                    <c:v>5</c:v>
                  </c:pt>
                  <c:pt idx="78">
                    <c:v>1</c:v>
                  </c:pt>
                  <c:pt idx="79">
                    <c:v>2</c:v>
                  </c:pt>
                  <c:pt idx="80">
                    <c:v>3</c:v>
                  </c:pt>
                  <c:pt idx="81">
                    <c:v>4</c:v>
                  </c:pt>
                  <c:pt idx="82">
                    <c:v>5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  <c:pt idx="89">
                    <c:v>5</c:v>
                  </c:pt>
                  <c:pt idx="92">
                    <c:v>1</c:v>
                  </c:pt>
                  <c:pt idx="93">
                    <c:v>2</c:v>
                  </c:pt>
                  <c:pt idx="94">
                    <c:v>3</c:v>
                  </c:pt>
                  <c:pt idx="95">
                    <c:v>4</c:v>
                  </c:pt>
                  <c:pt idx="96">
                    <c:v>5</c:v>
                  </c:pt>
                  <c:pt idx="99">
                    <c:v>1</c:v>
                  </c:pt>
                  <c:pt idx="100">
                    <c:v>2</c:v>
                  </c:pt>
                  <c:pt idx="101">
                    <c:v>3</c:v>
                  </c:pt>
                  <c:pt idx="102">
                    <c:v>4</c:v>
                  </c:pt>
                  <c:pt idx="103">
                    <c:v>5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  <c:pt idx="35">
                    <c:v>6</c:v>
                  </c:pt>
                  <c:pt idx="42">
                    <c:v>7</c:v>
                  </c:pt>
                  <c:pt idx="49">
                    <c:v>8</c:v>
                  </c:pt>
                  <c:pt idx="56">
                    <c:v>9</c:v>
                  </c:pt>
                  <c:pt idx="63">
                    <c:v>10</c:v>
                  </c:pt>
                  <c:pt idx="70">
                    <c:v>11</c:v>
                  </c:pt>
                  <c:pt idx="77">
                    <c:v>12</c:v>
                  </c:pt>
                  <c:pt idx="84">
                    <c:v>13</c:v>
                  </c:pt>
                  <c:pt idx="91">
                    <c:v>14</c:v>
                  </c:pt>
                  <c:pt idx="98">
                    <c:v>15</c:v>
                  </c:pt>
                  <c:pt idx="105">
                    <c:v>16</c:v>
                  </c:pt>
                </c:lvl>
              </c:multiLvlStrCache>
            </c:multiLvlStrRef>
          </c:cat>
          <c:val>
            <c:numRef>
              <c:f>'1577213729'!$S$2:$S$106</c:f>
              <c:numCache>
                <c:formatCode>General</c:formatCode>
                <c:ptCount val="105"/>
                <c:pt idx="1">
                  <c:v>15</c:v>
                </c:pt>
                <c:pt idx="2">
                  <c:v>18</c:v>
                </c:pt>
                <c:pt idx="3">
                  <c:v>3</c:v>
                </c:pt>
                <c:pt idx="4">
                  <c:v>0</c:v>
                </c:pt>
                <c:pt idx="5">
                  <c:v>22.5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  <c:pt idx="12">
                  <c:v>8.25</c:v>
                </c:pt>
                <c:pt idx="15">
                  <c:v>12</c:v>
                </c:pt>
                <c:pt idx="16">
                  <c:v>12</c:v>
                </c:pt>
                <c:pt idx="17">
                  <c:v>0</c:v>
                </c:pt>
                <c:pt idx="18">
                  <c:v>1.875</c:v>
                </c:pt>
                <c:pt idx="19">
                  <c:v>21.125</c:v>
                </c:pt>
                <c:pt idx="22">
                  <c:v>19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24</c:v>
                </c:pt>
                <c:pt idx="29">
                  <c:v>10</c:v>
                </c:pt>
                <c:pt idx="30">
                  <c:v>9</c:v>
                </c:pt>
                <c:pt idx="31">
                  <c:v>5.875</c:v>
                </c:pt>
                <c:pt idx="32">
                  <c:v>1.5</c:v>
                </c:pt>
                <c:pt idx="33">
                  <c:v>16.375</c:v>
                </c:pt>
                <c:pt idx="36">
                  <c:v>12.5</c:v>
                </c:pt>
                <c:pt idx="37">
                  <c:v>6</c:v>
                </c:pt>
                <c:pt idx="38">
                  <c:v>3</c:v>
                </c:pt>
                <c:pt idx="39">
                  <c:v>0</c:v>
                </c:pt>
                <c:pt idx="40">
                  <c:v>16.25</c:v>
                </c:pt>
                <c:pt idx="43">
                  <c:v>13.5</c:v>
                </c:pt>
                <c:pt idx="44">
                  <c:v>12</c:v>
                </c:pt>
                <c:pt idx="45">
                  <c:v>5</c:v>
                </c:pt>
                <c:pt idx="46">
                  <c:v>2.5</c:v>
                </c:pt>
                <c:pt idx="47">
                  <c:v>24.875</c:v>
                </c:pt>
                <c:pt idx="50">
                  <c:v>12</c:v>
                </c:pt>
                <c:pt idx="51">
                  <c:v>13.875</c:v>
                </c:pt>
                <c:pt idx="52">
                  <c:v>4.5</c:v>
                </c:pt>
                <c:pt idx="53">
                  <c:v>1.875</c:v>
                </c:pt>
                <c:pt idx="54">
                  <c:v>13.875</c:v>
                </c:pt>
                <c:pt idx="57">
                  <c:v>9</c:v>
                </c:pt>
                <c:pt idx="58">
                  <c:v>12</c:v>
                </c:pt>
                <c:pt idx="59">
                  <c:v>10.5</c:v>
                </c:pt>
                <c:pt idx="60">
                  <c:v>0</c:v>
                </c:pt>
                <c:pt idx="61">
                  <c:v>22.25</c:v>
                </c:pt>
                <c:pt idx="64">
                  <c:v>12</c:v>
                </c:pt>
                <c:pt idx="65">
                  <c:v>12</c:v>
                </c:pt>
                <c:pt idx="66">
                  <c:v>3</c:v>
                </c:pt>
                <c:pt idx="67">
                  <c:v>1.5</c:v>
                </c:pt>
                <c:pt idx="68">
                  <c:v>13.5</c:v>
                </c:pt>
                <c:pt idx="71">
                  <c:v>2</c:v>
                </c:pt>
                <c:pt idx="72">
                  <c:v>9</c:v>
                </c:pt>
                <c:pt idx="73">
                  <c:v>0</c:v>
                </c:pt>
                <c:pt idx="74">
                  <c:v>2.25</c:v>
                </c:pt>
                <c:pt idx="75">
                  <c:v>11.25</c:v>
                </c:pt>
                <c:pt idx="78">
                  <c:v>6</c:v>
                </c:pt>
                <c:pt idx="79">
                  <c:v>15</c:v>
                </c:pt>
                <c:pt idx="80">
                  <c:v>19.625</c:v>
                </c:pt>
                <c:pt idx="81">
                  <c:v>1.5</c:v>
                </c:pt>
                <c:pt idx="82">
                  <c:v>18</c:v>
                </c:pt>
                <c:pt idx="85">
                  <c:v>15</c:v>
                </c:pt>
                <c:pt idx="86">
                  <c:v>15</c:v>
                </c:pt>
                <c:pt idx="87">
                  <c:v>14.375</c:v>
                </c:pt>
                <c:pt idx="88">
                  <c:v>1.125</c:v>
                </c:pt>
                <c:pt idx="89">
                  <c:v>20.375</c:v>
                </c:pt>
                <c:pt idx="92">
                  <c:v>18</c:v>
                </c:pt>
                <c:pt idx="93">
                  <c:v>28.5</c:v>
                </c:pt>
                <c:pt idx="94">
                  <c:v>4.125</c:v>
                </c:pt>
                <c:pt idx="95">
                  <c:v>3</c:v>
                </c:pt>
                <c:pt idx="96">
                  <c:v>34.125</c:v>
                </c:pt>
                <c:pt idx="99">
                  <c:v>19</c:v>
                </c:pt>
                <c:pt idx="100">
                  <c:v>16.5</c:v>
                </c:pt>
                <c:pt idx="101">
                  <c:v>3</c:v>
                </c:pt>
                <c:pt idx="102">
                  <c:v>1.5</c:v>
                </c:pt>
                <c:pt idx="103">
                  <c:v>23.875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B-4231-BA1F-D44C3606783E}"/>
            </c:ext>
          </c:extLst>
        </c:ser>
        <c:ser>
          <c:idx val="0"/>
          <c:order val="1"/>
          <c:tx>
            <c:strRef>
              <c:f>'1577213729'!$T$1</c:f>
              <c:strCache>
                <c:ptCount val="1"/>
                <c:pt idx="0">
                  <c:v>00:30</c:v>
                </c:pt>
              </c:strCache>
            </c:strRef>
          </c:tx>
          <c:spPr>
            <a:solidFill>
              <a:srgbClr val="D95959"/>
            </a:solidFill>
            <a:ln>
              <a:noFill/>
            </a:ln>
            <a:effectLst/>
          </c:spPr>
          <c:invertIfNegative val="0"/>
          <c:cat>
            <c:multiLvlStrRef>
              <c:f>'1577213729'!$Q$2:$R$107</c:f>
              <c:multiLvlStrCache>
                <c:ptCount val="10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5">
                    <c:v>1</c:v>
                  </c:pt>
                  <c:pt idx="16">
                    <c:v>2</c:v>
                  </c:pt>
                  <c:pt idx="17">
                    <c:v>3</c:v>
                  </c:pt>
                  <c:pt idx="18">
                    <c:v>4</c:v>
                  </c:pt>
                  <c:pt idx="19">
                    <c:v>5</c:v>
                  </c:pt>
                  <c:pt idx="22">
                    <c:v>1</c:v>
                  </c:pt>
                  <c:pt idx="23">
                    <c:v>2</c:v>
                  </c:pt>
                  <c:pt idx="24">
                    <c:v>3</c:v>
                  </c:pt>
                  <c:pt idx="25">
                    <c:v>4</c:v>
                  </c:pt>
                  <c:pt idx="26">
                    <c:v>5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4</c:v>
                  </c:pt>
                  <c:pt idx="33">
                    <c:v>5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7">
                    <c:v>5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7">
                    <c:v>1</c:v>
                  </c:pt>
                  <c:pt idx="58">
                    <c:v>2</c:v>
                  </c:pt>
                  <c:pt idx="59">
                    <c:v>3</c:v>
                  </c:pt>
                  <c:pt idx="60">
                    <c:v>4</c:v>
                  </c:pt>
                  <c:pt idx="61">
                    <c:v>5</c:v>
                  </c:pt>
                  <c:pt idx="64">
                    <c:v>1</c:v>
                  </c:pt>
                  <c:pt idx="65">
                    <c:v>2</c:v>
                  </c:pt>
                  <c:pt idx="66">
                    <c:v>3</c:v>
                  </c:pt>
                  <c:pt idx="67">
                    <c:v>4</c:v>
                  </c:pt>
                  <c:pt idx="68">
                    <c:v>5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  <c:pt idx="74">
                    <c:v>4</c:v>
                  </c:pt>
                  <c:pt idx="75">
                    <c:v>5</c:v>
                  </c:pt>
                  <c:pt idx="78">
                    <c:v>1</c:v>
                  </c:pt>
                  <c:pt idx="79">
                    <c:v>2</c:v>
                  </c:pt>
                  <c:pt idx="80">
                    <c:v>3</c:v>
                  </c:pt>
                  <c:pt idx="81">
                    <c:v>4</c:v>
                  </c:pt>
                  <c:pt idx="82">
                    <c:v>5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  <c:pt idx="89">
                    <c:v>5</c:v>
                  </c:pt>
                  <c:pt idx="92">
                    <c:v>1</c:v>
                  </c:pt>
                  <c:pt idx="93">
                    <c:v>2</c:v>
                  </c:pt>
                  <c:pt idx="94">
                    <c:v>3</c:v>
                  </c:pt>
                  <c:pt idx="95">
                    <c:v>4</c:v>
                  </c:pt>
                  <c:pt idx="96">
                    <c:v>5</c:v>
                  </c:pt>
                  <c:pt idx="99">
                    <c:v>1</c:v>
                  </c:pt>
                  <c:pt idx="100">
                    <c:v>2</c:v>
                  </c:pt>
                  <c:pt idx="101">
                    <c:v>3</c:v>
                  </c:pt>
                  <c:pt idx="102">
                    <c:v>4</c:v>
                  </c:pt>
                  <c:pt idx="103">
                    <c:v>5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  <c:pt idx="35">
                    <c:v>6</c:v>
                  </c:pt>
                  <c:pt idx="42">
                    <c:v>7</c:v>
                  </c:pt>
                  <c:pt idx="49">
                    <c:v>8</c:v>
                  </c:pt>
                  <c:pt idx="56">
                    <c:v>9</c:v>
                  </c:pt>
                  <c:pt idx="63">
                    <c:v>10</c:v>
                  </c:pt>
                  <c:pt idx="70">
                    <c:v>11</c:v>
                  </c:pt>
                  <c:pt idx="77">
                    <c:v>12</c:v>
                  </c:pt>
                  <c:pt idx="84">
                    <c:v>13</c:v>
                  </c:pt>
                  <c:pt idx="91">
                    <c:v>14</c:v>
                  </c:pt>
                  <c:pt idx="98">
                    <c:v>15</c:v>
                  </c:pt>
                  <c:pt idx="105">
                    <c:v>16</c:v>
                  </c:pt>
                </c:lvl>
              </c:multiLvlStrCache>
            </c:multiLvlStrRef>
          </c:cat>
          <c:val>
            <c:numRef>
              <c:f>'1577213729'!$T$2:$T$106</c:f>
              <c:numCache>
                <c:formatCode>General</c:formatCode>
                <c:ptCount val="105"/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0.375</c:v>
                </c:pt>
                <c:pt idx="19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3">
                  <c:v>0</c:v>
                </c:pt>
                <c:pt idx="44">
                  <c:v>3</c:v>
                </c:pt>
                <c:pt idx="45">
                  <c:v>0</c:v>
                </c:pt>
                <c:pt idx="46">
                  <c:v>0.5</c:v>
                </c:pt>
                <c:pt idx="47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0.75</c:v>
                </c:pt>
                <c:pt idx="54">
                  <c:v>0</c:v>
                </c:pt>
                <c:pt idx="57">
                  <c:v>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6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8">
                  <c:v>10.125</c:v>
                </c:pt>
                <c:pt idx="79">
                  <c:v>0</c:v>
                </c:pt>
                <c:pt idx="80">
                  <c:v>0.375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2">
                  <c:v>3</c:v>
                </c:pt>
                <c:pt idx="93">
                  <c:v>0</c:v>
                </c:pt>
                <c:pt idx="94">
                  <c:v>0</c:v>
                </c:pt>
                <c:pt idx="95">
                  <c:v>0.375</c:v>
                </c:pt>
                <c:pt idx="96">
                  <c:v>0</c:v>
                </c:pt>
                <c:pt idx="99">
                  <c:v>1</c:v>
                </c:pt>
                <c:pt idx="100">
                  <c:v>2.5</c:v>
                </c:pt>
                <c:pt idx="101">
                  <c:v>0</c:v>
                </c:pt>
                <c:pt idx="102">
                  <c:v>0.375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8B-4231-BA1F-D44C3606783E}"/>
            </c:ext>
          </c:extLst>
        </c:ser>
        <c:ser>
          <c:idx val="2"/>
          <c:order val="2"/>
          <c:tx>
            <c:strRef>
              <c:f>'1577213729'!$U$1</c:f>
              <c:strCache>
                <c:ptCount val="1"/>
                <c:pt idx="0">
                  <c:v>01:00</c:v>
                </c:pt>
              </c:strCache>
            </c:strRef>
          </c:tx>
          <c:spPr>
            <a:solidFill>
              <a:srgbClr val="F2BC57"/>
            </a:solidFill>
            <a:ln>
              <a:noFill/>
            </a:ln>
            <a:effectLst/>
          </c:spPr>
          <c:invertIfNegative val="0"/>
          <c:cat>
            <c:multiLvlStrRef>
              <c:f>'1577213729'!$Q$2:$R$107</c:f>
              <c:multiLvlStrCache>
                <c:ptCount val="10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5">
                    <c:v>1</c:v>
                  </c:pt>
                  <c:pt idx="16">
                    <c:v>2</c:v>
                  </c:pt>
                  <c:pt idx="17">
                    <c:v>3</c:v>
                  </c:pt>
                  <c:pt idx="18">
                    <c:v>4</c:v>
                  </c:pt>
                  <c:pt idx="19">
                    <c:v>5</c:v>
                  </c:pt>
                  <c:pt idx="22">
                    <c:v>1</c:v>
                  </c:pt>
                  <c:pt idx="23">
                    <c:v>2</c:v>
                  </c:pt>
                  <c:pt idx="24">
                    <c:v>3</c:v>
                  </c:pt>
                  <c:pt idx="25">
                    <c:v>4</c:v>
                  </c:pt>
                  <c:pt idx="26">
                    <c:v>5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4</c:v>
                  </c:pt>
                  <c:pt idx="33">
                    <c:v>5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7">
                    <c:v>5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7">
                    <c:v>1</c:v>
                  </c:pt>
                  <c:pt idx="58">
                    <c:v>2</c:v>
                  </c:pt>
                  <c:pt idx="59">
                    <c:v>3</c:v>
                  </c:pt>
                  <c:pt idx="60">
                    <c:v>4</c:v>
                  </c:pt>
                  <c:pt idx="61">
                    <c:v>5</c:v>
                  </c:pt>
                  <c:pt idx="64">
                    <c:v>1</c:v>
                  </c:pt>
                  <c:pt idx="65">
                    <c:v>2</c:v>
                  </c:pt>
                  <c:pt idx="66">
                    <c:v>3</c:v>
                  </c:pt>
                  <c:pt idx="67">
                    <c:v>4</c:v>
                  </c:pt>
                  <c:pt idx="68">
                    <c:v>5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  <c:pt idx="74">
                    <c:v>4</c:v>
                  </c:pt>
                  <c:pt idx="75">
                    <c:v>5</c:v>
                  </c:pt>
                  <c:pt idx="78">
                    <c:v>1</c:v>
                  </c:pt>
                  <c:pt idx="79">
                    <c:v>2</c:v>
                  </c:pt>
                  <c:pt idx="80">
                    <c:v>3</c:v>
                  </c:pt>
                  <c:pt idx="81">
                    <c:v>4</c:v>
                  </c:pt>
                  <c:pt idx="82">
                    <c:v>5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  <c:pt idx="89">
                    <c:v>5</c:v>
                  </c:pt>
                  <c:pt idx="92">
                    <c:v>1</c:v>
                  </c:pt>
                  <c:pt idx="93">
                    <c:v>2</c:v>
                  </c:pt>
                  <c:pt idx="94">
                    <c:v>3</c:v>
                  </c:pt>
                  <c:pt idx="95">
                    <c:v>4</c:v>
                  </c:pt>
                  <c:pt idx="96">
                    <c:v>5</c:v>
                  </c:pt>
                  <c:pt idx="99">
                    <c:v>1</c:v>
                  </c:pt>
                  <c:pt idx="100">
                    <c:v>2</c:v>
                  </c:pt>
                  <c:pt idx="101">
                    <c:v>3</c:v>
                  </c:pt>
                  <c:pt idx="102">
                    <c:v>4</c:v>
                  </c:pt>
                  <c:pt idx="103">
                    <c:v>5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  <c:pt idx="35">
                    <c:v>6</c:v>
                  </c:pt>
                  <c:pt idx="42">
                    <c:v>7</c:v>
                  </c:pt>
                  <c:pt idx="49">
                    <c:v>8</c:v>
                  </c:pt>
                  <c:pt idx="56">
                    <c:v>9</c:v>
                  </c:pt>
                  <c:pt idx="63">
                    <c:v>10</c:v>
                  </c:pt>
                  <c:pt idx="70">
                    <c:v>11</c:v>
                  </c:pt>
                  <c:pt idx="77">
                    <c:v>12</c:v>
                  </c:pt>
                  <c:pt idx="84">
                    <c:v>13</c:v>
                  </c:pt>
                  <c:pt idx="91">
                    <c:v>14</c:v>
                  </c:pt>
                  <c:pt idx="98">
                    <c:v>15</c:v>
                  </c:pt>
                  <c:pt idx="105">
                    <c:v>16</c:v>
                  </c:pt>
                </c:lvl>
              </c:multiLvlStrCache>
            </c:multiLvlStrRef>
          </c:cat>
          <c:val>
            <c:numRef>
              <c:f>'1577213729'!$U$2:$U$106</c:f>
              <c:numCache>
                <c:formatCode>General</c:formatCode>
                <c:ptCount val="10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9">
                  <c:v>0.5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3">
                  <c:v>1.5</c:v>
                </c:pt>
                <c:pt idx="44">
                  <c:v>1.5</c:v>
                </c:pt>
                <c:pt idx="45">
                  <c:v>0</c:v>
                </c:pt>
                <c:pt idx="46">
                  <c:v>0.875</c:v>
                </c:pt>
                <c:pt idx="47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8">
                  <c:v>0.375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2">
                  <c:v>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9">
                  <c:v>1.375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8B-4231-BA1F-D44C3606783E}"/>
            </c:ext>
          </c:extLst>
        </c:ser>
        <c:ser>
          <c:idx val="3"/>
          <c:order val="3"/>
          <c:tx>
            <c:strRef>
              <c:f>'1577213729'!$V$1</c:f>
              <c:strCache>
                <c:ptCount val="1"/>
                <c:pt idx="0">
                  <c:v>05:00</c:v>
                </c:pt>
              </c:strCache>
            </c:strRef>
          </c:tx>
          <c:spPr>
            <a:solidFill>
              <a:srgbClr val="8BBF65"/>
            </a:solidFill>
            <a:ln>
              <a:noFill/>
            </a:ln>
            <a:effectLst/>
          </c:spPr>
          <c:invertIfNegative val="0"/>
          <c:cat>
            <c:multiLvlStrRef>
              <c:f>'1577213729'!$Q$2:$R$107</c:f>
              <c:multiLvlStrCache>
                <c:ptCount val="10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5">
                    <c:v>1</c:v>
                  </c:pt>
                  <c:pt idx="16">
                    <c:v>2</c:v>
                  </c:pt>
                  <c:pt idx="17">
                    <c:v>3</c:v>
                  </c:pt>
                  <c:pt idx="18">
                    <c:v>4</c:v>
                  </c:pt>
                  <c:pt idx="19">
                    <c:v>5</c:v>
                  </c:pt>
                  <c:pt idx="22">
                    <c:v>1</c:v>
                  </c:pt>
                  <c:pt idx="23">
                    <c:v>2</c:v>
                  </c:pt>
                  <c:pt idx="24">
                    <c:v>3</c:v>
                  </c:pt>
                  <c:pt idx="25">
                    <c:v>4</c:v>
                  </c:pt>
                  <c:pt idx="26">
                    <c:v>5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4</c:v>
                  </c:pt>
                  <c:pt idx="33">
                    <c:v>5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7">
                    <c:v>5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7">
                    <c:v>1</c:v>
                  </c:pt>
                  <c:pt idx="58">
                    <c:v>2</c:v>
                  </c:pt>
                  <c:pt idx="59">
                    <c:v>3</c:v>
                  </c:pt>
                  <c:pt idx="60">
                    <c:v>4</c:v>
                  </c:pt>
                  <c:pt idx="61">
                    <c:v>5</c:v>
                  </c:pt>
                  <c:pt idx="64">
                    <c:v>1</c:v>
                  </c:pt>
                  <c:pt idx="65">
                    <c:v>2</c:v>
                  </c:pt>
                  <c:pt idx="66">
                    <c:v>3</c:v>
                  </c:pt>
                  <c:pt idx="67">
                    <c:v>4</c:v>
                  </c:pt>
                  <c:pt idx="68">
                    <c:v>5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  <c:pt idx="74">
                    <c:v>4</c:v>
                  </c:pt>
                  <c:pt idx="75">
                    <c:v>5</c:v>
                  </c:pt>
                  <c:pt idx="78">
                    <c:v>1</c:v>
                  </c:pt>
                  <c:pt idx="79">
                    <c:v>2</c:v>
                  </c:pt>
                  <c:pt idx="80">
                    <c:v>3</c:v>
                  </c:pt>
                  <c:pt idx="81">
                    <c:v>4</c:v>
                  </c:pt>
                  <c:pt idx="82">
                    <c:v>5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  <c:pt idx="89">
                    <c:v>5</c:v>
                  </c:pt>
                  <c:pt idx="92">
                    <c:v>1</c:v>
                  </c:pt>
                  <c:pt idx="93">
                    <c:v>2</c:v>
                  </c:pt>
                  <c:pt idx="94">
                    <c:v>3</c:v>
                  </c:pt>
                  <c:pt idx="95">
                    <c:v>4</c:v>
                  </c:pt>
                  <c:pt idx="96">
                    <c:v>5</c:v>
                  </c:pt>
                  <c:pt idx="99">
                    <c:v>1</c:v>
                  </c:pt>
                  <c:pt idx="100">
                    <c:v>2</c:v>
                  </c:pt>
                  <c:pt idx="101">
                    <c:v>3</c:v>
                  </c:pt>
                  <c:pt idx="102">
                    <c:v>4</c:v>
                  </c:pt>
                  <c:pt idx="103">
                    <c:v>5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  <c:pt idx="35">
                    <c:v>6</c:v>
                  </c:pt>
                  <c:pt idx="42">
                    <c:v>7</c:v>
                  </c:pt>
                  <c:pt idx="49">
                    <c:v>8</c:v>
                  </c:pt>
                  <c:pt idx="56">
                    <c:v>9</c:v>
                  </c:pt>
                  <c:pt idx="63">
                    <c:v>10</c:v>
                  </c:pt>
                  <c:pt idx="70">
                    <c:v>11</c:v>
                  </c:pt>
                  <c:pt idx="77">
                    <c:v>12</c:v>
                  </c:pt>
                  <c:pt idx="84">
                    <c:v>13</c:v>
                  </c:pt>
                  <c:pt idx="91">
                    <c:v>14</c:v>
                  </c:pt>
                  <c:pt idx="98">
                    <c:v>15</c:v>
                  </c:pt>
                  <c:pt idx="105">
                    <c:v>16</c:v>
                  </c:pt>
                </c:lvl>
              </c:multiLvlStrCache>
            </c:multiLvlStrRef>
          </c:cat>
          <c:val>
            <c:numRef>
              <c:f>'1577213729'!$V$2:$V$106</c:f>
              <c:numCache>
                <c:formatCode>General</c:formatCode>
                <c:ptCount val="10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2">
                  <c:v>0.75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9">
                  <c:v>0.375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3">
                  <c:v>1.5</c:v>
                </c:pt>
                <c:pt idx="44">
                  <c:v>1.5</c:v>
                </c:pt>
                <c:pt idx="45">
                  <c:v>0</c:v>
                </c:pt>
                <c:pt idx="46">
                  <c:v>0.375</c:v>
                </c:pt>
                <c:pt idx="47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0.75</c:v>
                </c:pt>
                <c:pt idx="54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1.875</c:v>
                </c:pt>
                <c:pt idx="96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0.25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8B-4231-BA1F-D44C3606783E}"/>
            </c:ext>
          </c:extLst>
        </c:ser>
        <c:ser>
          <c:idx val="4"/>
          <c:order val="4"/>
          <c:tx>
            <c:strRef>
              <c:f>'1577213729'!$W$1</c:f>
              <c:strCache>
                <c:ptCount val="1"/>
                <c:pt idx="0">
                  <c:v>10:00</c:v>
                </c:pt>
              </c:strCache>
            </c:strRef>
          </c:tx>
          <c:spPr>
            <a:solidFill>
              <a:srgbClr val="5B97D3"/>
            </a:solidFill>
            <a:ln>
              <a:noFill/>
            </a:ln>
            <a:effectLst/>
          </c:spPr>
          <c:invertIfNegative val="0"/>
          <c:cat>
            <c:multiLvlStrRef>
              <c:f>'1577213729'!$Q$2:$R$107</c:f>
              <c:multiLvlStrCache>
                <c:ptCount val="10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5">
                    <c:v>1</c:v>
                  </c:pt>
                  <c:pt idx="16">
                    <c:v>2</c:v>
                  </c:pt>
                  <c:pt idx="17">
                    <c:v>3</c:v>
                  </c:pt>
                  <c:pt idx="18">
                    <c:v>4</c:v>
                  </c:pt>
                  <c:pt idx="19">
                    <c:v>5</c:v>
                  </c:pt>
                  <c:pt idx="22">
                    <c:v>1</c:v>
                  </c:pt>
                  <c:pt idx="23">
                    <c:v>2</c:v>
                  </c:pt>
                  <c:pt idx="24">
                    <c:v>3</c:v>
                  </c:pt>
                  <c:pt idx="25">
                    <c:v>4</c:v>
                  </c:pt>
                  <c:pt idx="26">
                    <c:v>5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4</c:v>
                  </c:pt>
                  <c:pt idx="33">
                    <c:v>5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7">
                    <c:v>5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7">
                    <c:v>1</c:v>
                  </c:pt>
                  <c:pt idx="58">
                    <c:v>2</c:v>
                  </c:pt>
                  <c:pt idx="59">
                    <c:v>3</c:v>
                  </c:pt>
                  <c:pt idx="60">
                    <c:v>4</c:v>
                  </c:pt>
                  <c:pt idx="61">
                    <c:v>5</c:v>
                  </c:pt>
                  <c:pt idx="64">
                    <c:v>1</c:v>
                  </c:pt>
                  <c:pt idx="65">
                    <c:v>2</c:v>
                  </c:pt>
                  <c:pt idx="66">
                    <c:v>3</c:v>
                  </c:pt>
                  <c:pt idx="67">
                    <c:v>4</c:v>
                  </c:pt>
                  <c:pt idx="68">
                    <c:v>5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  <c:pt idx="74">
                    <c:v>4</c:v>
                  </c:pt>
                  <c:pt idx="75">
                    <c:v>5</c:v>
                  </c:pt>
                  <c:pt idx="78">
                    <c:v>1</c:v>
                  </c:pt>
                  <c:pt idx="79">
                    <c:v>2</c:v>
                  </c:pt>
                  <c:pt idx="80">
                    <c:v>3</c:v>
                  </c:pt>
                  <c:pt idx="81">
                    <c:v>4</c:v>
                  </c:pt>
                  <c:pt idx="82">
                    <c:v>5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  <c:pt idx="89">
                    <c:v>5</c:v>
                  </c:pt>
                  <c:pt idx="92">
                    <c:v>1</c:v>
                  </c:pt>
                  <c:pt idx="93">
                    <c:v>2</c:v>
                  </c:pt>
                  <c:pt idx="94">
                    <c:v>3</c:v>
                  </c:pt>
                  <c:pt idx="95">
                    <c:v>4</c:v>
                  </c:pt>
                  <c:pt idx="96">
                    <c:v>5</c:v>
                  </c:pt>
                  <c:pt idx="99">
                    <c:v>1</c:v>
                  </c:pt>
                  <c:pt idx="100">
                    <c:v>2</c:v>
                  </c:pt>
                  <c:pt idx="101">
                    <c:v>3</c:v>
                  </c:pt>
                  <c:pt idx="102">
                    <c:v>4</c:v>
                  </c:pt>
                  <c:pt idx="103">
                    <c:v>5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  <c:pt idx="35">
                    <c:v>6</c:v>
                  </c:pt>
                  <c:pt idx="42">
                    <c:v>7</c:v>
                  </c:pt>
                  <c:pt idx="49">
                    <c:v>8</c:v>
                  </c:pt>
                  <c:pt idx="56">
                    <c:v>9</c:v>
                  </c:pt>
                  <c:pt idx="63">
                    <c:v>10</c:v>
                  </c:pt>
                  <c:pt idx="70">
                    <c:v>11</c:v>
                  </c:pt>
                  <c:pt idx="77">
                    <c:v>12</c:v>
                  </c:pt>
                  <c:pt idx="84">
                    <c:v>13</c:v>
                  </c:pt>
                  <c:pt idx="91">
                    <c:v>14</c:v>
                  </c:pt>
                  <c:pt idx="98">
                    <c:v>15</c:v>
                  </c:pt>
                  <c:pt idx="105">
                    <c:v>16</c:v>
                  </c:pt>
                </c:lvl>
              </c:multiLvlStrCache>
            </c:multiLvlStrRef>
          </c:cat>
          <c:val>
            <c:numRef>
              <c:f>'1577213729'!$W$2:$W$106</c:f>
              <c:numCache>
                <c:formatCode>General</c:formatCode>
                <c:ptCount val="10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5">
                  <c:v>6.5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2">
                  <c:v>1.75</c:v>
                </c:pt>
                <c:pt idx="23">
                  <c:v>3.5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0.375</c:v>
                </c:pt>
                <c:pt idx="47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9">
                  <c:v>0</c:v>
                </c:pt>
                <c:pt idx="100">
                  <c:v>3.125</c:v>
                </c:pt>
                <c:pt idx="101">
                  <c:v>0</c:v>
                </c:pt>
                <c:pt idx="102">
                  <c:v>0.75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8B-4231-BA1F-D44C36067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695057536"/>
        <c:axId val="695077696"/>
      </c:barChart>
      <c:scatterChart>
        <c:scatterStyle val="lineMarker"/>
        <c:varyColors val="0"/>
        <c:ser>
          <c:idx val="5"/>
          <c:order val="5"/>
          <c:tx>
            <c:v>best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'1577213729'!$X$2:$X$106</c:f>
              <c:numCache>
                <c:formatCode>General</c:formatCode>
                <c:ptCount val="105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24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50">
                  <c:v>#N/A</c:v>
                </c:pt>
                <c:pt idx="51">
                  <c:v>13.875</c:v>
                </c:pt>
                <c:pt idx="52">
                  <c:v>#N/A</c:v>
                </c:pt>
                <c:pt idx="53">
                  <c:v>#N/A</c:v>
                </c:pt>
                <c:pt idx="54">
                  <c:v>13.875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11.25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8B-4231-BA1F-D44C36067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57536"/>
        <c:axId val="695077696"/>
      </c:scatterChart>
      <c:catAx>
        <c:axId val="6950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706F7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695077696"/>
        <c:crosses val="autoZero"/>
        <c:auto val="1"/>
        <c:lblAlgn val="ctr"/>
        <c:lblOffset val="0"/>
        <c:noMultiLvlLbl val="0"/>
      </c:catAx>
      <c:valAx>
        <c:axId val="695077696"/>
        <c:scaling>
          <c:orientation val="minMax"/>
          <c:max val="2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3C3B4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6950575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207941100040641"/>
          <c:y val="0"/>
          <c:w val="0.3039087593095009"/>
          <c:h val="4.03011312583260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 Nova Cond" panose="020F0502020204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69928465138998E-2"/>
          <c:y val="3.5477509041301675E-2"/>
          <c:w val="0.96828643356168298"/>
          <c:h val="0.8901031853983255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'372845237-asp'!$R$1</c:f>
              <c:strCache>
                <c:ptCount val="1"/>
                <c:pt idx="0">
                  <c:v>00:10</c:v>
                </c:pt>
              </c:strCache>
            </c:strRef>
          </c:tx>
          <c:spPr>
            <a:solidFill>
              <a:srgbClr val="945C8B"/>
            </a:solidFill>
            <a:ln>
              <a:noFill/>
            </a:ln>
            <a:effectLst/>
          </c:spPr>
          <c:invertIfNegative val="0"/>
          <c:cat>
            <c:multiLvlStrRef>
              <c:f>'372845237-asp'!$P$2:$Q$77</c:f>
              <c:multiLvlStrCache>
                <c:ptCount val="7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41">
                    <c:v>1</c:v>
                  </c:pt>
                  <c:pt idx="42">
                    <c:v>2</c:v>
                  </c:pt>
                  <c:pt idx="43">
                    <c:v>3</c:v>
                  </c:pt>
                  <c:pt idx="46">
                    <c:v>1</c:v>
                  </c:pt>
                  <c:pt idx="47">
                    <c:v>2</c:v>
                  </c:pt>
                  <c:pt idx="48">
                    <c:v>3</c:v>
                  </c:pt>
                  <c:pt idx="51">
                    <c:v>1</c:v>
                  </c:pt>
                  <c:pt idx="52">
                    <c:v>2</c:v>
                  </c:pt>
                  <c:pt idx="53">
                    <c:v>3</c:v>
                  </c:pt>
                  <c:pt idx="56">
                    <c:v>1</c:v>
                  </c:pt>
                  <c:pt idx="57">
                    <c:v>2</c:v>
                  </c:pt>
                  <c:pt idx="58">
                    <c:v>3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6">
                    <c:v>1</c:v>
                  </c:pt>
                  <c:pt idx="67">
                    <c:v>2</c:v>
                  </c:pt>
                  <c:pt idx="68">
                    <c:v>3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</c:lvl>
                <c:lvl>
                  <c:pt idx="0">
                    <c:v>1</c:v>
                  </c:pt>
                  <c:pt idx="5">
                    <c:v>2</c:v>
                  </c:pt>
                  <c:pt idx="10">
                    <c:v>3</c:v>
                  </c:pt>
                  <c:pt idx="15">
                    <c:v>4</c:v>
                  </c:pt>
                  <c:pt idx="20">
                    <c:v>5</c:v>
                  </c:pt>
                  <c:pt idx="25">
                    <c:v>6</c:v>
                  </c:pt>
                  <c:pt idx="30">
                    <c:v>7</c:v>
                  </c:pt>
                  <c:pt idx="35">
                    <c:v>8</c:v>
                  </c:pt>
                  <c:pt idx="40">
                    <c:v>9</c:v>
                  </c:pt>
                  <c:pt idx="45">
                    <c:v>10</c:v>
                  </c:pt>
                  <c:pt idx="50">
                    <c:v>11</c:v>
                  </c:pt>
                  <c:pt idx="55">
                    <c:v>12</c:v>
                  </c:pt>
                  <c:pt idx="60">
                    <c:v>13</c:v>
                  </c:pt>
                  <c:pt idx="65">
                    <c:v>14</c:v>
                  </c:pt>
                  <c:pt idx="70">
                    <c:v>15</c:v>
                  </c:pt>
                  <c:pt idx="75">
                    <c:v>16</c:v>
                  </c:pt>
                </c:lvl>
              </c:multiLvlStrCache>
            </c:multiLvlStrRef>
          </c:cat>
          <c:val>
            <c:numRef>
              <c:f>'372845237-asp'!$R$2:$R$76</c:f>
              <c:numCache>
                <c:formatCode>General</c:formatCode>
                <c:ptCount val="7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10.5</c:v>
                </c:pt>
                <c:pt idx="32">
                  <c:v>10.5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6">
                  <c:v>6</c:v>
                </c:pt>
                <c:pt idx="57">
                  <c:v>6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2-43F1-A8A1-CB47CA241559}"/>
            </c:ext>
          </c:extLst>
        </c:ser>
        <c:ser>
          <c:idx val="0"/>
          <c:order val="1"/>
          <c:tx>
            <c:strRef>
              <c:f>'372845237-asp'!$S$1</c:f>
              <c:strCache>
                <c:ptCount val="1"/>
                <c:pt idx="0">
                  <c:v>00:30</c:v>
                </c:pt>
              </c:strCache>
            </c:strRef>
          </c:tx>
          <c:spPr>
            <a:solidFill>
              <a:srgbClr val="D95959"/>
            </a:solidFill>
            <a:ln>
              <a:noFill/>
            </a:ln>
            <a:effectLst/>
          </c:spPr>
          <c:invertIfNegative val="0"/>
          <c:cat>
            <c:multiLvlStrRef>
              <c:f>'372845237-asp'!$P$2:$Q$77</c:f>
              <c:multiLvlStrCache>
                <c:ptCount val="7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41">
                    <c:v>1</c:v>
                  </c:pt>
                  <c:pt idx="42">
                    <c:v>2</c:v>
                  </c:pt>
                  <c:pt idx="43">
                    <c:v>3</c:v>
                  </c:pt>
                  <c:pt idx="46">
                    <c:v>1</c:v>
                  </c:pt>
                  <c:pt idx="47">
                    <c:v>2</c:v>
                  </c:pt>
                  <c:pt idx="48">
                    <c:v>3</c:v>
                  </c:pt>
                  <c:pt idx="51">
                    <c:v>1</c:v>
                  </c:pt>
                  <c:pt idx="52">
                    <c:v>2</c:v>
                  </c:pt>
                  <c:pt idx="53">
                    <c:v>3</c:v>
                  </c:pt>
                  <c:pt idx="56">
                    <c:v>1</c:v>
                  </c:pt>
                  <c:pt idx="57">
                    <c:v>2</c:v>
                  </c:pt>
                  <c:pt idx="58">
                    <c:v>3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6">
                    <c:v>1</c:v>
                  </c:pt>
                  <c:pt idx="67">
                    <c:v>2</c:v>
                  </c:pt>
                  <c:pt idx="68">
                    <c:v>3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</c:lvl>
                <c:lvl>
                  <c:pt idx="0">
                    <c:v>1</c:v>
                  </c:pt>
                  <c:pt idx="5">
                    <c:v>2</c:v>
                  </c:pt>
                  <c:pt idx="10">
                    <c:v>3</c:v>
                  </c:pt>
                  <c:pt idx="15">
                    <c:v>4</c:v>
                  </c:pt>
                  <c:pt idx="20">
                    <c:v>5</c:v>
                  </c:pt>
                  <c:pt idx="25">
                    <c:v>6</c:v>
                  </c:pt>
                  <c:pt idx="30">
                    <c:v>7</c:v>
                  </c:pt>
                  <c:pt idx="35">
                    <c:v>8</c:v>
                  </c:pt>
                  <c:pt idx="40">
                    <c:v>9</c:v>
                  </c:pt>
                  <c:pt idx="45">
                    <c:v>10</c:v>
                  </c:pt>
                  <c:pt idx="50">
                    <c:v>11</c:v>
                  </c:pt>
                  <c:pt idx="55">
                    <c:v>12</c:v>
                  </c:pt>
                  <c:pt idx="60">
                    <c:v>13</c:v>
                  </c:pt>
                  <c:pt idx="65">
                    <c:v>14</c:v>
                  </c:pt>
                  <c:pt idx="70">
                    <c:v>15</c:v>
                  </c:pt>
                  <c:pt idx="75">
                    <c:v>16</c:v>
                  </c:pt>
                </c:lvl>
              </c:multiLvlStrCache>
            </c:multiLvlStrRef>
          </c:cat>
          <c:val>
            <c:numRef>
              <c:f>'372845237-asp'!$S$2:$S$76</c:f>
              <c:numCache>
                <c:formatCode>General</c:formatCode>
                <c:ptCount val="7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2-43F1-A8A1-CB47CA241559}"/>
            </c:ext>
          </c:extLst>
        </c:ser>
        <c:ser>
          <c:idx val="2"/>
          <c:order val="2"/>
          <c:tx>
            <c:strRef>
              <c:f>'372845237-asp'!$T$1</c:f>
              <c:strCache>
                <c:ptCount val="1"/>
                <c:pt idx="0">
                  <c:v>01:00</c:v>
                </c:pt>
              </c:strCache>
            </c:strRef>
          </c:tx>
          <c:spPr>
            <a:solidFill>
              <a:srgbClr val="F2BC57"/>
            </a:solidFill>
            <a:ln>
              <a:noFill/>
            </a:ln>
            <a:effectLst/>
          </c:spPr>
          <c:invertIfNegative val="0"/>
          <c:cat>
            <c:multiLvlStrRef>
              <c:f>'372845237-asp'!$P$2:$Q$77</c:f>
              <c:multiLvlStrCache>
                <c:ptCount val="7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41">
                    <c:v>1</c:v>
                  </c:pt>
                  <c:pt idx="42">
                    <c:v>2</c:v>
                  </c:pt>
                  <c:pt idx="43">
                    <c:v>3</c:v>
                  </c:pt>
                  <c:pt idx="46">
                    <c:v>1</c:v>
                  </c:pt>
                  <c:pt idx="47">
                    <c:v>2</c:v>
                  </c:pt>
                  <c:pt idx="48">
                    <c:v>3</c:v>
                  </c:pt>
                  <c:pt idx="51">
                    <c:v>1</c:v>
                  </c:pt>
                  <c:pt idx="52">
                    <c:v>2</c:v>
                  </c:pt>
                  <c:pt idx="53">
                    <c:v>3</c:v>
                  </c:pt>
                  <c:pt idx="56">
                    <c:v>1</c:v>
                  </c:pt>
                  <c:pt idx="57">
                    <c:v>2</c:v>
                  </c:pt>
                  <c:pt idx="58">
                    <c:v>3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6">
                    <c:v>1</c:v>
                  </c:pt>
                  <c:pt idx="67">
                    <c:v>2</c:v>
                  </c:pt>
                  <c:pt idx="68">
                    <c:v>3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</c:lvl>
                <c:lvl>
                  <c:pt idx="0">
                    <c:v>1</c:v>
                  </c:pt>
                  <c:pt idx="5">
                    <c:v>2</c:v>
                  </c:pt>
                  <c:pt idx="10">
                    <c:v>3</c:v>
                  </c:pt>
                  <c:pt idx="15">
                    <c:v>4</c:v>
                  </c:pt>
                  <c:pt idx="20">
                    <c:v>5</c:v>
                  </c:pt>
                  <c:pt idx="25">
                    <c:v>6</c:v>
                  </c:pt>
                  <c:pt idx="30">
                    <c:v>7</c:v>
                  </c:pt>
                  <c:pt idx="35">
                    <c:v>8</c:v>
                  </c:pt>
                  <c:pt idx="40">
                    <c:v>9</c:v>
                  </c:pt>
                  <c:pt idx="45">
                    <c:v>10</c:v>
                  </c:pt>
                  <c:pt idx="50">
                    <c:v>11</c:v>
                  </c:pt>
                  <c:pt idx="55">
                    <c:v>12</c:v>
                  </c:pt>
                  <c:pt idx="60">
                    <c:v>13</c:v>
                  </c:pt>
                  <c:pt idx="65">
                    <c:v>14</c:v>
                  </c:pt>
                  <c:pt idx="70">
                    <c:v>15</c:v>
                  </c:pt>
                  <c:pt idx="75">
                    <c:v>16</c:v>
                  </c:pt>
                </c:lvl>
              </c:multiLvlStrCache>
            </c:multiLvlStrRef>
          </c:cat>
          <c:val>
            <c:numRef>
              <c:f>'372845237-asp'!$T$2:$T$76</c:f>
              <c:numCache>
                <c:formatCode>General</c:formatCode>
                <c:ptCount val="7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52-43F1-A8A1-CB47CA241559}"/>
            </c:ext>
          </c:extLst>
        </c:ser>
        <c:ser>
          <c:idx val="3"/>
          <c:order val="3"/>
          <c:tx>
            <c:strRef>
              <c:f>'372845237-asp'!$U$1</c:f>
              <c:strCache>
                <c:ptCount val="1"/>
                <c:pt idx="0">
                  <c:v>05:00</c:v>
                </c:pt>
              </c:strCache>
            </c:strRef>
          </c:tx>
          <c:spPr>
            <a:solidFill>
              <a:srgbClr val="8BBF65"/>
            </a:solidFill>
            <a:ln>
              <a:noFill/>
            </a:ln>
            <a:effectLst/>
          </c:spPr>
          <c:invertIfNegative val="0"/>
          <c:cat>
            <c:multiLvlStrRef>
              <c:f>'372845237-asp'!$P$2:$Q$77</c:f>
              <c:multiLvlStrCache>
                <c:ptCount val="7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41">
                    <c:v>1</c:v>
                  </c:pt>
                  <c:pt idx="42">
                    <c:v>2</c:v>
                  </c:pt>
                  <c:pt idx="43">
                    <c:v>3</c:v>
                  </c:pt>
                  <c:pt idx="46">
                    <c:v>1</c:v>
                  </c:pt>
                  <c:pt idx="47">
                    <c:v>2</c:v>
                  </c:pt>
                  <c:pt idx="48">
                    <c:v>3</c:v>
                  </c:pt>
                  <c:pt idx="51">
                    <c:v>1</c:v>
                  </c:pt>
                  <c:pt idx="52">
                    <c:v>2</c:v>
                  </c:pt>
                  <c:pt idx="53">
                    <c:v>3</c:v>
                  </c:pt>
                  <c:pt idx="56">
                    <c:v>1</c:v>
                  </c:pt>
                  <c:pt idx="57">
                    <c:v>2</c:v>
                  </c:pt>
                  <c:pt idx="58">
                    <c:v>3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6">
                    <c:v>1</c:v>
                  </c:pt>
                  <c:pt idx="67">
                    <c:v>2</c:v>
                  </c:pt>
                  <c:pt idx="68">
                    <c:v>3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</c:lvl>
                <c:lvl>
                  <c:pt idx="0">
                    <c:v>1</c:v>
                  </c:pt>
                  <c:pt idx="5">
                    <c:v>2</c:v>
                  </c:pt>
                  <c:pt idx="10">
                    <c:v>3</c:v>
                  </c:pt>
                  <c:pt idx="15">
                    <c:v>4</c:v>
                  </c:pt>
                  <c:pt idx="20">
                    <c:v>5</c:v>
                  </c:pt>
                  <c:pt idx="25">
                    <c:v>6</c:v>
                  </c:pt>
                  <c:pt idx="30">
                    <c:v>7</c:v>
                  </c:pt>
                  <c:pt idx="35">
                    <c:v>8</c:v>
                  </c:pt>
                  <c:pt idx="40">
                    <c:v>9</c:v>
                  </c:pt>
                  <c:pt idx="45">
                    <c:v>10</c:v>
                  </c:pt>
                  <c:pt idx="50">
                    <c:v>11</c:v>
                  </c:pt>
                  <c:pt idx="55">
                    <c:v>12</c:v>
                  </c:pt>
                  <c:pt idx="60">
                    <c:v>13</c:v>
                  </c:pt>
                  <c:pt idx="65">
                    <c:v>14</c:v>
                  </c:pt>
                  <c:pt idx="70">
                    <c:v>15</c:v>
                  </c:pt>
                  <c:pt idx="75">
                    <c:v>16</c:v>
                  </c:pt>
                </c:lvl>
              </c:multiLvlStrCache>
            </c:multiLvlStrRef>
          </c:cat>
          <c:val>
            <c:numRef>
              <c:f>'372845237-asp'!$U$2:$U$76</c:f>
              <c:numCache>
                <c:formatCode>General</c:formatCode>
                <c:ptCount val="7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1">
                  <c:v>2.625</c:v>
                </c:pt>
                <c:pt idx="22">
                  <c:v>2.625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1">
                  <c:v>3.75</c:v>
                </c:pt>
                <c:pt idx="52">
                  <c:v>3.75</c:v>
                </c:pt>
                <c:pt idx="53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52-43F1-A8A1-CB47CA241559}"/>
            </c:ext>
          </c:extLst>
        </c:ser>
        <c:ser>
          <c:idx val="4"/>
          <c:order val="4"/>
          <c:tx>
            <c:strRef>
              <c:f>'372845237-asp'!$V$1</c:f>
              <c:strCache>
                <c:ptCount val="1"/>
                <c:pt idx="0">
                  <c:v>10:00</c:v>
                </c:pt>
              </c:strCache>
            </c:strRef>
          </c:tx>
          <c:spPr>
            <a:solidFill>
              <a:srgbClr val="5B97D3"/>
            </a:solidFill>
            <a:ln>
              <a:noFill/>
            </a:ln>
            <a:effectLst/>
          </c:spPr>
          <c:invertIfNegative val="0"/>
          <c:cat>
            <c:multiLvlStrRef>
              <c:f>'372845237-asp'!$P$2:$Q$77</c:f>
              <c:multiLvlStrCache>
                <c:ptCount val="7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41">
                    <c:v>1</c:v>
                  </c:pt>
                  <c:pt idx="42">
                    <c:v>2</c:v>
                  </c:pt>
                  <c:pt idx="43">
                    <c:v>3</c:v>
                  </c:pt>
                  <c:pt idx="46">
                    <c:v>1</c:v>
                  </c:pt>
                  <c:pt idx="47">
                    <c:v>2</c:v>
                  </c:pt>
                  <c:pt idx="48">
                    <c:v>3</c:v>
                  </c:pt>
                  <c:pt idx="51">
                    <c:v>1</c:v>
                  </c:pt>
                  <c:pt idx="52">
                    <c:v>2</c:v>
                  </c:pt>
                  <c:pt idx="53">
                    <c:v>3</c:v>
                  </c:pt>
                  <c:pt idx="56">
                    <c:v>1</c:v>
                  </c:pt>
                  <c:pt idx="57">
                    <c:v>2</c:v>
                  </c:pt>
                  <c:pt idx="58">
                    <c:v>3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6">
                    <c:v>1</c:v>
                  </c:pt>
                  <c:pt idx="67">
                    <c:v>2</c:v>
                  </c:pt>
                  <c:pt idx="68">
                    <c:v>3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</c:lvl>
                <c:lvl>
                  <c:pt idx="0">
                    <c:v>1</c:v>
                  </c:pt>
                  <c:pt idx="5">
                    <c:v>2</c:v>
                  </c:pt>
                  <c:pt idx="10">
                    <c:v>3</c:v>
                  </c:pt>
                  <c:pt idx="15">
                    <c:v>4</c:v>
                  </c:pt>
                  <c:pt idx="20">
                    <c:v>5</c:v>
                  </c:pt>
                  <c:pt idx="25">
                    <c:v>6</c:v>
                  </c:pt>
                  <c:pt idx="30">
                    <c:v>7</c:v>
                  </c:pt>
                  <c:pt idx="35">
                    <c:v>8</c:v>
                  </c:pt>
                  <c:pt idx="40">
                    <c:v>9</c:v>
                  </c:pt>
                  <c:pt idx="45">
                    <c:v>10</c:v>
                  </c:pt>
                  <c:pt idx="50">
                    <c:v>11</c:v>
                  </c:pt>
                  <c:pt idx="55">
                    <c:v>12</c:v>
                  </c:pt>
                  <c:pt idx="60">
                    <c:v>13</c:v>
                  </c:pt>
                  <c:pt idx="65">
                    <c:v>14</c:v>
                  </c:pt>
                  <c:pt idx="70">
                    <c:v>15</c:v>
                  </c:pt>
                  <c:pt idx="75">
                    <c:v>16</c:v>
                  </c:pt>
                </c:lvl>
              </c:multiLvlStrCache>
            </c:multiLvlStrRef>
          </c:cat>
          <c:val>
            <c:numRef>
              <c:f>'372845237-asp'!$V$2:$V$76</c:f>
              <c:numCache>
                <c:formatCode>General</c:formatCode>
                <c:ptCount val="7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52-43F1-A8A1-CB47CA241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695057536"/>
        <c:axId val="695077696"/>
      </c:barChart>
      <c:scatterChart>
        <c:scatterStyle val="lineMarker"/>
        <c:varyColors val="0"/>
        <c:ser>
          <c:idx val="6"/>
          <c:order val="5"/>
          <c:tx>
            <c:v>timeout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yVal>
            <c:numRef>
              <c:f>'372845237-asp'!$X$2:$X$76</c:f>
              <c:numCache>
                <c:formatCode>General</c:formatCode>
                <c:ptCount val="7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1">
                  <c:v>#N/A</c:v>
                </c:pt>
                <c:pt idx="22">
                  <c:v>#N/A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#N/A</c:v>
                </c:pt>
                <c:pt idx="32">
                  <c:v>#N/A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1">
                  <c:v>#N/A</c:v>
                </c:pt>
                <c:pt idx="52">
                  <c:v>#N/A</c:v>
                </c:pt>
                <c:pt idx="53">
                  <c:v>0</c:v>
                </c:pt>
                <c:pt idx="56">
                  <c:v>#N/A</c:v>
                </c:pt>
                <c:pt idx="57">
                  <c:v>#N/A</c:v>
                </c:pt>
                <c:pt idx="58">
                  <c:v>0</c:v>
                </c:pt>
                <c:pt idx="61">
                  <c:v>#N/A</c:v>
                </c:pt>
                <c:pt idx="62">
                  <c:v>#N/A</c:v>
                </c:pt>
                <c:pt idx="63">
                  <c:v>0</c:v>
                </c:pt>
                <c:pt idx="66">
                  <c:v>#N/A</c:v>
                </c:pt>
                <c:pt idx="67">
                  <c:v>#N/A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152-43F1-A8A1-CB47CA241559}"/>
            </c:ext>
          </c:extLst>
        </c:ser>
        <c:ser>
          <c:idx val="5"/>
          <c:order val="6"/>
          <c:tx>
            <c:v>best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'372845237-asp'!$W$2:$W$76</c:f>
              <c:numCache>
                <c:formatCode>General</c:formatCode>
                <c:ptCount val="75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21">
                  <c:v>2.625</c:v>
                </c:pt>
                <c:pt idx="22">
                  <c:v>2.625</c:v>
                </c:pt>
                <c:pt idx="23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31">
                  <c:v>10.5</c:v>
                </c:pt>
                <c:pt idx="32">
                  <c:v>10.5</c:v>
                </c:pt>
                <c:pt idx="33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51">
                  <c:v>3.75</c:v>
                </c:pt>
                <c:pt idx="52">
                  <c:v>3.75</c:v>
                </c:pt>
                <c:pt idx="53">
                  <c:v>#N/A</c:v>
                </c:pt>
                <c:pt idx="56">
                  <c:v>6</c:v>
                </c:pt>
                <c:pt idx="57">
                  <c:v>6</c:v>
                </c:pt>
                <c:pt idx="58">
                  <c:v>#N/A</c:v>
                </c:pt>
                <c:pt idx="61">
                  <c:v>0</c:v>
                </c:pt>
                <c:pt idx="62">
                  <c:v>0</c:v>
                </c:pt>
                <c:pt idx="63">
                  <c:v>#N/A</c:v>
                </c:pt>
                <c:pt idx="66">
                  <c:v>0</c:v>
                </c:pt>
                <c:pt idx="67">
                  <c:v>0</c:v>
                </c:pt>
                <c:pt idx="68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52-43F1-A8A1-CB47CA241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57536"/>
        <c:axId val="695077696"/>
      </c:scatterChart>
      <c:catAx>
        <c:axId val="6950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706F7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695077696"/>
        <c:crosses val="autoZero"/>
        <c:auto val="1"/>
        <c:lblAlgn val="ctr"/>
        <c:lblOffset val="0"/>
        <c:noMultiLvlLbl val="0"/>
      </c:catAx>
      <c:valAx>
        <c:axId val="695077696"/>
        <c:scaling>
          <c:orientation val="minMax"/>
          <c:max val="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3C3B4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6950575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207941100040641"/>
          <c:y val="0"/>
          <c:w val="0.36780228349404293"/>
          <c:h val="4.03011312583260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 Nova Cond" panose="020F0502020204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69928465138998E-2"/>
          <c:y val="3.5477509041301675E-2"/>
          <c:w val="0.96828643356168298"/>
          <c:h val="0.8901031853983255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'34445073613-asp'!$R$1</c:f>
              <c:strCache>
                <c:ptCount val="1"/>
                <c:pt idx="0">
                  <c:v>00:10</c:v>
                </c:pt>
              </c:strCache>
            </c:strRef>
          </c:tx>
          <c:spPr>
            <a:solidFill>
              <a:srgbClr val="945C8B"/>
            </a:solidFill>
            <a:ln>
              <a:noFill/>
            </a:ln>
            <a:effectLst/>
          </c:spPr>
          <c:invertIfNegative val="0"/>
          <c:cat>
            <c:multiLvlStrRef>
              <c:f>'34445073613-asp'!$P$2:$Q$77</c:f>
              <c:multiLvlStrCache>
                <c:ptCount val="7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41">
                    <c:v>1</c:v>
                  </c:pt>
                  <c:pt idx="42">
                    <c:v>2</c:v>
                  </c:pt>
                  <c:pt idx="43">
                    <c:v>3</c:v>
                  </c:pt>
                  <c:pt idx="46">
                    <c:v>1</c:v>
                  </c:pt>
                  <c:pt idx="47">
                    <c:v>2</c:v>
                  </c:pt>
                  <c:pt idx="48">
                    <c:v>3</c:v>
                  </c:pt>
                  <c:pt idx="51">
                    <c:v>1</c:v>
                  </c:pt>
                  <c:pt idx="52">
                    <c:v>2</c:v>
                  </c:pt>
                  <c:pt idx="53">
                    <c:v>3</c:v>
                  </c:pt>
                  <c:pt idx="56">
                    <c:v>1</c:v>
                  </c:pt>
                  <c:pt idx="57">
                    <c:v>2</c:v>
                  </c:pt>
                  <c:pt idx="58">
                    <c:v>3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6">
                    <c:v>1</c:v>
                  </c:pt>
                  <c:pt idx="67">
                    <c:v>2</c:v>
                  </c:pt>
                  <c:pt idx="68">
                    <c:v>3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</c:lvl>
                <c:lvl>
                  <c:pt idx="0">
                    <c:v>1</c:v>
                  </c:pt>
                  <c:pt idx="5">
                    <c:v>2</c:v>
                  </c:pt>
                  <c:pt idx="10">
                    <c:v>3</c:v>
                  </c:pt>
                  <c:pt idx="15">
                    <c:v>4</c:v>
                  </c:pt>
                  <c:pt idx="20">
                    <c:v>5</c:v>
                  </c:pt>
                  <c:pt idx="25">
                    <c:v>6</c:v>
                  </c:pt>
                  <c:pt idx="30">
                    <c:v>7</c:v>
                  </c:pt>
                  <c:pt idx="35">
                    <c:v>8</c:v>
                  </c:pt>
                  <c:pt idx="40">
                    <c:v>9</c:v>
                  </c:pt>
                  <c:pt idx="45">
                    <c:v>10</c:v>
                  </c:pt>
                  <c:pt idx="50">
                    <c:v>11</c:v>
                  </c:pt>
                  <c:pt idx="55">
                    <c:v>12</c:v>
                  </c:pt>
                  <c:pt idx="60">
                    <c:v>13</c:v>
                  </c:pt>
                  <c:pt idx="65">
                    <c:v>14</c:v>
                  </c:pt>
                  <c:pt idx="70">
                    <c:v>15</c:v>
                  </c:pt>
                  <c:pt idx="75">
                    <c:v>16</c:v>
                  </c:pt>
                </c:lvl>
              </c:multiLvlStrCache>
            </c:multiLvlStrRef>
          </c:cat>
          <c:val>
            <c:numRef>
              <c:f>'34445073613-asp'!$R$2:$R$76</c:f>
              <c:numCache>
                <c:formatCode>General</c:formatCode>
                <c:ptCount val="75"/>
                <c:pt idx="1">
                  <c:v>6</c:v>
                </c:pt>
                <c:pt idx="2">
                  <c:v>6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6">
                  <c:v>12</c:v>
                </c:pt>
                <c:pt idx="57">
                  <c:v>12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2-4659-A8AD-D8AE9FA7D31C}"/>
            </c:ext>
          </c:extLst>
        </c:ser>
        <c:ser>
          <c:idx val="0"/>
          <c:order val="1"/>
          <c:tx>
            <c:strRef>
              <c:f>'34445073613-asp'!$S$1</c:f>
              <c:strCache>
                <c:ptCount val="1"/>
                <c:pt idx="0">
                  <c:v>00:30</c:v>
                </c:pt>
              </c:strCache>
            </c:strRef>
          </c:tx>
          <c:spPr>
            <a:solidFill>
              <a:srgbClr val="D95959"/>
            </a:solidFill>
            <a:ln>
              <a:noFill/>
            </a:ln>
            <a:effectLst/>
          </c:spPr>
          <c:invertIfNegative val="0"/>
          <c:cat>
            <c:multiLvlStrRef>
              <c:f>'34445073613-asp'!$P$2:$Q$77</c:f>
              <c:multiLvlStrCache>
                <c:ptCount val="7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41">
                    <c:v>1</c:v>
                  </c:pt>
                  <c:pt idx="42">
                    <c:v>2</c:v>
                  </c:pt>
                  <c:pt idx="43">
                    <c:v>3</c:v>
                  </c:pt>
                  <c:pt idx="46">
                    <c:v>1</c:v>
                  </c:pt>
                  <c:pt idx="47">
                    <c:v>2</c:v>
                  </c:pt>
                  <c:pt idx="48">
                    <c:v>3</c:v>
                  </c:pt>
                  <c:pt idx="51">
                    <c:v>1</c:v>
                  </c:pt>
                  <c:pt idx="52">
                    <c:v>2</c:v>
                  </c:pt>
                  <c:pt idx="53">
                    <c:v>3</c:v>
                  </c:pt>
                  <c:pt idx="56">
                    <c:v>1</c:v>
                  </c:pt>
                  <c:pt idx="57">
                    <c:v>2</c:v>
                  </c:pt>
                  <c:pt idx="58">
                    <c:v>3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6">
                    <c:v>1</c:v>
                  </c:pt>
                  <c:pt idx="67">
                    <c:v>2</c:v>
                  </c:pt>
                  <c:pt idx="68">
                    <c:v>3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</c:lvl>
                <c:lvl>
                  <c:pt idx="0">
                    <c:v>1</c:v>
                  </c:pt>
                  <c:pt idx="5">
                    <c:v>2</c:v>
                  </c:pt>
                  <c:pt idx="10">
                    <c:v>3</c:v>
                  </c:pt>
                  <c:pt idx="15">
                    <c:v>4</c:v>
                  </c:pt>
                  <c:pt idx="20">
                    <c:v>5</c:v>
                  </c:pt>
                  <c:pt idx="25">
                    <c:v>6</c:v>
                  </c:pt>
                  <c:pt idx="30">
                    <c:v>7</c:v>
                  </c:pt>
                  <c:pt idx="35">
                    <c:v>8</c:v>
                  </c:pt>
                  <c:pt idx="40">
                    <c:v>9</c:v>
                  </c:pt>
                  <c:pt idx="45">
                    <c:v>10</c:v>
                  </c:pt>
                  <c:pt idx="50">
                    <c:v>11</c:v>
                  </c:pt>
                  <c:pt idx="55">
                    <c:v>12</c:v>
                  </c:pt>
                  <c:pt idx="60">
                    <c:v>13</c:v>
                  </c:pt>
                  <c:pt idx="65">
                    <c:v>14</c:v>
                  </c:pt>
                  <c:pt idx="70">
                    <c:v>15</c:v>
                  </c:pt>
                  <c:pt idx="75">
                    <c:v>16</c:v>
                  </c:pt>
                </c:lvl>
              </c:multiLvlStrCache>
            </c:multiLvlStrRef>
          </c:cat>
          <c:val>
            <c:numRef>
              <c:f>'34445073613-asp'!$S$2:$S$76</c:f>
              <c:numCache>
                <c:formatCode>General</c:formatCode>
                <c:ptCount val="7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2-4659-A8AD-D8AE9FA7D31C}"/>
            </c:ext>
          </c:extLst>
        </c:ser>
        <c:ser>
          <c:idx val="2"/>
          <c:order val="2"/>
          <c:tx>
            <c:strRef>
              <c:f>'34445073613-asp'!$T$1</c:f>
              <c:strCache>
                <c:ptCount val="1"/>
                <c:pt idx="0">
                  <c:v>01:00</c:v>
                </c:pt>
              </c:strCache>
            </c:strRef>
          </c:tx>
          <c:spPr>
            <a:solidFill>
              <a:srgbClr val="F2BC57"/>
            </a:solidFill>
            <a:ln>
              <a:noFill/>
            </a:ln>
            <a:effectLst/>
          </c:spPr>
          <c:invertIfNegative val="0"/>
          <c:cat>
            <c:multiLvlStrRef>
              <c:f>'34445073613-asp'!$P$2:$Q$77</c:f>
              <c:multiLvlStrCache>
                <c:ptCount val="7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41">
                    <c:v>1</c:v>
                  </c:pt>
                  <c:pt idx="42">
                    <c:v>2</c:v>
                  </c:pt>
                  <c:pt idx="43">
                    <c:v>3</c:v>
                  </c:pt>
                  <c:pt idx="46">
                    <c:v>1</c:v>
                  </c:pt>
                  <c:pt idx="47">
                    <c:v>2</c:v>
                  </c:pt>
                  <c:pt idx="48">
                    <c:v>3</c:v>
                  </c:pt>
                  <c:pt idx="51">
                    <c:v>1</c:v>
                  </c:pt>
                  <c:pt idx="52">
                    <c:v>2</c:v>
                  </c:pt>
                  <c:pt idx="53">
                    <c:v>3</c:v>
                  </c:pt>
                  <c:pt idx="56">
                    <c:v>1</c:v>
                  </c:pt>
                  <c:pt idx="57">
                    <c:v>2</c:v>
                  </c:pt>
                  <c:pt idx="58">
                    <c:v>3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6">
                    <c:v>1</c:v>
                  </c:pt>
                  <c:pt idx="67">
                    <c:v>2</c:v>
                  </c:pt>
                  <c:pt idx="68">
                    <c:v>3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</c:lvl>
                <c:lvl>
                  <c:pt idx="0">
                    <c:v>1</c:v>
                  </c:pt>
                  <c:pt idx="5">
                    <c:v>2</c:v>
                  </c:pt>
                  <c:pt idx="10">
                    <c:v>3</c:v>
                  </c:pt>
                  <c:pt idx="15">
                    <c:v>4</c:v>
                  </c:pt>
                  <c:pt idx="20">
                    <c:v>5</c:v>
                  </c:pt>
                  <c:pt idx="25">
                    <c:v>6</c:v>
                  </c:pt>
                  <c:pt idx="30">
                    <c:v>7</c:v>
                  </c:pt>
                  <c:pt idx="35">
                    <c:v>8</c:v>
                  </c:pt>
                  <c:pt idx="40">
                    <c:v>9</c:v>
                  </c:pt>
                  <c:pt idx="45">
                    <c:v>10</c:v>
                  </c:pt>
                  <c:pt idx="50">
                    <c:v>11</c:v>
                  </c:pt>
                  <c:pt idx="55">
                    <c:v>12</c:v>
                  </c:pt>
                  <c:pt idx="60">
                    <c:v>13</c:v>
                  </c:pt>
                  <c:pt idx="65">
                    <c:v>14</c:v>
                  </c:pt>
                  <c:pt idx="70">
                    <c:v>15</c:v>
                  </c:pt>
                  <c:pt idx="75">
                    <c:v>16</c:v>
                  </c:pt>
                </c:lvl>
              </c:multiLvlStrCache>
            </c:multiLvlStrRef>
          </c:cat>
          <c:val>
            <c:numRef>
              <c:f>'34445073613-asp'!$T$2:$T$76</c:f>
              <c:numCache>
                <c:formatCode>General</c:formatCode>
                <c:ptCount val="7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12</c:v>
                </c:pt>
                <c:pt idx="32">
                  <c:v>12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D2-4659-A8AD-D8AE9FA7D31C}"/>
            </c:ext>
          </c:extLst>
        </c:ser>
        <c:ser>
          <c:idx val="3"/>
          <c:order val="3"/>
          <c:tx>
            <c:strRef>
              <c:f>'34445073613-asp'!$U$1</c:f>
              <c:strCache>
                <c:ptCount val="1"/>
                <c:pt idx="0">
                  <c:v>05:00</c:v>
                </c:pt>
              </c:strCache>
            </c:strRef>
          </c:tx>
          <c:spPr>
            <a:solidFill>
              <a:srgbClr val="8BBF65"/>
            </a:solidFill>
            <a:ln>
              <a:noFill/>
            </a:ln>
            <a:effectLst/>
          </c:spPr>
          <c:invertIfNegative val="0"/>
          <c:cat>
            <c:multiLvlStrRef>
              <c:f>'34445073613-asp'!$P$2:$Q$77</c:f>
              <c:multiLvlStrCache>
                <c:ptCount val="7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41">
                    <c:v>1</c:v>
                  </c:pt>
                  <c:pt idx="42">
                    <c:v>2</c:v>
                  </c:pt>
                  <c:pt idx="43">
                    <c:v>3</c:v>
                  </c:pt>
                  <c:pt idx="46">
                    <c:v>1</c:v>
                  </c:pt>
                  <c:pt idx="47">
                    <c:v>2</c:v>
                  </c:pt>
                  <c:pt idx="48">
                    <c:v>3</c:v>
                  </c:pt>
                  <c:pt idx="51">
                    <c:v>1</c:v>
                  </c:pt>
                  <c:pt idx="52">
                    <c:v>2</c:v>
                  </c:pt>
                  <c:pt idx="53">
                    <c:v>3</c:v>
                  </c:pt>
                  <c:pt idx="56">
                    <c:v>1</c:v>
                  </c:pt>
                  <c:pt idx="57">
                    <c:v>2</c:v>
                  </c:pt>
                  <c:pt idx="58">
                    <c:v>3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6">
                    <c:v>1</c:v>
                  </c:pt>
                  <c:pt idx="67">
                    <c:v>2</c:v>
                  </c:pt>
                  <c:pt idx="68">
                    <c:v>3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</c:lvl>
                <c:lvl>
                  <c:pt idx="0">
                    <c:v>1</c:v>
                  </c:pt>
                  <c:pt idx="5">
                    <c:v>2</c:v>
                  </c:pt>
                  <c:pt idx="10">
                    <c:v>3</c:v>
                  </c:pt>
                  <c:pt idx="15">
                    <c:v>4</c:v>
                  </c:pt>
                  <c:pt idx="20">
                    <c:v>5</c:v>
                  </c:pt>
                  <c:pt idx="25">
                    <c:v>6</c:v>
                  </c:pt>
                  <c:pt idx="30">
                    <c:v>7</c:v>
                  </c:pt>
                  <c:pt idx="35">
                    <c:v>8</c:v>
                  </c:pt>
                  <c:pt idx="40">
                    <c:v>9</c:v>
                  </c:pt>
                  <c:pt idx="45">
                    <c:v>10</c:v>
                  </c:pt>
                  <c:pt idx="50">
                    <c:v>11</c:v>
                  </c:pt>
                  <c:pt idx="55">
                    <c:v>12</c:v>
                  </c:pt>
                  <c:pt idx="60">
                    <c:v>13</c:v>
                  </c:pt>
                  <c:pt idx="65">
                    <c:v>14</c:v>
                  </c:pt>
                  <c:pt idx="70">
                    <c:v>15</c:v>
                  </c:pt>
                  <c:pt idx="75">
                    <c:v>16</c:v>
                  </c:pt>
                </c:lvl>
              </c:multiLvlStrCache>
            </c:multiLvlStrRef>
          </c:cat>
          <c:val>
            <c:numRef>
              <c:f>'34445073613-asp'!$U$2:$U$76</c:f>
              <c:numCache>
                <c:formatCode>General</c:formatCode>
                <c:ptCount val="7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4.5</c:v>
                </c:pt>
                <c:pt idx="17">
                  <c:v>4.5</c:v>
                </c:pt>
                <c:pt idx="18">
                  <c:v>0</c:v>
                </c:pt>
                <c:pt idx="21">
                  <c:v>7.75</c:v>
                </c:pt>
                <c:pt idx="22">
                  <c:v>7.75</c:v>
                </c:pt>
                <c:pt idx="23">
                  <c:v>0</c:v>
                </c:pt>
                <c:pt idx="26">
                  <c:v>17.625</c:v>
                </c:pt>
                <c:pt idx="27">
                  <c:v>17.625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6">
                  <c:v>5</c:v>
                </c:pt>
                <c:pt idx="47">
                  <c:v>5</c:v>
                </c:pt>
                <c:pt idx="48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16.125</c:v>
                </c:pt>
                <c:pt idx="62">
                  <c:v>16.125</c:v>
                </c:pt>
                <c:pt idx="63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D2-4659-A8AD-D8AE9FA7D31C}"/>
            </c:ext>
          </c:extLst>
        </c:ser>
        <c:ser>
          <c:idx val="4"/>
          <c:order val="4"/>
          <c:tx>
            <c:strRef>
              <c:f>'34445073613-asp'!$V$1</c:f>
              <c:strCache>
                <c:ptCount val="1"/>
                <c:pt idx="0">
                  <c:v>10:00</c:v>
                </c:pt>
              </c:strCache>
            </c:strRef>
          </c:tx>
          <c:spPr>
            <a:solidFill>
              <a:srgbClr val="5B97D3"/>
            </a:solidFill>
            <a:ln>
              <a:noFill/>
            </a:ln>
            <a:effectLst/>
          </c:spPr>
          <c:invertIfNegative val="0"/>
          <c:cat>
            <c:multiLvlStrRef>
              <c:f>'34445073613-asp'!$P$2:$Q$77</c:f>
              <c:multiLvlStrCache>
                <c:ptCount val="76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41">
                    <c:v>1</c:v>
                  </c:pt>
                  <c:pt idx="42">
                    <c:v>2</c:v>
                  </c:pt>
                  <c:pt idx="43">
                    <c:v>3</c:v>
                  </c:pt>
                  <c:pt idx="46">
                    <c:v>1</c:v>
                  </c:pt>
                  <c:pt idx="47">
                    <c:v>2</c:v>
                  </c:pt>
                  <c:pt idx="48">
                    <c:v>3</c:v>
                  </c:pt>
                  <c:pt idx="51">
                    <c:v>1</c:v>
                  </c:pt>
                  <c:pt idx="52">
                    <c:v>2</c:v>
                  </c:pt>
                  <c:pt idx="53">
                    <c:v>3</c:v>
                  </c:pt>
                  <c:pt idx="56">
                    <c:v>1</c:v>
                  </c:pt>
                  <c:pt idx="57">
                    <c:v>2</c:v>
                  </c:pt>
                  <c:pt idx="58">
                    <c:v>3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6">
                    <c:v>1</c:v>
                  </c:pt>
                  <c:pt idx="67">
                    <c:v>2</c:v>
                  </c:pt>
                  <c:pt idx="68">
                    <c:v>3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</c:lvl>
                <c:lvl>
                  <c:pt idx="0">
                    <c:v>1</c:v>
                  </c:pt>
                  <c:pt idx="5">
                    <c:v>2</c:v>
                  </c:pt>
                  <c:pt idx="10">
                    <c:v>3</c:v>
                  </c:pt>
                  <c:pt idx="15">
                    <c:v>4</c:v>
                  </c:pt>
                  <c:pt idx="20">
                    <c:v>5</c:v>
                  </c:pt>
                  <c:pt idx="25">
                    <c:v>6</c:v>
                  </c:pt>
                  <c:pt idx="30">
                    <c:v>7</c:v>
                  </c:pt>
                  <c:pt idx="35">
                    <c:v>8</c:v>
                  </c:pt>
                  <c:pt idx="40">
                    <c:v>9</c:v>
                  </c:pt>
                  <c:pt idx="45">
                    <c:v>10</c:v>
                  </c:pt>
                  <c:pt idx="50">
                    <c:v>11</c:v>
                  </c:pt>
                  <c:pt idx="55">
                    <c:v>12</c:v>
                  </c:pt>
                  <c:pt idx="60">
                    <c:v>13</c:v>
                  </c:pt>
                  <c:pt idx="65">
                    <c:v>14</c:v>
                  </c:pt>
                  <c:pt idx="70">
                    <c:v>15</c:v>
                  </c:pt>
                  <c:pt idx="75">
                    <c:v>16</c:v>
                  </c:pt>
                </c:lvl>
              </c:multiLvlStrCache>
            </c:multiLvlStrRef>
          </c:cat>
          <c:val>
            <c:numRef>
              <c:f>'34445073613-asp'!$V$2:$V$76</c:f>
              <c:numCache>
                <c:formatCode>General</c:formatCode>
                <c:ptCount val="7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9.625</c:v>
                </c:pt>
                <c:pt idx="12">
                  <c:v>9.625</c:v>
                </c:pt>
                <c:pt idx="13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D2-4659-A8AD-D8AE9FA7D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695057536"/>
        <c:axId val="695077696"/>
      </c:barChart>
      <c:scatterChart>
        <c:scatterStyle val="lineMarker"/>
        <c:varyColors val="0"/>
        <c:ser>
          <c:idx val="6"/>
          <c:order val="5"/>
          <c:tx>
            <c:v>timeout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yVal>
            <c:numRef>
              <c:f>'34445073613-asp'!$X$2:$X$76</c:f>
              <c:numCache>
                <c:formatCode>General</c:formatCode>
                <c:ptCount val="75"/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0</c:v>
                </c:pt>
                <c:pt idx="16">
                  <c:v>#N/A</c:v>
                </c:pt>
                <c:pt idx="17">
                  <c:v>#N/A</c:v>
                </c:pt>
                <c:pt idx="18">
                  <c:v>0</c:v>
                </c:pt>
                <c:pt idx="21">
                  <c:v>#N/A</c:v>
                </c:pt>
                <c:pt idx="22">
                  <c:v>#N/A</c:v>
                </c:pt>
                <c:pt idx="23">
                  <c:v>0</c:v>
                </c:pt>
                <c:pt idx="26">
                  <c:v>#N/A</c:v>
                </c:pt>
                <c:pt idx="27">
                  <c:v>#N/A</c:v>
                </c:pt>
                <c:pt idx="28">
                  <c:v>0</c:v>
                </c:pt>
                <c:pt idx="31">
                  <c:v>#N/A</c:v>
                </c:pt>
                <c:pt idx="32">
                  <c:v>#N/A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1">
                  <c:v>#N/A</c:v>
                </c:pt>
                <c:pt idx="42">
                  <c:v>#N/A</c:v>
                </c:pt>
                <c:pt idx="43">
                  <c:v>0</c:v>
                </c:pt>
                <c:pt idx="46">
                  <c:v>#N/A</c:v>
                </c:pt>
                <c:pt idx="47">
                  <c:v>#N/A</c:v>
                </c:pt>
                <c:pt idx="48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6">
                  <c:v>#N/A</c:v>
                </c:pt>
                <c:pt idx="57">
                  <c:v>#N/A</c:v>
                </c:pt>
                <c:pt idx="58">
                  <c:v>0</c:v>
                </c:pt>
                <c:pt idx="61">
                  <c:v>#N/A</c:v>
                </c:pt>
                <c:pt idx="62">
                  <c:v>#N/A</c:v>
                </c:pt>
                <c:pt idx="63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D2-4659-A8AD-D8AE9FA7D31C}"/>
            </c:ext>
          </c:extLst>
        </c:ser>
        <c:ser>
          <c:idx val="5"/>
          <c:order val="6"/>
          <c:tx>
            <c:v>best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'34445073613-asp'!$W$2:$W$76</c:f>
              <c:numCache>
                <c:formatCode>General</c:formatCode>
                <c:ptCount val="75"/>
                <c:pt idx="1">
                  <c:v>6</c:v>
                </c:pt>
                <c:pt idx="2">
                  <c:v>6</c:v>
                </c:pt>
                <c:pt idx="3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21">
                  <c:v>7.75</c:v>
                </c:pt>
                <c:pt idx="22">
                  <c:v>7.75</c:v>
                </c:pt>
                <c:pt idx="23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31">
                  <c:v>12</c:v>
                </c:pt>
                <c:pt idx="32">
                  <c:v>12</c:v>
                </c:pt>
                <c:pt idx="33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41">
                  <c:v>0</c:v>
                </c:pt>
                <c:pt idx="42">
                  <c:v>0</c:v>
                </c:pt>
                <c:pt idx="43">
                  <c:v>#N/A</c:v>
                </c:pt>
                <c:pt idx="46">
                  <c:v>5</c:v>
                </c:pt>
                <c:pt idx="47">
                  <c:v>5</c:v>
                </c:pt>
                <c:pt idx="48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6">
                  <c:v>12</c:v>
                </c:pt>
                <c:pt idx="57">
                  <c:v>12</c:v>
                </c:pt>
                <c:pt idx="58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4D2-4659-A8AD-D8AE9FA7D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57536"/>
        <c:axId val="695077696"/>
      </c:scatterChart>
      <c:catAx>
        <c:axId val="6950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706F7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695077696"/>
        <c:crosses val="autoZero"/>
        <c:auto val="1"/>
        <c:lblAlgn val="ctr"/>
        <c:lblOffset val="0"/>
        <c:noMultiLvlLbl val="0"/>
      </c:catAx>
      <c:valAx>
        <c:axId val="695077696"/>
        <c:scaling>
          <c:orientation val="minMax"/>
          <c:max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3C3B4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6950575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207941100040641"/>
          <c:y val="0"/>
          <c:w val="0.36780228349404293"/>
          <c:h val="4.03011312583260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 Nova Cond" panose="020F0502020204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863808690580344E-2"/>
          <c:y val="0.13905880186029379"/>
          <c:w val="0.95827238261883929"/>
          <c:h val="0.82228070806217712"/>
        </c:manualLayout>
      </c:layout>
      <c:radarChart>
        <c:radarStyle val="marker"/>
        <c:varyColors val="0"/>
        <c:ser>
          <c:idx val="1"/>
          <c:order val="0"/>
          <c:tx>
            <c:v>gruppo 2</c:v>
          </c:tx>
          <c:spPr>
            <a:ln w="22225" cap="rnd">
              <a:solidFill>
                <a:srgbClr val="D9595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95959"/>
              </a:solidFill>
              <a:ln w="15875">
                <a:solidFill>
                  <a:schemeClr val="bg1"/>
                </a:solidFill>
              </a:ln>
              <a:effectLst/>
            </c:spPr>
          </c:marker>
          <c:val>
            <c:numRef>
              <c:f>misc!$C$13:$C$24</c:f>
              <c:numCache>
                <c:formatCode>0.00%</c:formatCode>
                <c:ptCount val="12"/>
                <c:pt idx="0">
                  <c:v>0.93811074918566772</c:v>
                </c:pt>
                <c:pt idx="1">
                  <c:v>0.96900845224029808</c:v>
                </c:pt>
                <c:pt idx="2">
                  <c:v>0.98208110657026093</c:v>
                </c:pt>
                <c:pt idx="3">
                  <c:v>0.99969874981171858</c:v>
                </c:pt>
                <c:pt idx="4">
                  <c:v>0.21854726501600927</c:v>
                </c:pt>
                <c:pt idx="5">
                  <c:v>0.89320388349514568</c:v>
                </c:pt>
                <c:pt idx="6">
                  <c:v>0.96132596685082872</c:v>
                </c:pt>
                <c:pt idx="7">
                  <c:v>0.98239999999999983</c:v>
                </c:pt>
                <c:pt idx="8">
                  <c:v>0.98866213151927429</c:v>
                </c:pt>
                <c:pt idx="9">
                  <c:v>1</c:v>
                </c:pt>
                <c:pt idx="10">
                  <c:v>0.26614372050666446</c:v>
                </c:pt>
                <c:pt idx="11">
                  <c:v>0.86857142857142855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CE-474E-9C15-03D84FC1E55E}"/>
            </c:ext>
          </c:extLst>
        </c:ser>
        <c:ser>
          <c:idx val="0"/>
          <c:order val="1"/>
          <c:tx>
            <c:v>gruppo 1</c:v>
          </c:tx>
          <c:spPr>
            <a:ln w="22225" cap="rnd">
              <a:solidFill>
                <a:srgbClr val="5B97D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B97D3"/>
              </a:solidFill>
              <a:ln w="15875">
                <a:solidFill>
                  <a:schemeClr val="bg1"/>
                </a:solidFill>
              </a:ln>
              <a:effectLst/>
            </c:spPr>
          </c:marker>
          <c:val>
            <c:numRef>
              <c:f>misc!$C$1:$C$12</c:f>
              <c:numCache>
                <c:formatCode>0.00%</c:formatCode>
                <c:ptCount val="12"/>
                <c:pt idx="0">
                  <c:v>0.99735582976580206</c:v>
                </c:pt>
                <c:pt idx="1">
                  <c:v>0.97207446808510645</c:v>
                </c:pt>
                <c:pt idx="2">
                  <c:v>0.99780827139317696</c:v>
                </c:pt>
                <c:pt idx="3">
                  <c:v>0.95136778115501519</c:v>
                </c:pt>
                <c:pt idx="4">
                  <c:v>0.99985074626865666</c:v>
                </c:pt>
                <c:pt idx="5">
                  <c:v>0.99984058664116049</c:v>
                </c:pt>
                <c:pt idx="6">
                  <c:v>0.99484536082474218</c:v>
                </c:pt>
                <c:pt idx="7">
                  <c:v>0.97342657342657346</c:v>
                </c:pt>
                <c:pt idx="8">
                  <c:v>0.99758943207019568</c:v>
                </c:pt>
                <c:pt idx="9">
                  <c:v>0.9636963696369637</c:v>
                </c:pt>
                <c:pt idx="10">
                  <c:v>0.99994998749687425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E-474E-9C15-03D84FC1E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936991"/>
        <c:axId val="1869931231"/>
      </c:radarChart>
      <c:catAx>
        <c:axId val="1869936991"/>
        <c:scaling>
          <c:orientation val="minMax"/>
        </c:scaling>
        <c:delete val="1"/>
        <c:axPos val="b"/>
        <c:majorTickMark val="none"/>
        <c:minorTickMark val="none"/>
        <c:tickLblPos val="nextTo"/>
        <c:crossAx val="1869931231"/>
        <c:crosses val="autoZero"/>
        <c:auto val="1"/>
        <c:lblAlgn val="ctr"/>
        <c:lblOffset val="100"/>
        <c:noMultiLvlLbl val="0"/>
      </c:catAx>
      <c:valAx>
        <c:axId val="186993123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 Cond" panose="020B0506020202020204" pitchFamily="34" charset="0"/>
                <a:ea typeface="+mn-ea"/>
                <a:cs typeface="+mn-cs"/>
              </a:defRPr>
            </a:pPr>
            <a:endParaRPr lang="it-IT"/>
          </a:p>
        </c:txPr>
        <c:crossAx val="1869936991"/>
        <c:crosses val="autoZero"/>
        <c:crossBetween val="between"/>
        <c:majorUnit val="0.33300000000000007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1037132975200529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ova Cond" panose="020B0506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</xdr:colOff>
      <xdr:row>1</xdr:row>
      <xdr:rowOff>1</xdr:rowOff>
    </xdr:from>
    <xdr:to>
      <xdr:col>42</xdr:col>
      <xdr:colOff>0</xdr:colOff>
      <xdr:row>31</xdr:row>
      <xdr:rowOff>137864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E8803E0-AB76-76B9-EBCC-2810FB8021B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</xdr:colOff>
      <xdr:row>1</xdr:row>
      <xdr:rowOff>1</xdr:rowOff>
    </xdr:from>
    <xdr:to>
      <xdr:col>42</xdr:col>
      <xdr:colOff>0</xdr:colOff>
      <xdr:row>31</xdr:row>
      <xdr:rowOff>137864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F5E98-8213-4555-B817-B7D9813573F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</xdr:colOff>
      <xdr:row>1</xdr:row>
      <xdr:rowOff>1</xdr:rowOff>
    </xdr:from>
    <xdr:to>
      <xdr:col>42</xdr:col>
      <xdr:colOff>0</xdr:colOff>
      <xdr:row>31</xdr:row>
      <xdr:rowOff>137864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0F212-90E9-4940-A3AD-0F9EB4BA4D0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</xdr:colOff>
      <xdr:row>1</xdr:row>
      <xdr:rowOff>1</xdr:rowOff>
    </xdr:from>
    <xdr:to>
      <xdr:col>42</xdr:col>
      <xdr:colOff>0</xdr:colOff>
      <xdr:row>31</xdr:row>
      <xdr:rowOff>137864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3A66D1-F2FC-4E46-918C-DCBB0A6E9FD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</xdr:colOff>
      <xdr:row>1</xdr:row>
      <xdr:rowOff>1</xdr:rowOff>
    </xdr:from>
    <xdr:to>
      <xdr:col>42</xdr:col>
      <xdr:colOff>0</xdr:colOff>
      <xdr:row>31</xdr:row>
      <xdr:rowOff>137864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58F9E-997A-4AD8-9922-239D3896E57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</xdr:rowOff>
    </xdr:from>
    <xdr:to>
      <xdr:col>6</xdr:col>
      <xdr:colOff>495300</xdr:colOff>
      <xdr:row>12</xdr:row>
      <xdr:rowOff>133351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FBD29-5F5E-9D55-ABF3-B27C9FD33A3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84319B-9A07-437A-BC8A-546F00A1EF69}" name="_372845237" displayName="_372845237" ref="A1:J280" totalsRowShown="0">
  <autoFilter ref="A1:J280" xr:uid="{0E84319B-9A07-437A-BC8A-546F00A1EF69}"/>
  <tableColumns count="10">
    <tableColumn id="11" xr3:uid="{48536361-9FEC-4167-BB34-35F2F63D9310}" name="model" dataDxfId="37">
      <calculatedColumnFormula>IF(_372845237[[#This Row],[instance]]&lt;OFFSET(_372845237[[#This Row],[instance]],-1,0), OFFSET(_372845237[[#This Row],[model]],-1,0)+1, OFFSET(_372845237[[#This Row],[model]],-1,0))</calculatedColumnFormula>
    </tableColumn>
    <tableColumn id="1" xr3:uid="{0B2B9A1D-AC3B-4D21-98F8-7F964919B70C}" name="instance"/>
    <tableColumn id="2" xr3:uid="{EA6441B6-08ED-409A-BD63-746F6DAE4792}" name="time" dataDxfId="36"/>
    <tableColumn id="3" xr3:uid="{F4A4CE25-D89D-4BD0-A1AB-0889C1B5396E}" name="wine" dataDxfId="35"/>
    <tableColumn id="4" xr3:uid="{0760BC02-FD37-4146-898B-8EB16DF58FA2}" name="bottles"/>
    <tableColumn id="5" xr3:uid="{C6891893-3916-4AFD-8EC8-8CF7732F1DB7}" name="boxes"/>
    <tableColumn id="6" xr3:uid="{4A86C598-5175-45CE-9868-994D8B8424B5}" name="total flattening" dataDxfId="34"/>
    <tableColumn id="7" xr3:uid="{5E2DC734-6A35-4EBF-9E84-CC2F730BD502}" name="total time" dataDxfId="33"/>
    <tableColumn id="8" xr3:uid="{5BC44A4A-B472-4C92-B267-3B236FBDE664}" name="average time" dataDxfId="32"/>
    <tableColumn id="9" xr3:uid="{08DD3185-C1CC-49D4-924C-0D784C54C898}" name="average flattening" dataDxfId="3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4466E9-0020-498E-9C04-3A00A56620BA}" name="_372845237_summary" displayName="_372845237_summary" ref="L1:O26" totalsRowShown="0">
  <autoFilter ref="L1:O26" xr:uid="{594466E9-0020-498E-9C04-3A00A56620BA}"/>
  <tableColumns count="4">
    <tableColumn id="1" xr3:uid="{C9716165-FA68-4DA2-9B73-E53E338A52C5}" name="model"/>
    <tableColumn id="2" xr3:uid="{3161761E-6FDA-4B7C-9422-6AEC7E4DD6FE}" name="instance"/>
    <tableColumn id="3" xr3:uid="{729F6903-2119-430E-9A23-12B003D4E5F3}" name="objective"/>
    <tableColumn id="4" xr3:uid="{C83D4E59-44DC-44A7-BEB5-0CE0B81B9947}" name="best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333741-E7E6-4995-8D6B-1B969F52209D}" name="_34445073613" displayName="_34445073613" ref="A1:J485" totalsRowShown="0" headerRowDxfId="30">
  <autoFilter ref="A1:J485" xr:uid="{E2333741-E7E6-4995-8D6B-1B969F52209D}"/>
  <tableColumns count="10">
    <tableColumn id="19" xr3:uid="{056665F5-A1C2-47E7-8627-0FCF94696206}" name="model" dataDxfId="29"/>
    <tableColumn id="1" xr3:uid="{E4C61A89-9F1E-46ED-8867-94FE754E1770}" name="instance"/>
    <tableColumn id="2" xr3:uid="{CC367435-157F-4976-BAFB-81A982594FB2}" name="time" dataDxfId="28"/>
    <tableColumn id="3" xr3:uid="{9453500C-46D0-47EE-9903-8BF5E2403003}" name="wine"/>
    <tableColumn id="4" xr3:uid="{3DB4E28E-C339-4527-8D24-E03D444F0F8B}" name="bottles"/>
    <tableColumn id="5" xr3:uid="{714592D9-8AD4-4867-99D5-29DC36DB6FB2}" name="boxes"/>
    <tableColumn id="6" xr3:uid="{C656C661-57D8-48EE-BA8B-8498CA7D6B16}" name="total flattening" dataDxfId="27"/>
    <tableColumn id="7" xr3:uid="{750C4246-6626-4399-8419-D1426E994B75}" name="total time" dataDxfId="26"/>
    <tableColumn id="8" xr3:uid="{CF179EF9-73DE-4B61-BCD7-889E9BA0737E}" name="average time" dataDxfId="25"/>
    <tableColumn id="9" xr3:uid="{8539DBD4-8661-46B9-9FED-780A7AB2A87F}" name="average flattening" dataDxfId="2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477E2E-8537-4968-BD2B-30888449FC71}" name="_34445073613_summary" displayName="_34445073613_summary" ref="L1:O15" totalsRowShown="0" headerRowDxfId="23" dataDxfId="22" tableBorderDxfId="21">
  <autoFilter ref="L1:O15" xr:uid="{4A477E2E-8537-4968-BD2B-30888449FC71}"/>
  <tableColumns count="4">
    <tableColumn id="1" xr3:uid="{6594A271-3FAD-4CF7-9E3F-600DD9630C25}" name="model" dataDxfId="20"/>
    <tableColumn id="2" xr3:uid="{36A3798B-B276-40EE-BB7F-596ABF67A408}" name="instance" dataDxfId="19"/>
    <tableColumn id="3" xr3:uid="{8AB7D0B6-CDC3-442E-9DDC-B1190D48396D}" name="objective" dataDxfId="18"/>
    <tableColumn id="4" xr3:uid="{D63A5D63-CA28-47BD-99BF-25DAAF960874}" name="best" dataDxfId="17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A1C0BCB-1A27-4292-BE30-A92E5CA6B216}" name="_157721372917" displayName="_157721372917" ref="A1:J667" totalsRowShown="0" headerRowDxfId="16">
  <autoFilter ref="A1:J667" xr:uid="{3A1C0BCB-1A27-4292-BE30-A92E5CA6B216}"/>
  <tableColumns count="10">
    <tableColumn id="19" xr3:uid="{CE3A8BE7-3B36-4A7C-97AA-CDB6DFD5BCFB}" name="model" dataDxfId="15"/>
    <tableColumn id="1" xr3:uid="{AED9557B-FF42-428C-8F10-98A20139E5C8}" name="instance"/>
    <tableColumn id="2" xr3:uid="{210EC1B2-14DE-4D59-9C08-737E87DE6986}" name="time" dataDxfId="14"/>
    <tableColumn id="3" xr3:uid="{12D1206A-2F0C-4AF0-98DC-77F71B875878}" name="wine"/>
    <tableColumn id="4" xr3:uid="{CEDA1304-251E-4243-AD00-DDE425FCE754}" name="bottles"/>
    <tableColumn id="5" xr3:uid="{72AE0016-0F28-488F-888D-F36221A7FAE9}" name="boxes"/>
    <tableColumn id="6" xr3:uid="{92DBDEAA-D97E-4A27-A728-8BAC40A365F3}" name="total flattening" dataDxfId="13"/>
    <tableColumn id="7" xr3:uid="{6B867AB9-7B4A-4620-99CE-48121DF300DB}" name="total time" dataDxfId="12"/>
    <tableColumn id="8" xr3:uid="{1D856053-2B3D-460E-8699-2B06A0A2F5C6}" name="average time" dataDxfId="11"/>
    <tableColumn id="9" xr3:uid="{FDBF90D2-673F-4AC7-B99A-BA5409C5F6F3}" name="average flattening" dataDxfId="1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9EB9725-48B2-4DE7-B201-B7F7FE7E2C90}" name="_157721372917_summary" displayName="_157721372917_summary" ref="L1:O5" totalsRowShown="0">
  <autoFilter ref="L1:O5" xr:uid="{E9EB9725-48B2-4DE7-B201-B7F7FE7E2C90}"/>
  <tableColumns count="4">
    <tableColumn id="1" xr3:uid="{99FDF6AD-35B8-42FE-88ED-358B2BBD682F}" name="model"/>
    <tableColumn id="2" xr3:uid="{4D7AA5D4-9101-4B05-9143-A4A1CC0AE79D}" name="instance"/>
    <tableColumn id="3" xr3:uid="{5E3F5933-EDE1-48E5-8FDE-D1332D1585E0}" name="objective"/>
    <tableColumn id="4" xr3:uid="{AB53E076-F6B8-42D6-B4DF-0DE3C751FA32}" name="best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8F45DE-9654-40A4-BD5F-B711251555C4}" name="_372845237_asp" displayName="_372845237_asp" ref="A1:I68" totalsRowShown="0" headerRowDxfId="9">
  <autoFilter ref="A1:I68" xr:uid="{9A8F45DE-9654-40A4-BD5F-B711251555C4}"/>
  <tableColumns count="9">
    <tableColumn id="1" xr3:uid="{AA7C5004-C327-479B-A63D-6F5DFE70AC6F}" name="model"/>
    <tableColumn id="2" xr3:uid="{3770D5F0-2FC1-493A-974E-7055263F503B}" name="instance"/>
    <tableColumn id="3" xr3:uid="{8FF25CD7-5041-469E-8728-AF2DF262ECF8}" name="time" dataDxfId="8"/>
    <tableColumn id="4" xr3:uid="{03E7AF96-72E3-4C25-9940-A400A13D3D4B}" name="wine"/>
    <tableColumn id="5" xr3:uid="{5D30B8A1-ACE1-4B87-80A0-A3EF905E4F5F}" name="bottles"/>
    <tableColumn id="6" xr3:uid="{6D37126F-BEB5-43C5-877C-63123B4F6A31}" name="boxes"/>
    <tableColumn id="7" xr3:uid="{3CE3DAC6-F535-41FD-A4B5-D09A32F6EE78}" name="total grounding" dataDxfId="7"/>
    <tableColumn id="8" xr3:uid="{D0711D53-3BA3-418E-B18F-1732D11C79B8}" name="total time" dataDxfId="6"/>
    <tableColumn id="9" xr3:uid="{29A619A9-8F1B-4FDD-ADF1-D4FCB9D4511D}" name="average time" dataDxfId="5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81BB23-3107-4A47-B44E-2295939387E0}" name="_372845237_asp_summary" displayName="_372845237_asp_summary" ref="K1:N46" totalsRowShown="0">
  <autoFilter ref="K1:N46" xr:uid="{1F81BB23-3107-4A47-B44E-2295939387E0}"/>
  <tableColumns count="4">
    <tableColumn id="1" xr3:uid="{57AEAD44-1701-4B11-AC04-CA1540BF4FA1}" name="model"/>
    <tableColumn id="2" xr3:uid="{04999AA3-3DFF-4F79-B5B6-8134B9A8860F}" name="instance"/>
    <tableColumn id="3" xr3:uid="{B33CEFC0-7337-4906-B4DF-F67D31722026}" name="objective"/>
    <tableColumn id="4" xr3:uid="{12C6298E-BA6C-4CDA-9579-95EFD34E6C19}" name="best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361354D-59B7-4381-8AD6-F7CFDDBC326A}" name="_34445073613_asp" displayName="_34445073613_asp" ref="A1:I178" totalsRowShown="0" headerRowDxfId="4">
  <autoFilter ref="A1:I178" xr:uid="{E361354D-59B7-4381-8AD6-F7CFDDBC326A}"/>
  <tableColumns count="9">
    <tableColumn id="1" xr3:uid="{D07321DD-7885-4612-A1B0-01DB0D180F5C}" name="model"/>
    <tableColumn id="2" xr3:uid="{800F2F42-5F2D-45CA-B317-9F6A738133BF}" name="instance"/>
    <tableColumn id="3" xr3:uid="{6BB6F59C-A5D5-4A71-ADE7-E4F1849FBE45}" name="time" dataDxfId="3"/>
    <tableColumn id="4" xr3:uid="{3DD7F042-E063-4C1F-BC08-7F22D67F497F}" name="wine"/>
    <tableColumn id="5" xr3:uid="{1986B36C-4581-4EFD-A582-EC91E9628268}" name="bottles"/>
    <tableColumn id="6" xr3:uid="{388E517C-E2A9-4C11-A6DC-C89059CB90A9}" name="boxes"/>
    <tableColumn id="7" xr3:uid="{D1A3C444-6620-48DF-A9A1-1040326BCA9D}" name="total grounding" dataDxfId="2"/>
    <tableColumn id="8" xr3:uid="{96DF6916-CA73-4457-BCB6-6D92C3DF4E6F}" name="total time" dataDxfId="1"/>
    <tableColumn id="9" xr3:uid="{E0FED550-319E-4ACC-9839-29806F4D5511}" name="average time" dataDxfId="0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117AA2-A7F4-4015-8E80-0EA292551FCF}" name="_34445073613_asp_summary" displayName="_34445073613_asp_summary" ref="K1:N38" totalsRowShown="0">
  <autoFilter ref="K1:N38" xr:uid="{55117AA2-A7F4-4015-8E80-0EA292551FCF}"/>
  <tableColumns count="4">
    <tableColumn id="1" xr3:uid="{8075A0F3-1983-4EA0-B786-EEE8CBFA93FA}" name="model"/>
    <tableColumn id="2" xr3:uid="{38493A49-5FC6-4ED1-A1C4-5E6C18DE0D0D}" name="instance"/>
    <tableColumn id="3" xr3:uid="{7DA05B88-6F45-4C22-821C-0E6CA7AFB247}" name="objective"/>
    <tableColumn id="4" xr3:uid="{E0654AEF-1D95-45DB-AACB-3309035365B9}" name="bes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2400-9E5A-4BDD-9302-4C8042F83CA9}">
  <dimension ref="A1:AC280"/>
  <sheetViews>
    <sheetView topLeftCell="D1" zoomScale="60" zoomScaleNormal="60" workbookViewId="0">
      <selection activeCell="AC80" sqref="AC80"/>
    </sheetView>
  </sheetViews>
  <sheetFormatPr defaultRowHeight="15" x14ac:dyDescent="0.25"/>
  <cols>
    <col min="1" max="1" width="13.28515625" bestFit="1" customWidth="1"/>
    <col min="2" max="2" width="16.140625" bestFit="1" customWidth="1"/>
    <col min="3" max="3" width="11.140625" style="5" bestFit="1" customWidth="1"/>
    <col min="4" max="4" width="11.140625" bestFit="1" customWidth="1"/>
    <col min="5" max="5" width="14.42578125" bestFit="1" customWidth="1"/>
    <col min="6" max="6" width="13" bestFit="1" customWidth="1"/>
    <col min="7" max="7" width="24" style="5" bestFit="1" customWidth="1"/>
    <col min="8" max="8" width="17.5703125" style="5" bestFit="1" customWidth="1"/>
    <col min="9" max="9" width="21.5703125" style="5" bestFit="1" customWidth="1"/>
    <col min="10" max="10" width="28" style="5" bestFit="1" customWidth="1"/>
    <col min="11" max="11" width="9.7109375" style="5" customWidth="1"/>
    <col min="12" max="12" width="13.28515625" style="5" bestFit="1" customWidth="1"/>
    <col min="13" max="13" width="16.140625" style="5" bestFit="1" customWidth="1"/>
    <col min="14" max="14" width="17" style="5" bestFit="1" customWidth="1"/>
    <col min="15" max="15" width="11.140625" style="5" bestFit="1" customWidth="1"/>
    <col min="16" max="16" width="10.28515625" customWidth="1"/>
    <col min="17" max="17" width="9.85546875" bestFit="1" customWidth="1"/>
    <col min="18" max="18" width="7.7109375" style="2" bestFit="1" customWidth="1"/>
    <col min="19" max="19" width="6.28515625" bestFit="1" customWidth="1"/>
    <col min="20" max="20" width="6.85546875" bestFit="1" customWidth="1"/>
    <col min="21" max="21" width="6.28515625" bestFit="1" customWidth="1"/>
    <col min="22" max="22" width="6.85546875" bestFit="1" customWidth="1"/>
    <col min="23" max="23" width="6.28515625" bestFit="1" customWidth="1"/>
    <col min="24" max="24" width="8.7109375" bestFit="1" customWidth="1"/>
  </cols>
  <sheetData>
    <row r="1" spans="1:24" x14ac:dyDescent="0.25">
      <c r="A1" t="s">
        <v>9</v>
      </c>
      <c r="B1" t="s">
        <v>0</v>
      </c>
      <c r="C1" s="5" t="s">
        <v>1</v>
      </c>
      <c r="D1" t="s">
        <v>2</v>
      </c>
      <c r="E1" t="s">
        <v>3</v>
      </c>
      <c r="F1" t="s">
        <v>4</v>
      </c>
      <c r="G1" s="5" t="s">
        <v>5</v>
      </c>
      <c r="H1" s="5" t="s">
        <v>6</v>
      </c>
      <c r="I1" s="5" t="s">
        <v>7</v>
      </c>
      <c r="J1" s="5" t="s">
        <v>8</v>
      </c>
      <c r="L1" t="s">
        <v>9</v>
      </c>
      <c r="M1" t="s">
        <v>0</v>
      </c>
      <c r="N1" t="s">
        <v>10</v>
      </c>
      <c r="O1" t="s">
        <v>11</v>
      </c>
      <c r="Q1" t="s">
        <v>0</v>
      </c>
      <c r="R1" s="2" t="s">
        <v>9</v>
      </c>
      <c r="S1" s="3">
        <f>TIME(0,0,10)</f>
        <v>1.1574074074074075E-4</v>
      </c>
      <c r="T1" s="3">
        <f>TIME(0,0,30)</f>
        <v>3.4722222222222224E-4</v>
      </c>
      <c r="U1" s="3">
        <f>TIME(0,1,0)</f>
        <v>6.9444444444444447E-4</v>
      </c>
      <c r="V1" s="3">
        <f>TIME(0,5,0)</f>
        <v>3.472222222222222E-3</v>
      </c>
      <c r="W1" s="3">
        <f>TIME(0,10,0)</f>
        <v>6.9444444444444441E-3</v>
      </c>
      <c r="X1" s="8" t="s">
        <v>11</v>
      </c>
    </row>
    <row r="2" spans="1:24" x14ac:dyDescent="0.25">
      <c r="A2">
        <v>1</v>
      </c>
      <c r="B2">
        <v>1</v>
      </c>
      <c r="C2" s="5">
        <v>5.4398148148148149E-6</v>
      </c>
      <c r="D2">
        <v>0</v>
      </c>
      <c r="E2">
        <v>0</v>
      </c>
      <c r="F2">
        <v>0</v>
      </c>
      <c r="G2" s="5">
        <v>2.0833333333333334E-6</v>
      </c>
      <c r="H2" s="5">
        <v>6.0469907407407408E-3</v>
      </c>
      <c r="I2" s="5">
        <v>3.2520833333333334E-3</v>
      </c>
      <c r="J2" s="5">
        <v>2.1990740740740739E-6</v>
      </c>
      <c r="L2">
        <v>1</v>
      </c>
      <c r="M2">
        <v>1</v>
      </c>
      <c r="N2">
        <v>12</v>
      </c>
      <c r="O2" t="b">
        <v>1</v>
      </c>
      <c r="P2" s="1"/>
      <c r="Q2">
        <v>1</v>
      </c>
    </row>
    <row r="3" spans="1:24" x14ac:dyDescent="0.25">
      <c r="A3">
        <f ca="1">IF(_372845237[[#This Row],[instance]]&lt;OFFSET(_372845237[[#This Row],[instance]],-1,0), OFFSET(_372845237[[#This Row],[model]],-1,0)+1, OFFSET(_372845237[[#This Row],[model]],-1,0))</f>
        <v>1</v>
      </c>
      <c r="B3">
        <v>1</v>
      </c>
      <c r="C3" s="5">
        <v>5.4398148148148149E-6</v>
      </c>
      <c r="D3">
        <v>3</v>
      </c>
      <c r="E3">
        <v>1</v>
      </c>
      <c r="F3">
        <v>1</v>
      </c>
      <c r="G3" s="5">
        <v>2.0833333333333334E-6</v>
      </c>
      <c r="H3" s="5">
        <v>6.0469907407407408E-3</v>
      </c>
      <c r="I3" s="5">
        <v>3.2520833333333334E-3</v>
      </c>
      <c r="J3" s="5">
        <v>2.1990740740740739E-6</v>
      </c>
      <c r="L3">
        <v>1</v>
      </c>
      <c r="M3">
        <v>3</v>
      </c>
      <c r="N3">
        <v>4.625</v>
      </c>
      <c r="O3" t="b">
        <v>1</v>
      </c>
      <c r="P3" s="1"/>
      <c r="R3" s="2">
        <v>1</v>
      </c>
      <c r="S3" cm="1">
        <f t="array" aca="1" ref="S3" ca="1">_xlfn.MAXIFS(COL(bench,"wine"), COL(bench,"model"), $R3, COL(bench,"instance"), INDEX($Q:$Q, ROW()-$R3), COL(bench,"time"),"&lt;="&amp;S$1)</f>
        <v>11.625</v>
      </c>
      <c r="T3" cm="1">
        <f t="array" aca="1" ref="T3" ca="1">_xlfn.MAXIFS(COL(bench,"wine"), COL(bench,"model"), $R3, COL(bench,"instance"), INDEX($Q:$Q, ROW()-$R3), COL(bench,"time"),"&lt;="&amp;T$1)-SUM($S3:S3)</f>
        <v>0</v>
      </c>
      <c r="U3" cm="1">
        <f t="array" aca="1" ref="U3" ca="1">_xlfn.MAXIFS(COL(bench,"wine"), COL(bench,"model"), $R3, COL(bench,"instance"), INDEX($Q:$Q, ROW()-$R3), COL(bench,"time"),"&lt;="&amp;U$1)-SUM($S3:T3)</f>
        <v>0</v>
      </c>
      <c r="V3" cm="1">
        <f t="array" aca="1" ref="V3" ca="1">_xlfn.MAXIFS(COL(bench,"wine"), COL(bench,"model"), $R3, COL(bench,"instance"), INDEX($Q:$Q, ROW()-$R3), COL(bench,"time"),"&lt;="&amp;V$1)-SUM($S3:U3)</f>
        <v>0</v>
      </c>
      <c r="W3" cm="1">
        <f t="array" aca="1" ref="W3" ca="1">_xlfn.MAXIFS(COL(bench,"wine"), COL(bench,"model"), $R3, COL(bench,"instance"), INDEX($Q:$Q, ROW()-$R3), COL(bench,"time"),"&lt;="&amp;W$1)-SUM($S3:V3)</f>
        <v>0.375</v>
      </c>
      <c r="X3" cm="1">
        <f t="array" ref="X3" xml:space="preserve"> _xlfn.LET(
  _xlpm.idx, _xlfn.XMATCH(1,
      (COL(summary,"model")=$R3)*(COL(summary,"instance")=INDEX($Q:$Q, ROW()-$R3))),
  IFERROR(INDEX(COL(summary,"objective"), _xlpm.idx), #N/A)
)</f>
        <v>12</v>
      </c>
    </row>
    <row r="4" spans="1:24" x14ac:dyDescent="0.25">
      <c r="A4">
        <f ca="1">IF(_372845237[[#This Row],[instance]]&lt;OFFSET(_372845237[[#This Row],[instance]],-1,0), OFFSET(_372845237[[#This Row],[model]],-1,0)+1, OFFSET(_372845237[[#This Row],[model]],-1,0))</f>
        <v>1</v>
      </c>
      <c r="B4">
        <v>1</v>
      </c>
      <c r="C4" s="5">
        <v>5.4398148148148149E-6</v>
      </c>
      <c r="D4">
        <v>6</v>
      </c>
      <c r="E4">
        <v>2</v>
      </c>
      <c r="F4">
        <v>2</v>
      </c>
      <c r="G4" s="5">
        <v>2.0833333333333334E-6</v>
      </c>
      <c r="H4" s="5">
        <v>6.0469907407407408E-3</v>
      </c>
      <c r="I4" s="5">
        <v>3.2520833333333334E-3</v>
      </c>
      <c r="J4" s="5">
        <v>2.1990740740740739E-6</v>
      </c>
      <c r="L4">
        <v>1</v>
      </c>
      <c r="M4">
        <v>4</v>
      </c>
      <c r="N4">
        <v>11</v>
      </c>
      <c r="O4" t="b">
        <v>1</v>
      </c>
      <c r="P4" s="1"/>
      <c r="R4" s="2">
        <v>2</v>
      </c>
      <c r="S4" cm="1">
        <f t="array" aca="1" ref="S4" ca="1">_xlfn.MAXIFS(COL(bench,"wine"), COL(bench,"model"), $R4, COL(bench,"instance"), INDEX($Q:$Q, ROW()-$R4), COL(bench,"time"),"&lt;="&amp;S$1)</f>
        <v>10.5</v>
      </c>
      <c r="T4" cm="1">
        <f t="array" aca="1" ref="T4" ca="1">_xlfn.MAXIFS(COL(bench,"wine"), COL(bench,"model"), $R4, COL(bench,"instance"), INDEX($Q:$Q, ROW()-$R4), COL(bench,"time"),"&lt;="&amp;T$1)-SUM($S4:S4)</f>
        <v>0</v>
      </c>
      <c r="U4" cm="1">
        <f t="array" aca="1" ref="U4" ca="1">_xlfn.MAXIFS(COL(bench,"wine"), COL(bench,"model"), $R4, COL(bench,"instance"), INDEX($Q:$Q, ROW()-$R4), COL(bench,"time"),"&lt;="&amp;U$1)-SUM($S4:T4)</f>
        <v>0</v>
      </c>
      <c r="V4" cm="1">
        <f t="array" aca="1" ref="V4" ca="1">_xlfn.MAXIFS(COL(bench,"wine"), COL(bench,"model"), $R4, COL(bench,"instance"), INDEX($Q:$Q, ROW()-$R4), COL(bench,"time"),"&lt;="&amp;V$1)-SUM($S4:U4)</f>
        <v>1.5</v>
      </c>
      <c r="W4" cm="1">
        <f t="array" aca="1" ref="W4" ca="1">_xlfn.MAXIFS(COL(bench,"wine"), COL(bench,"model"), $R4, COL(bench,"instance"), INDEX($Q:$Q, ROW()-$R4), COL(bench,"time"),"&lt;="&amp;W$1)-SUM($S4:V4)</f>
        <v>0</v>
      </c>
      <c r="X4" t="e" cm="1">
        <f t="array" ref="X4" xml:space="preserve"> _xlfn.LET(
  _xlpm.idx, _xlfn.XMATCH(1,
      (COL(summary,"model")=$R4)*(COL(summary,"instance")=INDEX($Q:$Q, ROW()-$R4))),
  IFERROR(INDEX(COL(summary,"objective"), _xlpm.idx), #N/A)
)</f>
        <v>#N/A</v>
      </c>
    </row>
    <row r="5" spans="1:24" x14ac:dyDescent="0.25">
      <c r="A5">
        <f ca="1">IF(_372845237[[#This Row],[instance]]&lt;OFFSET(_372845237[[#This Row],[instance]],-1,0), OFFSET(_372845237[[#This Row],[model]],-1,0)+1, OFFSET(_372845237[[#This Row],[model]],-1,0))</f>
        <v>1</v>
      </c>
      <c r="B5">
        <v>1</v>
      </c>
      <c r="C5" s="5">
        <v>5.6712962962962959E-6</v>
      </c>
      <c r="D5">
        <v>7.5</v>
      </c>
      <c r="E5">
        <v>3</v>
      </c>
      <c r="F5">
        <v>1</v>
      </c>
      <c r="G5" s="5">
        <v>2.0833333333333334E-6</v>
      </c>
      <c r="H5" s="5">
        <v>6.0469907407407408E-3</v>
      </c>
      <c r="I5" s="5">
        <v>3.2520833333333334E-3</v>
      </c>
      <c r="J5" s="5">
        <v>2.1990740740740739E-6</v>
      </c>
      <c r="L5">
        <v>1</v>
      </c>
      <c r="M5">
        <v>7</v>
      </c>
      <c r="N5">
        <v>10.5</v>
      </c>
      <c r="O5" t="b">
        <v>1</v>
      </c>
      <c r="P5" s="1"/>
      <c r="R5" s="2">
        <v>3</v>
      </c>
      <c r="S5" cm="1">
        <f t="array" aca="1" ref="S5" ca="1">_xlfn.MAXIFS(COL(bench,"wine"), COL(bench,"model"), $R5, COL(bench,"instance"), INDEX($Q:$Q, ROW()-$R5), COL(bench,"time"),"&lt;="&amp;S$1)</f>
        <v>10.125</v>
      </c>
      <c r="T5" cm="1">
        <f t="array" aca="1" ref="T5" ca="1">_xlfn.MAXIFS(COL(bench,"wine"), COL(bench,"model"), $R5, COL(bench,"instance"), INDEX($Q:$Q, ROW()-$R5), COL(bench,"time"),"&lt;="&amp;T$1)-SUM($S5:S5)</f>
        <v>0</v>
      </c>
      <c r="U5" cm="1">
        <f t="array" aca="1" ref="U5" ca="1">_xlfn.MAXIFS(COL(bench,"wine"), COL(bench,"model"), $R5, COL(bench,"instance"), INDEX($Q:$Q, ROW()-$R5), COL(bench,"time"),"&lt;="&amp;U$1)-SUM($S5:T5)</f>
        <v>0</v>
      </c>
      <c r="V5" cm="1">
        <f t="array" aca="1" ref="V5" ca="1">_xlfn.MAXIFS(COL(bench,"wine"), COL(bench,"model"), $R5, COL(bench,"instance"), INDEX($Q:$Q, ROW()-$R5), COL(bench,"time"),"&lt;="&amp;V$1)-SUM($S5:U5)</f>
        <v>0</v>
      </c>
      <c r="W5" cm="1">
        <f t="array" aca="1" ref="W5" ca="1">_xlfn.MAXIFS(COL(bench,"wine"), COL(bench,"model"), $R5, COL(bench,"instance"), INDEX($Q:$Q, ROW()-$R5), COL(bench,"time"),"&lt;="&amp;W$1)-SUM($S5:V5)</f>
        <v>0</v>
      </c>
      <c r="X5" t="e" cm="1">
        <f t="array" ref="X5" xml:space="preserve"> _xlfn.LET(
  _xlpm.idx, _xlfn.XMATCH(1,
      (COL(summary,"model")=$R5)*(COL(summary,"instance")=INDEX($Q:$Q, ROW()-$R5))),
  IFERROR(INDEX(COL(summary,"objective"), _xlpm.idx), #N/A)
)</f>
        <v>#N/A</v>
      </c>
    </row>
    <row r="6" spans="1:24" x14ac:dyDescent="0.25">
      <c r="A6">
        <f ca="1">IF(_372845237[[#This Row],[instance]]&lt;OFFSET(_372845237[[#This Row],[instance]],-1,0), OFFSET(_372845237[[#This Row],[model]],-1,0)+1, OFFSET(_372845237[[#This Row],[model]],-1,0))</f>
        <v>1</v>
      </c>
      <c r="B6">
        <v>1</v>
      </c>
      <c r="C6" s="5">
        <v>5.7870370370370367E-6</v>
      </c>
      <c r="D6">
        <v>8.25</v>
      </c>
      <c r="E6">
        <v>4</v>
      </c>
      <c r="F6">
        <v>1</v>
      </c>
      <c r="G6" s="5">
        <v>2.0833333333333334E-6</v>
      </c>
      <c r="H6" s="5">
        <v>6.0469907407407408E-3</v>
      </c>
      <c r="I6" s="5">
        <v>3.2520833333333334E-3</v>
      </c>
      <c r="J6" s="5">
        <v>2.1990740740740739E-6</v>
      </c>
      <c r="L6">
        <v>1</v>
      </c>
      <c r="M6">
        <v>8</v>
      </c>
      <c r="N6">
        <v>16.625</v>
      </c>
      <c r="O6" t="b">
        <v>1</v>
      </c>
      <c r="P6" s="1"/>
      <c r="R6" s="2">
        <v>4</v>
      </c>
      <c r="S6" cm="1">
        <f t="array" aca="1" ref="S6" ca="1">_xlfn.MAXIFS(COL(bench,"wine"), COL(bench,"model"), $R6, COL(bench,"instance"), INDEX($Q:$Q, ROW()-$R6), COL(bench,"time"),"&lt;="&amp;S$1)</f>
        <v>3</v>
      </c>
      <c r="T6" cm="1">
        <f t="array" aca="1" ref="T6" ca="1">_xlfn.MAXIFS(COL(bench,"wine"), COL(bench,"model"), $R6, COL(bench,"instance"), INDEX($Q:$Q, ROW()-$R6), COL(bench,"time"),"&lt;="&amp;T$1)-SUM($S6:S6)</f>
        <v>3.75</v>
      </c>
      <c r="U6" cm="1">
        <f t="array" aca="1" ref="U6" ca="1">_xlfn.MAXIFS(COL(bench,"wine"), COL(bench,"model"), $R6, COL(bench,"instance"), INDEX($Q:$Q, ROW()-$R6), COL(bench,"time"),"&lt;="&amp;U$1)-SUM($S6:T6)</f>
        <v>0</v>
      </c>
      <c r="V6" cm="1">
        <f t="array" aca="1" ref="V6" ca="1">_xlfn.MAXIFS(COL(bench,"wine"), COL(bench,"model"), $R6, COL(bench,"instance"), INDEX($Q:$Q, ROW()-$R6), COL(bench,"time"),"&lt;="&amp;V$1)-SUM($S6:U6)</f>
        <v>0.75</v>
      </c>
      <c r="W6" cm="1">
        <f t="array" aca="1" ref="W6" ca="1">_xlfn.MAXIFS(COL(bench,"wine"), COL(bench,"model"), $R6, COL(bench,"instance"), INDEX($Q:$Q, ROW()-$R6), COL(bench,"time"),"&lt;="&amp;W$1)-SUM($S6:V6)</f>
        <v>0.375</v>
      </c>
      <c r="X6" t="e" cm="1">
        <f t="array" ref="X6" xml:space="preserve"> _xlfn.LET(
  _xlpm.idx, _xlfn.XMATCH(1,
      (COL(summary,"model")=$R6)*(COL(summary,"instance")=INDEX($Q:$Q, ROW()-$R6))),
  IFERROR(INDEX(COL(summary,"objective"), _xlpm.idx), #N/A)
)</f>
        <v>#N/A</v>
      </c>
    </row>
    <row r="7" spans="1:24" x14ac:dyDescent="0.25">
      <c r="A7">
        <f ca="1">IF(_372845237[[#This Row],[instance]]&lt;OFFSET(_372845237[[#This Row],[instance]],-1,0), OFFSET(_372845237[[#This Row],[model]],-1,0)+1, OFFSET(_372845237[[#This Row],[model]],-1,0))</f>
        <v>1</v>
      </c>
      <c r="B7">
        <v>1</v>
      </c>
      <c r="C7" s="5">
        <v>5.7870370370370367E-6</v>
      </c>
      <c r="D7">
        <v>9</v>
      </c>
      <c r="E7">
        <v>4</v>
      </c>
      <c r="F7">
        <v>1</v>
      </c>
      <c r="G7" s="5">
        <v>2.0833333333333334E-6</v>
      </c>
      <c r="H7" s="5">
        <v>6.0469907407407408E-3</v>
      </c>
      <c r="I7" s="5">
        <v>3.2520833333333334E-3</v>
      </c>
      <c r="J7" s="5">
        <v>2.1990740740740739E-6</v>
      </c>
      <c r="L7">
        <v>1</v>
      </c>
      <c r="M7">
        <v>12</v>
      </c>
      <c r="N7">
        <v>6</v>
      </c>
      <c r="O7" t="b">
        <v>1</v>
      </c>
      <c r="P7" s="1"/>
    </row>
    <row r="8" spans="1:24" x14ac:dyDescent="0.25">
      <c r="A8">
        <f ca="1">IF(_372845237[[#This Row],[instance]]&lt;OFFSET(_372845237[[#This Row],[instance]],-1,0), OFFSET(_372845237[[#This Row],[model]],-1,0)+1, OFFSET(_372845237[[#This Row],[model]],-1,0))</f>
        <v>1</v>
      </c>
      <c r="B8">
        <v>1</v>
      </c>
      <c r="C8" s="5">
        <v>6.0185185185185185E-6</v>
      </c>
      <c r="D8">
        <v>9.75</v>
      </c>
      <c r="E8">
        <v>5</v>
      </c>
      <c r="F8">
        <v>2</v>
      </c>
      <c r="G8" s="5">
        <v>2.0833333333333334E-6</v>
      </c>
      <c r="H8" s="5">
        <v>6.0469907407407408E-3</v>
      </c>
      <c r="I8" s="5">
        <v>3.2520833333333334E-3</v>
      </c>
      <c r="J8" s="5">
        <v>2.1990740740740739E-6</v>
      </c>
      <c r="L8">
        <v>1</v>
      </c>
      <c r="M8">
        <v>13</v>
      </c>
      <c r="N8">
        <v>0</v>
      </c>
      <c r="O8" t="b">
        <v>1</v>
      </c>
      <c r="P8" s="1"/>
      <c r="Q8">
        <v>2</v>
      </c>
    </row>
    <row r="9" spans="1:24" x14ac:dyDescent="0.25">
      <c r="A9">
        <f ca="1">IF(_372845237[[#This Row],[instance]]&lt;OFFSET(_372845237[[#This Row],[instance]],-1,0), OFFSET(_372845237[[#This Row],[model]],-1,0)+1, OFFSET(_372845237[[#This Row],[model]],-1,0))</f>
        <v>1</v>
      </c>
      <c r="B9">
        <v>1</v>
      </c>
      <c r="C9" s="5">
        <v>6.2499999999999995E-6</v>
      </c>
      <c r="D9">
        <v>9.75</v>
      </c>
      <c r="E9">
        <v>5</v>
      </c>
      <c r="F9">
        <v>1</v>
      </c>
      <c r="G9" s="5">
        <v>2.0833333333333334E-6</v>
      </c>
      <c r="H9" s="5">
        <v>6.0469907407407408E-3</v>
      </c>
      <c r="I9" s="5">
        <v>3.2520833333333334E-3</v>
      </c>
      <c r="J9" s="5">
        <v>2.1990740740740739E-6</v>
      </c>
      <c r="L9">
        <v>1</v>
      </c>
      <c r="M9">
        <v>14</v>
      </c>
      <c r="N9">
        <v>0</v>
      </c>
      <c r="O9" t="b">
        <v>1</v>
      </c>
      <c r="P9" s="1"/>
      <c r="R9" s="2">
        <v>1</v>
      </c>
      <c r="S9" cm="1">
        <f t="array" aca="1" ref="S9" ca="1">_xlfn.MAXIFS(COL(bench,"wine"), COL(bench,"model"), $R9, COL(bench,"instance"), INDEX($Q:$Q, ROW()-$R9), COL(bench,"time"),"&lt;="&amp;S$1)</f>
        <v>9.625</v>
      </c>
      <c r="T9" cm="1">
        <f t="array" aca="1" ref="T9" ca="1">_xlfn.MAXIFS(COL(bench,"wine"), COL(bench,"model"), $R9, COL(bench,"instance"), INDEX($Q:$Q, ROW()-$R9), COL(bench,"time"),"&lt;="&amp;T$1)-SUM($S9:S9)</f>
        <v>0.375</v>
      </c>
      <c r="U9" cm="1">
        <f t="array" aca="1" ref="U9" ca="1">_xlfn.MAXIFS(COL(bench,"wine"), COL(bench,"model"), $R9, COL(bench,"instance"), INDEX($Q:$Q, ROW()-$R9), COL(bench,"time"),"&lt;="&amp;U$1)-SUM($S9:T9)</f>
        <v>0</v>
      </c>
      <c r="V9" cm="1">
        <f t="array" aca="1" ref="V9" ca="1">_xlfn.MAXIFS(COL(bench,"wine"), COL(bench,"model"), $R9, COL(bench,"instance"), INDEX($Q:$Q, ROW()-$R9), COL(bench,"time"),"&lt;="&amp;V$1)-SUM($S9:U9)</f>
        <v>0</v>
      </c>
      <c r="W9" cm="1">
        <f t="array" aca="1" ref="W9" ca="1">_xlfn.MAXIFS(COL(bench,"wine"), COL(bench,"model"), $R9, COL(bench,"instance"), INDEX($Q:$Q, ROW()-$R9), COL(bench,"time"),"&lt;="&amp;W$1)-SUM($S9:V9)</f>
        <v>0</v>
      </c>
      <c r="X9" t="e" cm="1">
        <f t="array" ref="X9" xml:space="preserve"> _xlfn.LET(
  _xlpm.idx, _xlfn.XMATCH(1,
      (COL(summary,"model")=$R9)*(COL(summary,"instance")=INDEX($Q:$Q, ROW()-$R9))),
  IFERROR(INDEX(COL(summary,"objective"), _xlpm.idx), #N/A)
)</f>
        <v>#N/A</v>
      </c>
    </row>
    <row r="10" spans="1:24" x14ac:dyDescent="0.25">
      <c r="A10">
        <f ca="1">IF(_372845237[[#This Row],[instance]]&lt;OFFSET(_372845237[[#This Row],[instance]],-1,0), OFFSET(_372845237[[#This Row],[model]],-1,0)+1, OFFSET(_372845237[[#This Row],[model]],-1,0))</f>
        <v>1</v>
      </c>
      <c r="B10">
        <v>1</v>
      </c>
      <c r="C10" s="5">
        <v>6.2499999999999995E-6</v>
      </c>
      <c r="D10">
        <v>10.125</v>
      </c>
      <c r="E10">
        <v>6</v>
      </c>
      <c r="F10">
        <v>2</v>
      </c>
      <c r="G10" s="5">
        <v>2.0833333333333334E-6</v>
      </c>
      <c r="H10" s="5">
        <v>6.0469907407407408E-3</v>
      </c>
      <c r="I10" s="5">
        <v>3.2520833333333334E-3</v>
      </c>
      <c r="J10" s="5">
        <v>2.1990740740740739E-6</v>
      </c>
      <c r="L10">
        <v>1</v>
      </c>
      <c r="M10">
        <v>15</v>
      </c>
      <c r="N10">
        <v>5.125</v>
      </c>
      <c r="O10" t="b">
        <v>1</v>
      </c>
      <c r="P10" s="1"/>
      <c r="R10" s="2">
        <v>2</v>
      </c>
      <c r="S10" cm="1">
        <f t="array" aca="1" ref="S10" ca="1">_xlfn.MAXIFS(COL(bench,"wine"), COL(bench,"model"), $R10, COL(bench,"instance"), INDEX($Q:$Q, ROW()-$R10), COL(bench,"time"),"&lt;="&amp;S$1)</f>
        <v>9.625</v>
      </c>
      <c r="T10" cm="1">
        <f t="array" aca="1" ref="T10" ca="1">_xlfn.MAXIFS(COL(bench,"wine"), COL(bench,"model"), $R10, COL(bench,"instance"), INDEX($Q:$Q, ROW()-$R10), COL(bench,"time"),"&lt;="&amp;T$1)-SUM($S10:S10)</f>
        <v>0</v>
      </c>
      <c r="U10" cm="1">
        <f t="array" aca="1" ref="U10" ca="1">_xlfn.MAXIFS(COL(bench,"wine"), COL(bench,"model"), $R10, COL(bench,"instance"), INDEX($Q:$Q, ROW()-$R10), COL(bench,"time"),"&lt;="&amp;U$1)-SUM($S10:T10)</f>
        <v>0</v>
      </c>
      <c r="V10" cm="1">
        <f t="array" aca="1" ref="V10" ca="1">_xlfn.MAXIFS(COL(bench,"wine"), COL(bench,"model"), $R10, COL(bench,"instance"), INDEX($Q:$Q, ROW()-$R10), COL(bench,"time"),"&lt;="&amp;V$1)-SUM($S10:U10)</f>
        <v>0</v>
      </c>
      <c r="W10" cm="1">
        <f t="array" aca="1" ref="W10" ca="1">_xlfn.MAXIFS(COL(bench,"wine"), COL(bench,"model"), $R10, COL(bench,"instance"), INDEX($Q:$Q, ROW()-$R10), COL(bench,"time"),"&lt;="&amp;W$1)-SUM($S10:V10)</f>
        <v>0</v>
      </c>
      <c r="X10" t="e" cm="1">
        <f t="array" ref="X10" xml:space="preserve"> _xlfn.LET(
  _xlpm.idx, _xlfn.XMATCH(1,
      (COL(summary,"model")=$R10)*(COL(summary,"instance")=INDEX($Q:$Q, ROW()-$R10))),
  IFERROR(INDEX(COL(summary,"objective"), _xlpm.idx), #N/A)
)</f>
        <v>#N/A</v>
      </c>
    </row>
    <row r="11" spans="1:24" x14ac:dyDescent="0.25">
      <c r="A11">
        <f ca="1">IF(_372845237[[#This Row],[instance]]&lt;OFFSET(_372845237[[#This Row],[instance]],-1,0), OFFSET(_372845237[[#This Row],[model]],-1,0)+1, OFFSET(_372845237[[#This Row],[model]],-1,0))</f>
        <v>1</v>
      </c>
      <c r="B11">
        <v>1</v>
      </c>
      <c r="C11" s="5">
        <v>7.1759259259259257E-6</v>
      </c>
      <c r="D11">
        <v>10.125</v>
      </c>
      <c r="E11">
        <v>6</v>
      </c>
      <c r="F11">
        <v>1</v>
      </c>
      <c r="G11" s="5">
        <v>2.0833333333333334E-6</v>
      </c>
      <c r="H11" s="5">
        <v>6.0469907407407408E-3</v>
      </c>
      <c r="I11" s="5">
        <v>3.2520833333333334E-3</v>
      </c>
      <c r="J11" s="5">
        <v>2.1990740740740739E-6</v>
      </c>
      <c r="L11">
        <v>2</v>
      </c>
      <c r="M11">
        <v>3</v>
      </c>
      <c r="N11">
        <v>4.625</v>
      </c>
      <c r="O11" t="b">
        <v>1</v>
      </c>
      <c r="P11" s="1"/>
      <c r="R11" s="2">
        <v>3</v>
      </c>
      <c r="S11" cm="1">
        <f t="array" aca="1" ref="S11" ca="1">_xlfn.MAXIFS(COL(bench,"wine"), COL(bench,"model"), $R11, COL(bench,"instance"), INDEX($Q:$Q, ROW()-$R11), COL(bench,"time"),"&lt;="&amp;S$1)</f>
        <v>0</v>
      </c>
      <c r="T11" cm="1">
        <f t="array" aca="1" ref="T11" ca="1">_xlfn.MAXIFS(COL(bench,"wine"), COL(bench,"model"), $R11, COL(bench,"instance"), INDEX($Q:$Q, ROW()-$R11), COL(bench,"time"),"&lt;="&amp;T$1)-SUM($S11:S11)</f>
        <v>0</v>
      </c>
      <c r="U11" cm="1">
        <f t="array" aca="1" ref="U11" ca="1">_xlfn.MAXIFS(COL(bench,"wine"), COL(bench,"model"), $R11, COL(bench,"instance"), INDEX($Q:$Q, ROW()-$R11), COL(bench,"time"),"&lt;="&amp;U$1)-SUM($S11:T11)</f>
        <v>0</v>
      </c>
      <c r="V11" cm="1">
        <f t="array" aca="1" ref="V11" ca="1">_xlfn.MAXIFS(COL(bench,"wine"), COL(bench,"model"), $R11, COL(bench,"instance"), INDEX($Q:$Q, ROW()-$R11), COL(bench,"time"),"&lt;="&amp;V$1)-SUM($S11:U11)</f>
        <v>0</v>
      </c>
      <c r="W11" cm="1">
        <f t="array" aca="1" ref="W11" ca="1">_xlfn.MAXIFS(COL(bench,"wine"), COL(bench,"model"), $R11, COL(bench,"instance"), INDEX($Q:$Q, ROW()-$R11), COL(bench,"time"),"&lt;="&amp;W$1)-SUM($S11:V11)</f>
        <v>0</v>
      </c>
      <c r="X11" t="e" cm="1">
        <f t="array" ref="X11" xml:space="preserve"> _xlfn.LET(
  _xlpm.idx, _xlfn.XMATCH(1,
      (COL(summary,"model")=$R11)*(COL(summary,"instance")=INDEX($Q:$Q, ROW()-$R11))),
  IFERROR(INDEX(COL(summary,"objective"), _xlpm.idx), #N/A)
)</f>
        <v>#N/A</v>
      </c>
    </row>
    <row r="12" spans="1:24" x14ac:dyDescent="0.25">
      <c r="A12">
        <f ca="1">IF(_372845237[[#This Row],[instance]]&lt;OFFSET(_372845237[[#This Row],[instance]],-1,0), OFFSET(_372845237[[#This Row],[model]],-1,0)+1, OFFSET(_372845237[[#This Row],[model]],-1,0))</f>
        <v>1</v>
      </c>
      <c r="B12">
        <v>1</v>
      </c>
      <c r="C12" s="5">
        <v>7.1759259259259257E-6</v>
      </c>
      <c r="D12">
        <v>10.875</v>
      </c>
      <c r="E12">
        <v>7</v>
      </c>
      <c r="F12">
        <v>2</v>
      </c>
      <c r="G12" s="5">
        <v>2.0833333333333334E-6</v>
      </c>
      <c r="H12" s="5">
        <v>6.0469907407407408E-3</v>
      </c>
      <c r="I12" s="5">
        <v>3.2520833333333334E-3</v>
      </c>
      <c r="J12" s="5">
        <v>2.1990740740740739E-6</v>
      </c>
      <c r="L12">
        <v>2</v>
      </c>
      <c r="M12">
        <v>4</v>
      </c>
      <c r="N12">
        <v>11</v>
      </c>
      <c r="O12" t="b">
        <v>1</v>
      </c>
      <c r="P12" s="1"/>
      <c r="R12" s="2">
        <v>4</v>
      </c>
      <c r="S12" cm="1">
        <f t="array" aca="1" ref="S12" ca="1">_xlfn.MAXIFS(COL(bench,"wine"), COL(bench,"model"), $R12, COL(bench,"instance"), INDEX($Q:$Q, ROW()-$R12), COL(bench,"time"),"&lt;="&amp;S$1)</f>
        <v>3.625</v>
      </c>
      <c r="T12" cm="1">
        <f t="array" aca="1" ref="T12" ca="1">_xlfn.MAXIFS(COL(bench,"wine"), COL(bench,"model"), $R12, COL(bench,"instance"), INDEX($Q:$Q, ROW()-$R12), COL(bench,"time"),"&lt;="&amp;T$1)-SUM($S12:S12)</f>
        <v>0</v>
      </c>
      <c r="U12" cm="1">
        <f t="array" aca="1" ref="U12" ca="1">_xlfn.MAXIFS(COL(bench,"wine"), COL(bench,"model"), $R12, COL(bench,"instance"), INDEX($Q:$Q, ROW()-$R12), COL(bench,"time"),"&lt;="&amp;U$1)-SUM($S12:T12)</f>
        <v>0</v>
      </c>
      <c r="V12" cm="1">
        <f t="array" aca="1" ref="V12" ca="1">_xlfn.MAXIFS(COL(bench,"wine"), COL(bench,"model"), $R12, COL(bench,"instance"), INDEX($Q:$Q, ROW()-$R12), COL(bench,"time"),"&lt;="&amp;V$1)-SUM($S12:U12)</f>
        <v>0</v>
      </c>
      <c r="W12" cm="1">
        <f t="array" aca="1" ref="W12" ca="1">_xlfn.MAXIFS(COL(bench,"wine"), COL(bench,"model"), $R12, COL(bench,"instance"), INDEX($Q:$Q, ROW()-$R12), COL(bench,"time"),"&lt;="&amp;W$1)-SUM($S12:V12)</f>
        <v>0</v>
      </c>
      <c r="X12" t="e" cm="1">
        <f t="array" ref="X12" xml:space="preserve"> _xlfn.LET(
  _xlpm.idx, _xlfn.XMATCH(1,
      (COL(summary,"model")=$R12)*(COL(summary,"instance")=INDEX($Q:$Q, ROW()-$R12))),
  IFERROR(INDEX(COL(summary,"objective"), _xlpm.idx), #N/A)
)</f>
        <v>#N/A</v>
      </c>
    </row>
    <row r="13" spans="1:24" x14ac:dyDescent="0.25">
      <c r="A13">
        <f ca="1">IF(_372845237[[#This Row],[instance]]&lt;OFFSET(_372845237[[#This Row],[instance]],-1,0), OFFSET(_372845237[[#This Row],[model]],-1,0)+1, OFFSET(_372845237[[#This Row],[model]],-1,0))</f>
        <v>1</v>
      </c>
      <c r="B13">
        <v>1</v>
      </c>
      <c r="C13" s="5">
        <v>8.1828703703703696E-5</v>
      </c>
      <c r="D13">
        <v>11.25</v>
      </c>
      <c r="E13">
        <v>8</v>
      </c>
      <c r="F13">
        <v>2</v>
      </c>
      <c r="G13" s="5">
        <v>2.0833333333333334E-6</v>
      </c>
      <c r="H13" s="5">
        <v>6.0469907407407408E-3</v>
      </c>
      <c r="I13" s="5">
        <v>3.2520833333333334E-3</v>
      </c>
      <c r="J13" s="5">
        <v>2.1990740740740739E-6</v>
      </c>
      <c r="L13">
        <v>2</v>
      </c>
      <c r="M13">
        <v>5</v>
      </c>
      <c r="N13">
        <v>2.625</v>
      </c>
      <c r="O13" t="b">
        <v>1</v>
      </c>
      <c r="P13" s="1"/>
    </row>
    <row r="14" spans="1:24" x14ac:dyDescent="0.25">
      <c r="A14">
        <f ca="1">IF(_372845237[[#This Row],[instance]]&lt;OFFSET(_372845237[[#This Row],[instance]],-1,0), OFFSET(_372845237[[#This Row],[model]],-1,0)+1, OFFSET(_372845237[[#This Row],[model]],-1,0))</f>
        <v>1</v>
      </c>
      <c r="B14">
        <v>1</v>
      </c>
      <c r="C14" s="5">
        <v>8.263888888888889E-5</v>
      </c>
      <c r="D14">
        <v>11.625</v>
      </c>
      <c r="E14">
        <v>9</v>
      </c>
      <c r="F14">
        <v>2</v>
      </c>
      <c r="G14" s="5">
        <v>2.0833333333333334E-6</v>
      </c>
      <c r="H14" s="5">
        <v>6.0469907407407408E-3</v>
      </c>
      <c r="I14" s="5">
        <v>3.2520833333333334E-3</v>
      </c>
      <c r="J14" s="5">
        <v>2.1990740740740739E-6</v>
      </c>
      <c r="L14">
        <v>2</v>
      </c>
      <c r="M14">
        <v>6</v>
      </c>
      <c r="N14">
        <v>13.75</v>
      </c>
      <c r="O14" t="b">
        <v>1</v>
      </c>
      <c r="P14" s="1"/>
      <c r="Q14">
        <v>3</v>
      </c>
    </row>
    <row r="15" spans="1:24" x14ac:dyDescent="0.25">
      <c r="A15">
        <f ca="1">IF(_372845237[[#This Row],[instance]]&lt;OFFSET(_372845237[[#This Row],[instance]],-1,0), OFFSET(_372845237[[#This Row],[model]],-1,0)+1, OFFSET(_372845237[[#This Row],[model]],-1,0))</f>
        <v>1</v>
      </c>
      <c r="B15">
        <v>1</v>
      </c>
      <c r="C15" s="5">
        <v>5.7704861111111108E-3</v>
      </c>
      <c r="D15">
        <v>12</v>
      </c>
      <c r="E15">
        <v>10</v>
      </c>
      <c r="F15">
        <v>2</v>
      </c>
      <c r="G15" s="5">
        <v>2.0833333333333334E-6</v>
      </c>
      <c r="H15" s="5">
        <v>6.0469907407407408E-3</v>
      </c>
      <c r="I15" s="5">
        <v>3.2520833333333334E-3</v>
      </c>
      <c r="J15" s="5">
        <v>2.1990740740740739E-6</v>
      </c>
      <c r="L15">
        <v>2</v>
      </c>
      <c r="M15">
        <v>7</v>
      </c>
      <c r="N15">
        <v>10.5</v>
      </c>
      <c r="O15" t="b">
        <v>1</v>
      </c>
      <c r="P15" s="1"/>
      <c r="R15" s="2">
        <v>1</v>
      </c>
      <c r="S15" cm="1">
        <f t="array" aca="1" ref="S15" ca="1">_xlfn.MAXIFS(COL(bench,"wine"), COL(bench,"model"), $R15, COL(bench,"instance"), INDEX($Q:$Q, ROW()-$R15), COL(bench,"time"),"&lt;="&amp;S$1)</f>
        <v>4.625</v>
      </c>
      <c r="T15" cm="1">
        <f t="array" aca="1" ref="T15" ca="1">_xlfn.MAXIFS(COL(bench,"wine"), COL(bench,"model"), $R15, COL(bench,"instance"), INDEX($Q:$Q, ROW()-$R15), COL(bench,"time"),"&lt;="&amp;T$1)-SUM($S15:S15)</f>
        <v>0</v>
      </c>
      <c r="U15" cm="1">
        <f t="array" aca="1" ref="U15" ca="1">_xlfn.MAXIFS(COL(bench,"wine"), COL(bench,"model"), $R15, COL(bench,"instance"), INDEX($Q:$Q, ROW()-$R15), COL(bench,"time"),"&lt;="&amp;U$1)-SUM($S15:T15)</f>
        <v>0</v>
      </c>
      <c r="V15" cm="1">
        <f t="array" aca="1" ref="V15" ca="1">_xlfn.MAXIFS(COL(bench,"wine"), COL(bench,"model"), $R15, COL(bench,"instance"), INDEX($Q:$Q, ROW()-$R15), COL(bench,"time"),"&lt;="&amp;V$1)-SUM($S15:U15)</f>
        <v>0</v>
      </c>
      <c r="W15" cm="1">
        <f t="array" aca="1" ref="W15" ca="1">_xlfn.MAXIFS(COL(bench,"wine"), COL(bench,"model"), $R15, COL(bench,"instance"), INDEX($Q:$Q, ROW()-$R15), COL(bench,"time"),"&lt;="&amp;W$1)-SUM($S15:V15)</f>
        <v>0</v>
      </c>
      <c r="X15" cm="1">
        <f t="array" ref="X15" xml:space="preserve"> _xlfn.LET(
  _xlpm.idx, _xlfn.XMATCH(1,
      (COL(summary,"model")=$R15)*(COL(summary,"instance")=INDEX($Q:$Q, ROW()-$R15))),
  IFERROR(INDEX(COL(summary,"objective"), _xlpm.idx), #N/A)
)</f>
        <v>4.625</v>
      </c>
    </row>
    <row r="16" spans="1:24" x14ac:dyDescent="0.25">
      <c r="A16">
        <f ca="1">IF(_372845237[[#This Row],[instance]]&lt;OFFSET(_372845237[[#This Row],[instance]],-1,0), OFFSET(_372845237[[#This Row],[model]],-1,0)+1, OFFSET(_372845237[[#This Row],[model]],-1,0))</f>
        <v>1</v>
      </c>
      <c r="B16">
        <v>2</v>
      </c>
      <c r="C16" s="5">
        <v>5.4398148148148149E-6</v>
      </c>
      <c r="D16">
        <v>0</v>
      </c>
      <c r="E16">
        <v>0</v>
      </c>
      <c r="F16">
        <v>0</v>
      </c>
      <c r="G16" s="5">
        <v>2.0833333333333334E-6</v>
      </c>
      <c r="H16" s="5">
        <v>6.9445601851851847E-3</v>
      </c>
      <c r="I16" s="5">
        <v>3.2520833333333334E-3</v>
      </c>
      <c r="J16" s="5">
        <v>2.1990740740740739E-6</v>
      </c>
      <c r="L16">
        <v>2</v>
      </c>
      <c r="M16">
        <v>8</v>
      </c>
      <c r="N16">
        <v>16.625</v>
      </c>
      <c r="O16" t="b">
        <v>1</v>
      </c>
      <c r="P16" s="1"/>
      <c r="R16" s="2">
        <v>2</v>
      </c>
      <c r="S16" cm="1">
        <f t="array" aca="1" ref="S16" ca="1">_xlfn.MAXIFS(COL(bench,"wine"), COL(bench,"model"), $R16, COL(bench,"instance"), INDEX($Q:$Q, ROW()-$R16), COL(bench,"time"),"&lt;="&amp;S$1)</f>
        <v>4.625</v>
      </c>
      <c r="T16" cm="1">
        <f t="array" aca="1" ref="T16" ca="1">_xlfn.MAXIFS(COL(bench,"wine"), COL(bench,"model"), $R16, COL(bench,"instance"), INDEX($Q:$Q, ROW()-$R16), COL(bench,"time"),"&lt;="&amp;T$1)-SUM($S16:S16)</f>
        <v>0</v>
      </c>
      <c r="U16" cm="1">
        <f t="array" aca="1" ref="U16" ca="1">_xlfn.MAXIFS(COL(bench,"wine"), COL(bench,"model"), $R16, COL(bench,"instance"), INDEX($Q:$Q, ROW()-$R16), COL(bench,"time"),"&lt;="&amp;U$1)-SUM($S16:T16)</f>
        <v>0</v>
      </c>
      <c r="V16" cm="1">
        <f t="array" aca="1" ref="V16" ca="1">_xlfn.MAXIFS(COL(bench,"wine"), COL(bench,"model"), $R16, COL(bench,"instance"), INDEX($Q:$Q, ROW()-$R16), COL(bench,"time"),"&lt;="&amp;V$1)-SUM($S16:U16)</f>
        <v>0</v>
      </c>
      <c r="W16" cm="1">
        <f t="array" aca="1" ref="W16" ca="1">_xlfn.MAXIFS(COL(bench,"wine"), COL(bench,"model"), $R16, COL(bench,"instance"), INDEX($Q:$Q, ROW()-$R16), COL(bench,"time"),"&lt;="&amp;W$1)-SUM($S16:V16)</f>
        <v>0</v>
      </c>
      <c r="X16" cm="1">
        <f t="array" ref="X16" xml:space="preserve"> _xlfn.LET(
  _xlpm.idx, _xlfn.XMATCH(1,
      (COL(summary,"model")=$R16)*(COL(summary,"instance")=INDEX($Q:$Q, ROW()-$R16))),
  IFERROR(INDEX(COL(summary,"objective"), _xlpm.idx), #N/A)
)</f>
        <v>4.625</v>
      </c>
    </row>
    <row r="17" spans="1:24" x14ac:dyDescent="0.25">
      <c r="A17">
        <f ca="1">IF(_372845237[[#This Row],[instance]]&lt;OFFSET(_372845237[[#This Row],[instance]],-1,0), OFFSET(_372845237[[#This Row],[model]],-1,0)+1, OFFSET(_372845237[[#This Row],[model]],-1,0))</f>
        <v>1</v>
      </c>
      <c r="B17">
        <v>2</v>
      </c>
      <c r="C17" s="5">
        <v>5.4398148148148149E-6</v>
      </c>
      <c r="D17">
        <v>1.5</v>
      </c>
      <c r="E17">
        <v>1</v>
      </c>
      <c r="F17">
        <v>1</v>
      </c>
      <c r="G17" s="5">
        <v>2.0833333333333334E-6</v>
      </c>
      <c r="H17" s="5">
        <v>6.9445601851851847E-3</v>
      </c>
      <c r="I17" s="5">
        <v>3.2520833333333334E-3</v>
      </c>
      <c r="J17" s="5">
        <v>2.1990740740740739E-6</v>
      </c>
      <c r="L17">
        <v>2</v>
      </c>
      <c r="M17">
        <v>12</v>
      </c>
      <c r="N17">
        <v>6</v>
      </c>
      <c r="O17" t="b">
        <v>1</v>
      </c>
      <c r="P17" s="1"/>
      <c r="R17" s="2">
        <v>3</v>
      </c>
      <c r="S17" cm="1">
        <f t="array" aca="1" ref="S17" ca="1">_xlfn.MAXIFS(COL(bench,"wine"), COL(bench,"model"), $R17, COL(bench,"instance"), INDEX($Q:$Q, ROW()-$R17), COL(bench,"time"),"&lt;="&amp;S$1)</f>
        <v>4.625</v>
      </c>
      <c r="T17" cm="1">
        <f t="array" aca="1" ref="T17" ca="1">_xlfn.MAXIFS(COL(bench,"wine"), COL(bench,"model"), $R17, COL(bench,"instance"), INDEX($Q:$Q, ROW()-$R17), COL(bench,"time"),"&lt;="&amp;T$1)-SUM($S17:S17)</f>
        <v>0</v>
      </c>
      <c r="U17" cm="1">
        <f t="array" aca="1" ref="U17" ca="1">_xlfn.MAXIFS(COL(bench,"wine"), COL(bench,"model"), $R17, COL(bench,"instance"), INDEX($Q:$Q, ROW()-$R17), COL(bench,"time"),"&lt;="&amp;U$1)-SUM($S17:T17)</f>
        <v>0</v>
      </c>
      <c r="V17" cm="1">
        <f t="array" aca="1" ref="V17" ca="1">_xlfn.MAXIFS(COL(bench,"wine"), COL(bench,"model"), $R17, COL(bench,"instance"), INDEX($Q:$Q, ROW()-$R17), COL(bench,"time"),"&lt;="&amp;V$1)-SUM($S17:U17)</f>
        <v>0</v>
      </c>
      <c r="W17" cm="1">
        <f t="array" aca="1" ref="W17" ca="1">_xlfn.MAXIFS(COL(bench,"wine"), COL(bench,"model"), $R17, COL(bench,"instance"), INDEX($Q:$Q, ROW()-$R17), COL(bench,"time"),"&lt;="&amp;W$1)-SUM($S17:V17)</f>
        <v>0</v>
      </c>
      <c r="X17" cm="1">
        <f t="array" ref="X17" xml:space="preserve"> _xlfn.LET(
  _xlpm.idx, _xlfn.XMATCH(1,
      (COL(summary,"model")=$R17)*(COL(summary,"instance")=INDEX($Q:$Q, ROW()-$R17))),
  IFERROR(INDEX(COL(summary,"objective"), _xlpm.idx), #N/A)
)</f>
        <v>4.625</v>
      </c>
    </row>
    <row r="18" spans="1:24" x14ac:dyDescent="0.25">
      <c r="A18">
        <f ca="1">IF(_372845237[[#This Row],[instance]]&lt;OFFSET(_372845237[[#This Row],[instance]],-1,0), OFFSET(_372845237[[#This Row],[model]],-1,0)+1, OFFSET(_372845237[[#This Row],[model]],-1,0))</f>
        <v>1</v>
      </c>
      <c r="B18">
        <v>2</v>
      </c>
      <c r="C18" s="5">
        <v>5.4398148148148149E-6</v>
      </c>
      <c r="D18">
        <v>3</v>
      </c>
      <c r="E18">
        <v>2</v>
      </c>
      <c r="F18">
        <v>1</v>
      </c>
      <c r="G18" s="5">
        <v>2.0833333333333334E-6</v>
      </c>
      <c r="H18" s="5">
        <v>6.9445601851851847E-3</v>
      </c>
      <c r="I18" s="5">
        <v>3.2520833333333334E-3</v>
      </c>
      <c r="J18" s="5">
        <v>2.1990740740740739E-6</v>
      </c>
      <c r="L18">
        <v>2</v>
      </c>
      <c r="M18">
        <v>13</v>
      </c>
      <c r="N18">
        <v>0</v>
      </c>
      <c r="O18" t="b">
        <v>1</v>
      </c>
      <c r="P18" s="1"/>
      <c r="R18" s="2">
        <v>4</v>
      </c>
      <c r="S18" cm="1">
        <f t="array" aca="1" ref="S18" ca="1">_xlfn.MAXIFS(COL(bench,"wine"), COL(bench,"model"), $R18, COL(bench,"instance"), INDEX($Q:$Q, ROW()-$R18), COL(bench,"time"),"&lt;="&amp;S$1)</f>
        <v>4.625</v>
      </c>
      <c r="T18" cm="1">
        <f t="array" aca="1" ref="T18" ca="1">_xlfn.MAXIFS(COL(bench,"wine"), COL(bench,"model"), $R18, COL(bench,"instance"), INDEX($Q:$Q, ROW()-$R18), COL(bench,"time"),"&lt;="&amp;T$1)-SUM($S18:S18)</f>
        <v>0</v>
      </c>
      <c r="U18" cm="1">
        <f t="array" aca="1" ref="U18" ca="1">_xlfn.MAXIFS(COL(bench,"wine"), COL(bench,"model"), $R18, COL(bench,"instance"), INDEX($Q:$Q, ROW()-$R18), COL(bench,"time"),"&lt;="&amp;U$1)-SUM($S18:T18)</f>
        <v>0</v>
      </c>
      <c r="V18" cm="1">
        <f t="array" aca="1" ref="V18" ca="1">_xlfn.MAXIFS(COL(bench,"wine"), COL(bench,"model"), $R18, COL(bench,"instance"), INDEX($Q:$Q, ROW()-$R18), COL(bench,"time"),"&lt;="&amp;V$1)-SUM($S18:U18)</f>
        <v>0</v>
      </c>
      <c r="W18" cm="1">
        <f t="array" aca="1" ref="W18" ca="1">_xlfn.MAXIFS(COL(bench,"wine"), COL(bench,"model"), $R18, COL(bench,"instance"), INDEX($Q:$Q, ROW()-$R18), COL(bench,"time"),"&lt;="&amp;W$1)-SUM($S18:V18)</f>
        <v>0</v>
      </c>
      <c r="X18" cm="1">
        <f t="array" ref="X18" xml:space="preserve"> _xlfn.LET(
  _xlpm.idx, _xlfn.XMATCH(1,
      (COL(summary,"model")=$R18)*(COL(summary,"instance")=INDEX($Q:$Q, ROW()-$R18))),
  IFERROR(INDEX(COL(summary,"objective"), _xlpm.idx), #N/A)
)</f>
        <v>4.625</v>
      </c>
    </row>
    <row r="19" spans="1:24" x14ac:dyDescent="0.25">
      <c r="A19">
        <f ca="1">IF(_372845237[[#This Row],[instance]]&lt;OFFSET(_372845237[[#This Row],[instance]],-1,0), OFFSET(_372845237[[#This Row],[model]],-1,0)+1, OFFSET(_372845237[[#This Row],[model]],-1,0))</f>
        <v>1</v>
      </c>
      <c r="B19">
        <v>2</v>
      </c>
      <c r="C19" s="5">
        <v>5.4398148148148149E-6</v>
      </c>
      <c r="D19">
        <v>4.5</v>
      </c>
      <c r="E19">
        <v>3</v>
      </c>
      <c r="F19">
        <v>2</v>
      </c>
      <c r="G19" s="5">
        <v>2.0833333333333334E-6</v>
      </c>
      <c r="H19" s="5">
        <v>6.9445601851851847E-3</v>
      </c>
      <c r="I19" s="5">
        <v>3.2520833333333334E-3</v>
      </c>
      <c r="J19" s="5">
        <v>2.1990740740740739E-6</v>
      </c>
      <c r="L19">
        <v>2</v>
      </c>
      <c r="M19">
        <v>14</v>
      </c>
      <c r="N19">
        <v>0</v>
      </c>
      <c r="O19" t="b">
        <v>1</v>
      </c>
      <c r="P19" s="1"/>
    </row>
    <row r="20" spans="1:24" x14ac:dyDescent="0.25">
      <c r="A20">
        <f ca="1">IF(_372845237[[#This Row],[instance]]&lt;OFFSET(_372845237[[#This Row],[instance]],-1,0), OFFSET(_372845237[[#This Row],[model]],-1,0)+1, OFFSET(_372845237[[#This Row],[model]],-1,0))</f>
        <v>1</v>
      </c>
      <c r="B20">
        <v>2</v>
      </c>
      <c r="C20" s="5">
        <v>6.712962962962963E-6</v>
      </c>
      <c r="D20">
        <v>6</v>
      </c>
      <c r="E20">
        <v>4</v>
      </c>
      <c r="F20">
        <v>2</v>
      </c>
      <c r="G20" s="5">
        <v>2.0833333333333334E-6</v>
      </c>
      <c r="H20" s="5">
        <v>6.9445601851851847E-3</v>
      </c>
      <c r="I20" s="5">
        <v>3.2520833333333334E-3</v>
      </c>
      <c r="J20" s="5">
        <v>2.1990740740740739E-6</v>
      </c>
      <c r="L20">
        <v>2</v>
      </c>
      <c r="M20">
        <v>15</v>
      </c>
      <c r="N20">
        <v>5.125</v>
      </c>
      <c r="O20" t="b">
        <v>1</v>
      </c>
      <c r="P20" s="1"/>
      <c r="Q20">
        <v>4</v>
      </c>
    </row>
    <row r="21" spans="1:24" x14ac:dyDescent="0.25">
      <c r="A21">
        <f ca="1">IF(_372845237[[#This Row],[instance]]&lt;OFFSET(_372845237[[#This Row],[instance]],-1,0), OFFSET(_372845237[[#This Row],[model]],-1,0)+1, OFFSET(_372845237[[#This Row],[model]],-1,0))</f>
        <v>1</v>
      </c>
      <c r="B21">
        <v>2</v>
      </c>
      <c r="C21" s="5">
        <v>6.828703703703703E-6</v>
      </c>
      <c r="D21">
        <v>7</v>
      </c>
      <c r="E21">
        <v>5</v>
      </c>
      <c r="F21">
        <v>1</v>
      </c>
      <c r="G21" s="5">
        <v>2.0833333333333334E-6</v>
      </c>
      <c r="H21" s="5">
        <v>6.9445601851851847E-3</v>
      </c>
      <c r="I21" s="5">
        <v>3.2520833333333334E-3</v>
      </c>
      <c r="J21" s="5">
        <v>2.1990740740740739E-6</v>
      </c>
      <c r="L21">
        <v>3</v>
      </c>
      <c r="M21">
        <v>3</v>
      </c>
      <c r="N21">
        <v>4.625</v>
      </c>
      <c r="O21" t="b">
        <v>1</v>
      </c>
      <c r="P21" s="1"/>
      <c r="R21" s="2">
        <v>1</v>
      </c>
      <c r="S21" cm="1">
        <f t="array" aca="1" ref="S21" ca="1">_xlfn.MAXIFS(COL(bench,"wine"), COL(bench,"model"), $R21, COL(bench,"instance"), INDEX($Q:$Q, ROW()-$R21), COL(bench,"time"),"&lt;="&amp;S$1)</f>
        <v>11</v>
      </c>
      <c r="T21" cm="1">
        <f t="array" aca="1" ref="T21" ca="1">_xlfn.MAXIFS(COL(bench,"wine"), COL(bench,"model"), $R21, COL(bench,"instance"), INDEX($Q:$Q, ROW()-$R21), COL(bench,"time"),"&lt;="&amp;T$1)-SUM($S21:S21)</f>
        <v>0</v>
      </c>
      <c r="U21" cm="1">
        <f t="array" aca="1" ref="U21" ca="1">_xlfn.MAXIFS(COL(bench,"wine"), COL(bench,"model"), $R21, COL(bench,"instance"), INDEX($Q:$Q, ROW()-$R21), COL(bench,"time"),"&lt;="&amp;U$1)-SUM($S21:T21)</f>
        <v>0</v>
      </c>
      <c r="V21" cm="1">
        <f t="array" aca="1" ref="V21" ca="1">_xlfn.MAXIFS(COL(bench,"wine"), COL(bench,"model"), $R21, COL(bench,"instance"), INDEX($Q:$Q, ROW()-$R21), COL(bench,"time"),"&lt;="&amp;V$1)-SUM($S21:U21)</f>
        <v>0</v>
      </c>
      <c r="W21" cm="1">
        <f t="array" aca="1" ref="W21" ca="1">_xlfn.MAXIFS(COL(bench,"wine"), COL(bench,"model"), $R21, COL(bench,"instance"), INDEX($Q:$Q, ROW()-$R21), COL(bench,"time"),"&lt;="&amp;W$1)-SUM($S21:V21)</f>
        <v>0</v>
      </c>
      <c r="X21" cm="1">
        <f t="array" ref="X21" xml:space="preserve"> _xlfn.LET(
  _xlpm.idx, _xlfn.XMATCH(1,
      (COL(summary,"model")=$R21)*(COL(summary,"instance")=INDEX($Q:$Q, ROW()-$R21))),
  IFERROR(INDEX(COL(summary,"objective"), _xlpm.idx), #N/A)
)</f>
        <v>11</v>
      </c>
    </row>
    <row r="22" spans="1:24" x14ac:dyDescent="0.25">
      <c r="A22">
        <f ca="1">IF(_372845237[[#This Row],[instance]]&lt;OFFSET(_372845237[[#This Row],[instance]],-1,0), OFFSET(_372845237[[#This Row],[model]],-1,0)+1, OFFSET(_372845237[[#This Row],[model]],-1,0))</f>
        <v>1</v>
      </c>
      <c r="B22">
        <v>2</v>
      </c>
      <c r="C22" s="5">
        <v>6.828703703703703E-6</v>
      </c>
      <c r="D22">
        <v>7.75</v>
      </c>
      <c r="E22">
        <v>6</v>
      </c>
      <c r="F22">
        <v>1</v>
      </c>
      <c r="G22" s="5">
        <v>2.0833333333333334E-6</v>
      </c>
      <c r="H22" s="5">
        <v>6.9445601851851847E-3</v>
      </c>
      <c r="I22" s="5">
        <v>3.2520833333333334E-3</v>
      </c>
      <c r="J22" s="5">
        <v>2.1990740740740739E-6</v>
      </c>
      <c r="L22">
        <v>3</v>
      </c>
      <c r="M22">
        <v>13</v>
      </c>
      <c r="N22">
        <v>0</v>
      </c>
      <c r="O22" t="b">
        <v>1</v>
      </c>
      <c r="P22" s="1"/>
      <c r="R22" s="2">
        <v>2</v>
      </c>
      <c r="S22" cm="1">
        <f t="array" aca="1" ref="S22" ca="1">_xlfn.MAXIFS(COL(bench,"wine"), COL(bench,"model"), $R22, COL(bench,"instance"), INDEX($Q:$Q, ROW()-$R22), COL(bench,"time"),"&lt;="&amp;S$1)</f>
        <v>6</v>
      </c>
      <c r="T22" cm="1">
        <f t="array" aca="1" ref="T22" ca="1">_xlfn.MAXIFS(COL(bench,"wine"), COL(bench,"model"), $R22, COL(bench,"instance"), INDEX($Q:$Q, ROW()-$R22), COL(bench,"time"),"&lt;="&amp;T$1)-SUM($S22:S22)</f>
        <v>0</v>
      </c>
      <c r="U22" cm="1">
        <f t="array" aca="1" ref="U22" ca="1">_xlfn.MAXIFS(COL(bench,"wine"), COL(bench,"model"), $R22, COL(bench,"instance"), INDEX($Q:$Q, ROW()-$R22), COL(bench,"time"),"&lt;="&amp;U$1)-SUM($S22:T22)</f>
        <v>5</v>
      </c>
      <c r="V22" cm="1">
        <f t="array" aca="1" ref="V22" ca="1">_xlfn.MAXIFS(COL(bench,"wine"), COL(bench,"model"), $R22, COL(bench,"instance"), INDEX($Q:$Q, ROW()-$R22), COL(bench,"time"),"&lt;="&amp;V$1)-SUM($S22:U22)</f>
        <v>0</v>
      </c>
      <c r="W22" cm="1">
        <f t="array" aca="1" ref="W22" ca="1">_xlfn.MAXIFS(COL(bench,"wine"), COL(bench,"model"), $R22, COL(bench,"instance"), INDEX($Q:$Q, ROW()-$R22), COL(bench,"time"),"&lt;="&amp;W$1)-SUM($S22:V22)</f>
        <v>0</v>
      </c>
      <c r="X22" cm="1">
        <f t="array" ref="X22" xml:space="preserve"> _xlfn.LET(
  _xlpm.idx, _xlfn.XMATCH(1,
      (COL(summary,"model")=$R22)*(COL(summary,"instance")=INDEX($Q:$Q, ROW()-$R22))),
  IFERROR(INDEX(COL(summary,"objective"), _xlpm.idx), #N/A)
)</f>
        <v>11</v>
      </c>
    </row>
    <row r="23" spans="1:24" x14ac:dyDescent="0.25">
      <c r="A23">
        <f ca="1">IF(_372845237[[#This Row],[instance]]&lt;OFFSET(_372845237[[#This Row],[instance]],-1,0), OFFSET(_372845237[[#This Row],[model]],-1,0)+1, OFFSET(_372845237[[#This Row],[model]],-1,0))</f>
        <v>1</v>
      </c>
      <c r="B23">
        <v>2</v>
      </c>
      <c r="C23" s="5">
        <v>6.828703703703703E-6</v>
      </c>
      <c r="D23">
        <v>8.5</v>
      </c>
      <c r="E23">
        <v>7</v>
      </c>
      <c r="F23">
        <v>1</v>
      </c>
      <c r="G23" s="5">
        <v>2.0833333333333334E-6</v>
      </c>
      <c r="H23" s="5">
        <v>6.9445601851851847E-3</v>
      </c>
      <c r="I23" s="5">
        <v>3.2520833333333334E-3</v>
      </c>
      <c r="J23" s="5">
        <v>2.1990740740740739E-6</v>
      </c>
      <c r="L23">
        <v>3</v>
      </c>
      <c r="M23">
        <v>14</v>
      </c>
      <c r="N23">
        <v>0</v>
      </c>
      <c r="O23" t="b">
        <v>1</v>
      </c>
      <c r="P23" s="1"/>
      <c r="R23" s="2">
        <v>3</v>
      </c>
      <c r="S23" cm="1">
        <f t="array" aca="1" ref="S23" ca="1">_xlfn.MAXIFS(COL(bench,"wine"), COL(bench,"model"), $R23, COL(bench,"instance"), INDEX($Q:$Q, ROW()-$R23), COL(bench,"time"),"&lt;="&amp;S$1)</f>
        <v>11</v>
      </c>
      <c r="T23" cm="1">
        <f t="array" aca="1" ref="T23" ca="1">_xlfn.MAXIFS(COL(bench,"wine"), COL(bench,"model"), $R23, COL(bench,"instance"), INDEX($Q:$Q, ROW()-$R23), COL(bench,"time"),"&lt;="&amp;T$1)-SUM($S23:S23)</f>
        <v>0</v>
      </c>
      <c r="U23" cm="1">
        <f t="array" aca="1" ref="U23" ca="1">_xlfn.MAXIFS(COL(bench,"wine"), COL(bench,"model"), $R23, COL(bench,"instance"), INDEX($Q:$Q, ROW()-$R23), COL(bench,"time"),"&lt;="&amp;U$1)-SUM($S23:T23)</f>
        <v>0</v>
      </c>
      <c r="V23" cm="1">
        <f t="array" aca="1" ref="V23" ca="1">_xlfn.MAXIFS(COL(bench,"wine"), COL(bench,"model"), $R23, COL(bench,"instance"), INDEX($Q:$Q, ROW()-$R23), COL(bench,"time"),"&lt;="&amp;V$1)-SUM($S23:U23)</f>
        <v>0</v>
      </c>
      <c r="W23" cm="1">
        <f t="array" aca="1" ref="W23" ca="1">_xlfn.MAXIFS(COL(bench,"wine"), COL(bench,"model"), $R23, COL(bench,"instance"), INDEX($Q:$Q, ROW()-$R23), COL(bench,"time"),"&lt;="&amp;W$1)-SUM($S23:V23)</f>
        <v>0</v>
      </c>
      <c r="X23" t="e" cm="1">
        <f t="array" ref="X23" xml:space="preserve"> _xlfn.LET(
  _xlpm.idx, _xlfn.XMATCH(1,
      (COL(summary,"model")=$R23)*(COL(summary,"instance")=INDEX($Q:$Q, ROW()-$R23))),
  IFERROR(INDEX(COL(summary,"objective"), _xlpm.idx), #N/A)
)</f>
        <v>#N/A</v>
      </c>
    </row>
    <row r="24" spans="1:24" x14ac:dyDescent="0.25">
      <c r="A24">
        <f ca="1">IF(_372845237[[#This Row],[instance]]&lt;OFFSET(_372845237[[#This Row],[instance]],-1,0), OFFSET(_372845237[[#This Row],[model]],-1,0)+1, OFFSET(_372845237[[#This Row],[model]],-1,0))</f>
        <v>1</v>
      </c>
      <c r="B24">
        <v>2</v>
      </c>
      <c r="C24" s="5">
        <v>6.9444444444444439E-6</v>
      </c>
      <c r="D24">
        <v>9.25</v>
      </c>
      <c r="E24">
        <v>8</v>
      </c>
      <c r="F24">
        <v>1</v>
      </c>
      <c r="G24" s="5">
        <v>2.0833333333333334E-6</v>
      </c>
      <c r="H24" s="5">
        <v>6.9445601851851847E-3</v>
      </c>
      <c r="I24" s="5">
        <v>3.2520833333333334E-3</v>
      </c>
      <c r="J24" s="5">
        <v>2.1990740740740739E-6</v>
      </c>
      <c r="L24">
        <v>4</v>
      </c>
      <c r="M24">
        <v>3</v>
      </c>
      <c r="N24">
        <v>4.625</v>
      </c>
      <c r="O24" t="b">
        <v>1</v>
      </c>
      <c r="P24" s="1"/>
      <c r="R24" s="2">
        <v>4</v>
      </c>
      <c r="S24" cm="1">
        <f t="array" aca="1" ref="S24" ca="1">_xlfn.MAXIFS(COL(bench,"wine"), COL(bench,"model"), $R24, COL(bench,"instance"), INDEX($Q:$Q, ROW()-$R24), COL(bench,"time"),"&lt;="&amp;S$1)</f>
        <v>0</v>
      </c>
      <c r="T24" cm="1">
        <f t="array" aca="1" ref="T24" ca="1">_xlfn.MAXIFS(COL(bench,"wine"), COL(bench,"model"), $R24, COL(bench,"instance"), INDEX($Q:$Q, ROW()-$R24), COL(bench,"time"),"&lt;="&amp;T$1)-SUM($S24:S24)</f>
        <v>0</v>
      </c>
      <c r="U24" cm="1">
        <f t="array" aca="1" ref="U24" ca="1">_xlfn.MAXIFS(COL(bench,"wine"), COL(bench,"model"), $R24, COL(bench,"instance"), INDEX($Q:$Q, ROW()-$R24), COL(bench,"time"),"&lt;="&amp;U$1)-SUM($S24:T24)</f>
        <v>0</v>
      </c>
      <c r="V24" cm="1">
        <f t="array" aca="1" ref="V24" ca="1">_xlfn.MAXIFS(COL(bench,"wine"), COL(bench,"model"), $R24, COL(bench,"instance"), INDEX($Q:$Q, ROW()-$R24), COL(bench,"time"),"&lt;="&amp;V$1)-SUM($S24:U24)</f>
        <v>5</v>
      </c>
      <c r="W24" cm="1">
        <f t="array" aca="1" ref="W24" ca="1">_xlfn.MAXIFS(COL(bench,"wine"), COL(bench,"model"), $R24, COL(bench,"instance"), INDEX($Q:$Q, ROW()-$R24), COL(bench,"time"),"&lt;="&amp;W$1)-SUM($S24:V24)</f>
        <v>0</v>
      </c>
      <c r="X24" t="e" cm="1">
        <f t="array" ref="X24" xml:space="preserve"> _xlfn.LET(
  _xlpm.idx, _xlfn.XMATCH(1,
      (COL(summary,"model")=$R24)*(COL(summary,"instance")=INDEX($Q:$Q, ROW()-$R24))),
  IFERROR(INDEX(COL(summary,"objective"), _xlpm.idx), #N/A)
)</f>
        <v>#N/A</v>
      </c>
    </row>
    <row r="25" spans="1:24" x14ac:dyDescent="0.25">
      <c r="A25">
        <f ca="1">IF(_372845237[[#This Row],[instance]]&lt;OFFSET(_372845237[[#This Row],[instance]],-1,0), OFFSET(_372845237[[#This Row],[model]],-1,0)+1, OFFSET(_372845237[[#This Row],[model]],-1,0))</f>
        <v>1</v>
      </c>
      <c r="B25">
        <v>2</v>
      </c>
      <c r="C25" s="5">
        <v>6.9444444444444439E-6</v>
      </c>
      <c r="D25">
        <v>9.625</v>
      </c>
      <c r="E25">
        <v>9</v>
      </c>
      <c r="F25">
        <v>1</v>
      </c>
      <c r="G25" s="5">
        <v>2.0833333333333334E-6</v>
      </c>
      <c r="H25" s="5">
        <v>6.9445601851851847E-3</v>
      </c>
      <c r="I25" s="5">
        <v>3.2520833333333334E-3</v>
      </c>
      <c r="J25" s="5">
        <v>2.1990740740740739E-6</v>
      </c>
      <c r="L25">
        <v>4</v>
      </c>
      <c r="M25">
        <v>13</v>
      </c>
      <c r="N25">
        <v>0</v>
      </c>
      <c r="O25" t="b">
        <v>1</v>
      </c>
      <c r="P25" s="1"/>
    </row>
    <row r="26" spans="1:24" x14ac:dyDescent="0.25">
      <c r="A26">
        <f ca="1">IF(_372845237[[#This Row],[instance]]&lt;OFFSET(_372845237[[#This Row],[instance]],-1,0), OFFSET(_372845237[[#This Row],[model]],-1,0)+1, OFFSET(_372845237[[#This Row],[model]],-1,0))</f>
        <v>1</v>
      </c>
      <c r="B26">
        <v>2</v>
      </c>
      <c r="C26" s="5">
        <v>1.3993055555555555E-4</v>
      </c>
      <c r="D26">
        <v>10</v>
      </c>
      <c r="E26">
        <v>10</v>
      </c>
      <c r="F26">
        <v>2</v>
      </c>
      <c r="G26" s="5">
        <v>2.0833333333333334E-6</v>
      </c>
      <c r="H26" s="5">
        <v>6.9445601851851847E-3</v>
      </c>
      <c r="I26" s="5">
        <v>3.2520833333333334E-3</v>
      </c>
      <c r="J26" s="5">
        <v>2.1990740740740739E-6</v>
      </c>
      <c r="L26">
        <v>4</v>
      </c>
      <c r="M26">
        <v>14</v>
      </c>
      <c r="N26">
        <v>0</v>
      </c>
      <c r="O26" t="b">
        <v>1</v>
      </c>
      <c r="P26" s="1"/>
      <c r="Q26">
        <v>5</v>
      </c>
    </row>
    <row r="27" spans="1:24" x14ac:dyDescent="0.25">
      <c r="A27">
        <f ca="1">IF(_372845237[[#This Row],[instance]]&lt;OFFSET(_372845237[[#This Row],[instance]],-1,0), OFFSET(_372845237[[#This Row],[model]],-1,0)+1, OFFSET(_372845237[[#This Row],[model]],-1,0))</f>
        <v>1</v>
      </c>
      <c r="B27">
        <v>3</v>
      </c>
      <c r="C27" s="5">
        <v>5.4398148148148149E-6</v>
      </c>
      <c r="D27">
        <v>0</v>
      </c>
      <c r="E27">
        <v>0</v>
      </c>
      <c r="F27">
        <v>0</v>
      </c>
      <c r="G27" s="5">
        <v>2.1990740740740739E-6</v>
      </c>
      <c r="H27" s="5">
        <v>2.662037037037037E-6</v>
      </c>
      <c r="I27" s="5">
        <v>3.2520833333333334E-3</v>
      </c>
      <c r="J27" s="5">
        <v>2.1990740740740739E-6</v>
      </c>
      <c r="L27"/>
      <c r="M27"/>
      <c r="N27"/>
      <c r="O27"/>
      <c r="P27" s="1"/>
      <c r="R27" s="2">
        <v>1</v>
      </c>
      <c r="S27" cm="1">
        <f t="array" aca="1" ref="S27" ca="1">_xlfn.MAXIFS(COL(bench,"wine"), COL(bench,"model"), $R27, COL(bench,"instance"), INDEX($Q:$Q, ROW()-$R27), COL(bench,"time"),"&lt;="&amp;S$1)</f>
        <v>0</v>
      </c>
      <c r="T27" cm="1">
        <f t="array" aca="1" ref="T27" ca="1">_xlfn.MAXIFS(COL(bench,"wine"), COL(bench,"model"), $R27, COL(bench,"instance"), INDEX($Q:$Q, ROW()-$R27), COL(bench,"time"),"&lt;="&amp;T$1)-SUM($S27:S27)</f>
        <v>0</v>
      </c>
      <c r="U27" cm="1">
        <f t="array" aca="1" ref="U27" ca="1">_xlfn.MAXIFS(COL(bench,"wine"), COL(bench,"model"), $R27, COL(bench,"instance"), INDEX($Q:$Q, ROW()-$R27), COL(bench,"time"),"&lt;="&amp;U$1)-SUM($S27:T27)</f>
        <v>2.625</v>
      </c>
      <c r="V27" cm="1">
        <f t="array" aca="1" ref="V27" ca="1">_xlfn.MAXIFS(COL(bench,"wine"), COL(bench,"model"), $R27, COL(bench,"instance"), INDEX($Q:$Q, ROW()-$R27), COL(bench,"time"),"&lt;="&amp;V$1)-SUM($S27:U27)</f>
        <v>0</v>
      </c>
      <c r="W27" cm="1">
        <f t="array" aca="1" ref="W27" ca="1">_xlfn.MAXIFS(COL(bench,"wine"), COL(bench,"model"), $R27, COL(bench,"instance"), INDEX($Q:$Q, ROW()-$R27), COL(bench,"time"),"&lt;="&amp;W$1)-SUM($S27:V27)</f>
        <v>0</v>
      </c>
      <c r="X27" t="e" cm="1">
        <f t="array" ref="X27" xml:space="preserve"> _xlfn.LET(
  _xlpm.idx, _xlfn.XMATCH(1,
      (COL(summary,"model")=$R27)*(COL(summary,"instance")=INDEX($Q:$Q, ROW()-$R27))),
  IFERROR(INDEX(COL(summary,"objective"), _xlpm.idx), #N/A)
)</f>
        <v>#N/A</v>
      </c>
    </row>
    <row r="28" spans="1:24" x14ac:dyDescent="0.25">
      <c r="A28">
        <f ca="1">IF(_372845237[[#This Row],[instance]]&lt;OFFSET(_372845237[[#This Row],[instance]],-1,0), OFFSET(_372845237[[#This Row],[model]],-1,0)+1, OFFSET(_372845237[[#This Row],[model]],-1,0))</f>
        <v>1</v>
      </c>
      <c r="B28">
        <v>3</v>
      </c>
      <c r="C28" s="5">
        <v>5.6712962962962959E-6</v>
      </c>
      <c r="D28">
        <v>2.625</v>
      </c>
      <c r="E28">
        <v>5</v>
      </c>
      <c r="F28">
        <v>1</v>
      </c>
      <c r="G28" s="5">
        <v>2.1990740740740739E-6</v>
      </c>
      <c r="H28" s="5">
        <v>2.662037037037037E-6</v>
      </c>
      <c r="I28" s="5">
        <v>3.2520833333333334E-3</v>
      </c>
      <c r="J28" s="5">
        <v>2.1990740740740739E-6</v>
      </c>
      <c r="L28"/>
      <c r="M28"/>
      <c r="N28"/>
      <c r="O28"/>
      <c r="P28" s="1"/>
      <c r="R28" s="2">
        <v>2</v>
      </c>
      <c r="S28" cm="1">
        <f t="array" aca="1" ref="S28" ca="1">_xlfn.MAXIFS(COL(bench,"wine"), COL(bench,"model"), $R28, COL(bench,"instance"), INDEX($Q:$Q, ROW()-$R28), COL(bench,"time"),"&lt;="&amp;S$1)</f>
        <v>0</v>
      </c>
      <c r="T28" cm="1">
        <f t="array" aca="1" ref="T28" ca="1">_xlfn.MAXIFS(COL(bench,"wine"), COL(bench,"model"), $R28, COL(bench,"instance"), INDEX($Q:$Q, ROW()-$R28), COL(bench,"time"),"&lt;="&amp;T$1)-SUM($S28:S28)</f>
        <v>0</v>
      </c>
      <c r="U28" cm="1">
        <f t="array" aca="1" ref="U28" ca="1">_xlfn.MAXIFS(COL(bench,"wine"), COL(bench,"model"), $R28, COL(bench,"instance"), INDEX($Q:$Q, ROW()-$R28), COL(bench,"time"),"&lt;="&amp;U$1)-SUM($S28:T28)</f>
        <v>2.625</v>
      </c>
      <c r="V28" cm="1">
        <f t="array" aca="1" ref="V28" ca="1">_xlfn.MAXIFS(COL(bench,"wine"), COL(bench,"model"), $R28, COL(bench,"instance"), INDEX($Q:$Q, ROW()-$R28), COL(bench,"time"),"&lt;="&amp;V$1)-SUM($S28:U28)</f>
        <v>0</v>
      </c>
      <c r="W28" cm="1">
        <f t="array" aca="1" ref="W28" ca="1">_xlfn.MAXIFS(COL(bench,"wine"), COL(bench,"model"), $R28, COL(bench,"instance"), INDEX($Q:$Q, ROW()-$R28), COL(bench,"time"),"&lt;="&amp;W$1)-SUM($S28:V28)</f>
        <v>0</v>
      </c>
      <c r="X28" cm="1">
        <f t="array" ref="X28" xml:space="preserve"> _xlfn.LET(
  _xlpm.idx, _xlfn.XMATCH(1,
      (COL(summary,"model")=$R28)*(COL(summary,"instance")=INDEX($Q:$Q, ROW()-$R28))),
  IFERROR(INDEX(COL(summary,"objective"), _xlpm.idx), #N/A)
)</f>
        <v>2.625</v>
      </c>
    </row>
    <row r="29" spans="1:24" x14ac:dyDescent="0.25">
      <c r="A29">
        <f ca="1">IF(_372845237[[#This Row],[instance]]&lt;OFFSET(_372845237[[#This Row],[instance]],-1,0), OFFSET(_372845237[[#This Row],[model]],-1,0)+1, OFFSET(_372845237[[#This Row],[model]],-1,0))</f>
        <v>1</v>
      </c>
      <c r="B29">
        <v>3</v>
      </c>
      <c r="C29" s="5">
        <v>5.6712962962962959E-6</v>
      </c>
      <c r="D29">
        <v>4.625</v>
      </c>
      <c r="E29">
        <v>7</v>
      </c>
      <c r="F29">
        <v>1</v>
      </c>
      <c r="G29" s="5">
        <v>2.1990740740740739E-6</v>
      </c>
      <c r="H29" s="5">
        <v>2.662037037037037E-6</v>
      </c>
      <c r="I29" s="5">
        <v>3.2520833333333334E-3</v>
      </c>
      <c r="J29" s="5">
        <v>2.1990740740740739E-6</v>
      </c>
      <c r="L29"/>
      <c r="M29"/>
      <c r="N29"/>
      <c r="O29"/>
      <c r="P29" s="1"/>
      <c r="R29" s="2">
        <v>3</v>
      </c>
      <c r="S29" cm="1">
        <f t="array" aca="1" ref="S29" ca="1">_xlfn.MAXIFS(COL(bench,"wine"), COL(bench,"model"), $R29, COL(bench,"instance"), INDEX($Q:$Q, ROW()-$R29), COL(bench,"time"),"&lt;="&amp;S$1)</f>
        <v>2.625</v>
      </c>
      <c r="T29" cm="1">
        <f t="array" aca="1" ref="T29" ca="1">_xlfn.MAXIFS(COL(bench,"wine"), COL(bench,"model"), $R29, COL(bench,"instance"), INDEX($Q:$Q, ROW()-$R29), COL(bench,"time"),"&lt;="&amp;T$1)-SUM($S29:S29)</f>
        <v>0</v>
      </c>
      <c r="U29" cm="1">
        <f t="array" aca="1" ref="U29" ca="1">_xlfn.MAXIFS(COL(bench,"wine"), COL(bench,"model"), $R29, COL(bench,"instance"), INDEX($Q:$Q, ROW()-$R29), COL(bench,"time"),"&lt;="&amp;U$1)-SUM($S29:T29)</f>
        <v>0</v>
      </c>
      <c r="V29" cm="1">
        <f t="array" aca="1" ref="V29" ca="1">_xlfn.MAXIFS(COL(bench,"wine"), COL(bench,"model"), $R29, COL(bench,"instance"), INDEX($Q:$Q, ROW()-$R29), COL(bench,"time"),"&lt;="&amp;V$1)-SUM($S29:U29)</f>
        <v>0</v>
      </c>
      <c r="W29" cm="1">
        <f t="array" aca="1" ref="W29" ca="1">_xlfn.MAXIFS(COL(bench,"wine"), COL(bench,"model"), $R29, COL(bench,"instance"), INDEX($Q:$Q, ROW()-$R29), COL(bench,"time"),"&lt;="&amp;W$1)-SUM($S29:V29)</f>
        <v>0</v>
      </c>
      <c r="X29" t="e" cm="1">
        <f t="array" ref="X29" xml:space="preserve"> _xlfn.LET(
  _xlpm.idx, _xlfn.XMATCH(1,
      (COL(summary,"model")=$R29)*(COL(summary,"instance")=INDEX($Q:$Q, ROW()-$R29))),
  IFERROR(INDEX(COL(summary,"objective"), _xlpm.idx), #N/A)
)</f>
        <v>#N/A</v>
      </c>
    </row>
    <row r="30" spans="1:24" x14ac:dyDescent="0.25">
      <c r="A30">
        <f ca="1">IF(_372845237[[#This Row],[instance]]&lt;OFFSET(_372845237[[#This Row],[instance]],-1,0), OFFSET(_372845237[[#This Row],[model]],-1,0)+1, OFFSET(_372845237[[#This Row],[model]],-1,0))</f>
        <v>1</v>
      </c>
      <c r="B30">
        <v>4</v>
      </c>
      <c r="C30" s="5">
        <v>5.555555555555555E-6</v>
      </c>
      <c r="D30">
        <v>0</v>
      </c>
      <c r="E30">
        <v>0</v>
      </c>
      <c r="F30">
        <v>0</v>
      </c>
      <c r="G30" s="5">
        <v>2.1990740740740739E-6</v>
      </c>
      <c r="H30" s="5">
        <v>1.7361111111111109E-4</v>
      </c>
      <c r="I30" s="5">
        <v>3.2520833333333334E-3</v>
      </c>
      <c r="J30" s="5">
        <v>2.1990740740740739E-6</v>
      </c>
      <c r="L30"/>
      <c r="M30"/>
      <c r="N30"/>
      <c r="O30"/>
      <c r="P30" s="1"/>
      <c r="R30" s="2">
        <v>4</v>
      </c>
      <c r="S30" cm="1">
        <f t="array" aca="1" ref="S30" ca="1">_xlfn.MAXIFS(COL(bench,"wine"), COL(bench,"model"), $R30, COL(bench,"instance"), INDEX($Q:$Q, ROW()-$R30), COL(bench,"time"),"&lt;="&amp;S$1)</f>
        <v>0</v>
      </c>
      <c r="T30" cm="1">
        <f t="array" aca="1" ref="T30" ca="1">_xlfn.MAXIFS(COL(bench,"wine"), COL(bench,"model"), $R30, COL(bench,"instance"), INDEX($Q:$Q, ROW()-$R30), COL(bench,"time"),"&lt;="&amp;T$1)-SUM($S30:S30)</f>
        <v>0</v>
      </c>
      <c r="U30" cm="1">
        <f t="array" aca="1" ref="U30" ca="1">_xlfn.MAXIFS(COL(bench,"wine"), COL(bench,"model"), $R30, COL(bench,"instance"), INDEX($Q:$Q, ROW()-$R30), COL(bench,"time"),"&lt;="&amp;U$1)-SUM($S30:T30)</f>
        <v>2.625</v>
      </c>
      <c r="V30" cm="1">
        <f t="array" aca="1" ref="V30" ca="1">_xlfn.MAXIFS(COL(bench,"wine"), COL(bench,"model"), $R30, COL(bench,"instance"), INDEX($Q:$Q, ROW()-$R30), COL(bench,"time"),"&lt;="&amp;V$1)-SUM($S30:U30)</f>
        <v>0</v>
      </c>
      <c r="W30" cm="1">
        <f t="array" aca="1" ref="W30" ca="1">_xlfn.MAXIFS(COL(bench,"wine"), COL(bench,"model"), $R30, COL(bench,"instance"), INDEX($Q:$Q, ROW()-$R30), COL(bench,"time"),"&lt;="&amp;W$1)-SUM($S30:V30)</f>
        <v>0</v>
      </c>
      <c r="X30" t="e" cm="1">
        <f t="array" ref="X30" xml:space="preserve"> _xlfn.LET(
  _xlpm.idx, _xlfn.XMATCH(1,
      (COL(summary,"model")=$R30)*(COL(summary,"instance")=INDEX($Q:$Q, ROW()-$R30))),
  IFERROR(INDEX(COL(summary,"objective"), _xlpm.idx), #N/A)
)</f>
        <v>#N/A</v>
      </c>
    </row>
    <row r="31" spans="1:24" x14ac:dyDescent="0.25">
      <c r="A31">
        <f ca="1">IF(_372845237[[#This Row],[instance]]&lt;OFFSET(_372845237[[#This Row],[instance]],-1,0), OFFSET(_372845237[[#This Row],[model]],-1,0)+1, OFFSET(_372845237[[#This Row],[model]],-1,0))</f>
        <v>1</v>
      </c>
      <c r="B31">
        <v>4</v>
      </c>
      <c r="C31" s="5">
        <v>5.555555555555555E-6</v>
      </c>
      <c r="D31">
        <v>3</v>
      </c>
      <c r="E31">
        <v>1</v>
      </c>
      <c r="F31">
        <v>1</v>
      </c>
      <c r="G31" s="5">
        <v>2.1990740740740739E-6</v>
      </c>
      <c r="H31" s="5">
        <v>1.7361111111111109E-4</v>
      </c>
      <c r="I31" s="5">
        <v>3.2520833333333334E-3</v>
      </c>
      <c r="J31" s="5">
        <v>2.1990740740740739E-6</v>
      </c>
      <c r="L31"/>
      <c r="M31"/>
      <c r="N31"/>
      <c r="O31"/>
      <c r="P31" s="1"/>
    </row>
    <row r="32" spans="1:24" x14ac:dyDescent="0.25">
      <c r="A32">
        <f ca="1">IF(_372845237[[#This Row],[instance]]&lt;OFFSET(_372845237[[#This Row],[instance]],-1,0), OFFSET(_372845237[[#This Row],[model]],-1,0)+1, OFFSET(_372845237[[#This Row],[model]],-1,0))</f>
        <v>1</v>
      </c>
      <c r="B32">
        <v>4</v>
      </c>
      <c r="C32" s="5">
        <v>5.555555555555555E-6</v>
      </c>
      <c r="D32">
        <v>6</v>
      </c>
      <c r="E32">
        <v>2</v>
      </c>
      <c r="F32">
        <v>2</v>
      </c>
      <c r="G32" s="5">
        <v>2.1990740740740739E-6</v>
      </c>
      <c r="H32" s="5">
        <v>1.7361111111111109E-4</v>
      </c>
      <c r="I32" s="5">
        <v>3.2520833333333334E-3</v>
      </c>
      <c r="J32" s="5">
        <v>2.1990740740740739E-6</v>
      </c>
      <c r="L32"/>
      <c r="M32"/>
      <c r="N32"/>
      <c r="O32"/>
      <c r="P32" s="1"/>
      <c r="Q32">
        <v>6</v>
      </c>
    </row>
    <row r="33" spans="1:24" x14ac:dyDescent="0.25">
      <c r="A33">
        <f ca="1">IF(_372845237[[#This Row],[instance]]&lt;OFFSET(_372845237[[#This Row],[instance]],-1,0), OFFSET(_372845237[[#This Row],[model]],-1,0)+1, OFFSET(_372845237[[#This Row],[model]],-1,0))</f>
        <v>1</v>
      </c>
      <c r="B33">
        <v>4</v>
      </c>
      <c r="C33" s="5">
        <v>2.1064814814814813E-5</v>
      </c>
      <c r="D33">
        <v>8</v>
      </c>
      <c r="E33">
        <v>7</v>
      </c>
      <c r="F33">
        <v>2</v>
      </c>
      <c r="G33" s="5">
        <v>2.1990740740740739E-6</v>
      </c>
      <c r="H33" s="5">
        <v>1.7361111111111109E-4</v>
      </c>
      <c r="I33" s="5">
        <v>3.2520833333333334E-3</v>
      </c>
      <c r="J33" s="5">
        <v>2.1990740740740739E-6</v>
      </c>
      <c r="L33"/>
      <c r="M33"/>
      <c r="N33"/>
      <c r="O33"/>
      <c r="P33" s="1"/>
      <c r="R33" s="2">
        <v>1</v>
      </c>
      <c r="S33" cm="1">
        <f t="array" aca="1" ref="S33" ca="1">_xlfn.MAXIFS(COL(bench,"wine"), COL(bench,"model"), $R33, COL(bench,"instance"), INDEX($Q:$Q, ROW()-$R33), COL(bench,"time"),"&lt;="&amp;S$1)</f>
        <v>10</v>
      </c>
      <c r="T33" cm="1">
        <f t="array" aca="1" ref="T33" ca="1">_xlfn.MAXIFS(COL(bench,"wine"), COL(bench,"model"), $R33, COL(bench,"instance"), INDEX($Q:$Q, ROW()-$R33), COL(bench,"time"),"&lt;="&amp;T$1)-SUM($S33:S33)</f>
        <v>0</v>
      </c>
      <c r="U33" cm="1">
        <f t="array" aca="1" ref="U33" ca="1">_xlfn.MAXIFS(COL(bench,"wine"), COL(bench,"model"), $R33, COL(bench,"instance"), INDEX($Q:$Q, ROW()-$R33), COL(bench,"time"),"&lt;="&amp;U$1)-SUM($S33:T33)</f>
        <v>0</v>
      </c>
      <c r="V33" cm="1">
        <f t="array" aca="1" ref="V33" ca="1">_xlfn.MAXIFS(COL(bench,"wine"), COL(bench,"model"), $R33, COL(bench,"instance"), INDEX($Q:$Q, ROW()-$R33), COL(bench,"time"),"&lt;="&amp;V$1)-SUM($S33:U33)</f>
        <v>0</v>
      </c>
      <c r="W33" cm="1">
        <f t="array" aca="1" ref="W33" ca="1">_xlfn.MAXIFS(COL(bench,"wine"), COL(bench,"model"), $R33, COL(bench,"instance"), INDEX($Q:$Q, ROW()-$R33), COL(bench,"time"),"&lt;="&amp;W$1)-SUM($S33:V33)</f>
        <v>0</v>
      </c>
      <c r="X33" t="e" cm="1">
        <f t="array" ref="X33" xml:space="preserve"> _xlfn.LET(
  _xlpm.idx, _xlfn.XMATCH(1,
      (COL(summary,"model")=$R33)*(COL(summary,"instance")=INDEX($Q:$Q, ROW()-$R33))),
  IFERROR(INDEX(COL(summary,"objective"), _xlpm.idx), #N/A)
)</f>
        <v>#N/A</v>
      </c>
    </row>
    <row r="34" spans="1:24" x14ac:dyDescent="0.25">
      <c r="A34">
        <f ca="1">IF(_372845237[[#This Row],[instance]]&lt;OFFSET(_372845237[[#This Row],[instance]],-1,0), OFFSET(_372845237[[#This Row],[model]],-1,0)+1, OFFSET(_372845237[[#This Row],[model]],-1,0))</f>
        <v>1</v>
      </c>
      <c r="B34">
        <v>4</v>
      </c>
      <c r="C34" s="5">
        <v>6.006944444444444E-5</v>
      </c>
      <c r="D34">
        <v>11</v>
      </c>
      <c r="E34">
        <v>8</v>
      </c>
      <c r="F34">
        <v>3</v>
      </c>
      <c r="G34" s="5">
        <v>2.1990740740740739E-6</v>
      </c>
      <c r="H34" s="5">
        <v>1.7361111111111109E-4</v>
      </c>
      <c r="I34" s="5">
        <v>3.2520833333333334E-3</v>
      </c>
      <c r="J34" s="5">
        <v>2.1990740740740739E-6</v>
      </c>
      <c r="L34"/>
      <c r="M34"/>
      <c r="N34"/>
      <c r="O34"/>
      <c r="P34" s="1"/>
      <c r="R34" s="2">
        <v>2</v>
      </c>
      <c r="S34" cm="1">
        <f t="array" aca="1" ref="S34" ca="1">_xlfn.MAXIFS(COL(bench,"wine"), COL(bench,"model"), $R34, COL(bench,"instance"), INDEX($Q:$Q, ROW()-$R34), COL(bench,"time"),"&lt;="&amp;S$1)</f>
        <v>10</v>
      </c>
      <c r="T34" cm="1">
        <f t="array" aca="1" ref="T34" ca="1">_xlfn.MAXIFS(COL(bench,"wine"), COL(bench,"model"), $R34, COL(bench,"instance"), INDEX($Q:$Q, ROW()-$R34), COL(bench,"time"),"&lt;="&amp;T$1)-SUM($S34:S34)</f>
        <v>0</v>
      </c>
      <c r="U34" cm="1">
        <f t="array" aca="1" ref="U34" ca="1">_xlfn.MAXIFS(COL(bench,"wine"), COL(bench,"model"), $R34, COL(bench,"instance"), INDEX($Q:$Q, ROW()-$R34), COL(bench,"time"),"&lt;="&amp;U$1)-SUM($S34:T34)</f>
        <v>0</v>
      </c>
      <c r="V34" cm="1">
        <f t="array" aca="1" ref="V34" ca="1">_xlfn.MAXIFS(COL(bench,"wine"), COL(bench,"model"), $R34, COL(bench,"instance"), INDEX($Q:$Q, ROW()-$R34), COL(bench,"time"),"&lt;="&amp;V$1)-SUM($S34:U34)</f>
        <v>3.75</v>
      </c>
      <c r="W34" cm="1">
        <f t="array" aca="1" ref="W34" ca="1">_xlfn.MAXIFS(COL(bench,"wine"), COL(bench,"model"), $R34, COL(bench,"instance"), INDEX($Q:$Q, ROW()-$R34), COL(bench,"time"),"&lt;="&amp;W$1)-SUM($S34:V34)</f>
        <v>0</v>
      </c>
      <c r="X34" cm="1">
        <f t="array" ref="X34" xml:space="preserve"> _xlfn.LET(
  _xlpm.idx, _xlfn.XMATCH(1,
      (COL(summary,"model")=$R34)*(COL(summary,"instance")=INDEX($Q:$Q, ROW()-$R34))),
  IFERROR(INDEX(COL(summary,"objective"), _xlpm.idx), #N/A)
)</f>
        <v>13.75</v>
      </c>
    </row>
    <row r="35" spans="1:24" x14ac:dyDescent="0.25">
      <c r="A35">
        <f ca="1">IF(_372845237[[#This Row],[instance]]&lt;OFFSET(_372845237[[#This Row],[instance]],-1,0), OFFSET(_372845237[[#This Row],[model]],-1,0)+1, OFFSET(_372845237[[#This Row],[model]],-1,0))</f>
        <v>1</v>
      </c>
      <c r="B35">
        <v>5</v>
      </c>
      <c r="C35" s="5">
        <v>5.4398148148148149E-6</v>
      </c>
      <c r="D35">
        <v>0</v>
      </c>
      <c r="E35">
        <v>0</v>
      </c>
      <c r="F35">
        <v>0</v>
      </c>
      <c r="G35" s="5">
        <v>2.0833333333333334E-6</v>
      </c>
      <c r="H35" s="5">
        <v>6.9445601851851847E-3</v>
      </c>
      <c r="I35" s="5">
        <v>3.2520833333333334E-3</v>
      </c>
      <c r="J35" s="5">
        <v>2.1990740740740739E-6</v>
      </c>
      <c r="L35"/>
      <c r="M35"/>
      <c r="N35"/>
      <c r="O35"/>
      <c r="P35" s="1"/>
      <c r="R35" s="2">
        <v>3</v>
      </c>
      <c r="S35" cm="1">
        <f t="array" aca="1" ref="S35" ca="1">_xlfn.MAXIFS(COL(bench,"wine"), COL(bench,"model"), $R35, COL(bench,"instance"), INDEX($Q:$Q, ROW()-$R35), COL(bench,"time"),"&lt;="&amp;S$1)</f>
        <v>10.75</v>
      </c>
      <c r="T35" cm="1">
        <f t="array" aca="1" ref="T35" ca="1">_xlfn.MAXIFS(COL(bench,"wine"), COL(bench,"model"), $R35, COL(bench,"instance"), INDEX($Q:$Q, ROW()-$R35), COL(bench,"time"),"&lt;="&amp;T$1)-SUM($S35:S35)</f>
        <v>0</v>
      </c>
      <c r="U35" cm="1">
        <f t="array" aca="1" ref="U35" ca="1">_xlfn.MAXIFS(COL(bench,"wine"), COL(bench,"model"), $R35, COL(bench,"instance"), INDEX($Q:$Q, ROW()-$R35), COL(bench,"time"),"&lt;="&amp;U$1)-SUM($S35:T35)</f>
        <v>0</v>
      </c>
      <c r="V35" cm="1">
        <f t="array" aca="1" ref="V35" ca="1">_xlfn.MAXIFS(COL(bench,"wine"), COL(bench,"model"), $R35, COL(bench,"instance"), INDEX($Q:$Q, ROW()-$R35), COL(bench,"time"),"&lt;="&amp;V$1)-SUM($S35:U35)</f>
        <v>0</v>
      </c>
      <c r="W35" cm="1">
        <f t="array" aca="1" ref="W35" ca="1">_xlfn.MAXIFS(COL(bench,"wine"), COL(bench,"model"), $R35, COL(bench,"instance"), INDEX($Q:$Q, ROW()-$R35), COL(bench,"time"),"&lt;="&amp;W$1)-SUM($S35:V35)</f>
        <v>0</v>
      </c>
      <c r="X35" t="e" cm="1">
        <f t="array" ref="X35" xml:space="preserve"> _xlfn.LET(
  _xlpm.idx, _xlfn.XMATCH(1,
      (COL(summary,"model")=$R35)*(COL(summary,"instance")=INDEX($Q:$Q, ROW()-$R35))),
  IFERROR(INDEX(COL(summary,"objective"), _xlpm.idx), #N/A)
)</f>
        <v>#N/A</v>
      </c>
    </row>
    <row r="36" spans="1:24" x14ac:dyDescent="0.25">
      <c r="A36">
        <f ca="1">IF(_372845237[[#This Row],[instance]]&lt;OFFSET(_372845237[[#This Row],[instance]],-1,0), OFFSET(_372845237[[#This Row],[model]],-1,0)+1, OFFSET(_372845237[[#This Row],[model]],-1,0))</f>
        <v>1</v>
      </c>
      <c r="B36">
        <v>5</v>
      </c>
      <c r="C36" s="5">
        <v>4.1574074074074072E-4</v>
      </c>
      <c r="D36">
        <v>2.625</v>
      </c>
      <c r="E36">
        <v>5</v>
      </c>
      <c r="F36">
        <v>1</v>
      </c>
      <c r="G36" s="5">
        <v>2.0833333333333334E-6</v>
      </c>
      <c r="H36" s="5">
        <v>6.9445601851851847E-3</v>
      </c>
      <c r="I36" s="5">
        <v>3.2520833333333334E-3</v>
      </c>
      <c r="J36" s="5">
        <v>2.1990740740740739E-6</v>
      </c>
      <c r="L36"/>
      <c r="M36"/>
      <c r="N36"/>
      <c r="O36"/>
      <c r="P36" s="1"/>
      <c r="R36" s="2">
        <v>4</v>
      </c>
      <c r="S36" cm="1">
        <f t="array" aca="1" ref="S36" ca="1">_xlfn.MAXIFS(COL(bench,"wine"), COL(bench,"model"), $R36, COL(bench,"instance"), INDEX($Q:$Q, ROW()-$R36), COL(bench,"time"),"&lt;="&amp;S$1)</f>
        <v>9.25</v>
      </c>
      <c r="T36" cm="1">
        <f t="array" aca="1" ref="T36" ca="1">_xlfn.MAXIFS(COL(bench,"wine"), COL(bench,"model"), $R36, COL(bench,"instance"), INDEX($Q:$Q, ROW()-$R36), COL(bench,"time"),"&lt;="&amp;T$1)-SUM($S36:S36)</f>
        <v>0</v>
      </c>
      <c r="U36" cm="1">
        <f t="array" aca="1" ref="U36" ca="1">_xlfn.MAXIFS(COL(bench,"wine"), COL(bench,"model"), $R36, COL(bench,"instance"), INDEX($Q:$Q, ROW()-$R36), COL(bench,"time"),"&lt;="&amp;U$1)-SUM($S36:T36)</f>
        <v>0</v>
      </c>
      <c r="V36" cm="1">
        <f t="array" aca="1" ref="V36" ca="1">_xlfn.MAXIFS(COL(bench,"wine"), COL(bench,"model"), $R36, COL(bench,"instance"), INDEX($Q:$Q, ROW()-$R36), COL(bench,"time"),"&lt;="&amp;V$1)-SUM($S36:U36)</f>
        <v>0</v>
      </c>
      <c r="W36" cm="1">
        <f t="array" aca="1" ref="W36" ca="1">_xlfn.MAXIFS(COL(bench,"wine"), COL(bench,"model"), $R36, COL(bench,"instance"), INDEX($Q:$Q, ROW()-$R36), COL(bench,"time"),"&lt;="&amp;W$1)-SUM($S36:V36)</f>
        <v>0</v>
      </c>
      <c r="X36" t="e" cm="1">
        <f t="array" ref="X36" xml:space="preserve"> _xlfn.LET(
  _xlpm.idx, _xlfn.XMATCH(1,
      (COL(summary,"model")=$R36)*(COL(summary,"instance")=INDEX($Q:$Q, ROW()-$R36))),
  IFERROR(INDEX(COL(summary,"objective"), _xlpm.idx), #N/A)
)</f>
        <v>#N/A</v>
      </c>
    </row>
    <row r="37" spans="1:24" x14ac:dyDescent="0.25">
      <c r="A37">
        <f ca="1">IF(_372845237[[#This Row],[instance]]&lt;OFFSET(_372845237[[#This Row],[instance]],-1,0), OFFSET(_372845237[[#This Row],[model]],-1,0)+1, OFFSET(_372845237[[#This Row],[model]],-1,0))</f>
        <v>1</v>
      </c>
      <c r="B37">
        <v>6</v>
      </c>
      <c r="C37" s="5">
        <v>5.4398148148148149E-6</v>
      </c>
      <c r="D37">
        <v>0</v>
      </c>
      <c r="E37">
        <v>0</v>
      </c>
      <c r="F37">
        <v>0</v>
      </c>
      <c r="G37" s="5">
        <v>2.1990740740740739E-6</v>
      </c>
      <c r="H37" s="5">
        <v>6.9446759259259253E-3</v>
      </c>
      <c r="I37" s="5">
        <v>3.2520833333333334E-3</v>
      </c>
      <c r="J37" s="5">
        <v>2.1990740740740739E-6</v>
      </c>
      <c r="L37"/>
      <c r="M37"/>
      <c r="N37"/>
      <c r="O37"/>
      <c r="P37" s="1"/>
    </row>
    <row r="38" spans="1:24" x14ac:dyDescent="0.25">
      <c r="A38">
        <f ca="1">IF(_372845237[[#This Row],[instance]]&lt;OFFSET(_372845237[[#This Row],[instance]],-1,0), OFFSET(_372845237[[#This Row],[model]],-1,0)+1, OFFSET(_372845237[[#This Row],[model]],-1,0))</f>
        <v>1</v>
      </c>
      <c r="B38">
        <v>6</v>
      </c>
      <c r="C38" s="5">
        <v>5.555555555555555E-6</v>
      </c>
      <c r="D38">
        <v>7</v>
      </c>
      <c r="E38">
        <v>3</v>
      </c>
      <c r="F38">
        <v>1</v>
      </c>
      <c r="G38" s="5">
        <v>2.1990740740740739E-6</v>
      </c>
      <c r="H38" s="5">
        <v>6.9446759259259253E-3</v>
      </c>
      <c r="I38" s="5">
        <v>3.2520833333333334E-3</v>
      </c>
      <c r="J38" s="5">
        <v>2.1990740740740739E-6</v>
      </c>
      <c r="L38"/>
      <c r="M38"/>
      <c r="N38"/>
      <c r="O38"/>
      <c r="P38" s="1"/>
      <c r="Q38">
        <v>7</v>
      </c>
    </row>
    <row r="39" spans="1:24" x14ac:dyDescent="0.25">
      <c r="A39">
        <f ca="1">IF(_372845237[[#This Row],[instance]]&lt;OFFSET(_372845237[[#This Row],[instance]],-1,0), OFFSET(_372845237[[#This Row],[model]],-1,0)+1, OFFSET(_372845237[[#This Row],[model]],-1,0))</f>
        <v>1</v>
      </c>
      <c r="B39">
        <v>6</v>
      </c>
      <c r="C39" s="5">
        <v>5.555555555555555E-6</v>
      </c>
      <c r="D39">
        <v>9</v>
      </c>
      <c r="E39">
        <v>3</v>
      </c>
      <c r="F39">
        <v>1</v>
      </c>
      <c r="G39" s="5">
        <v>2.1990740740740739E-6</v>
      </c>
      <c r="H39" s="5">
        <v>6.9446759259259253E-3</v>
      </c>
      <c r="I39" s="5">
        <v>3.2520833333333334E-3</v>
      </c>
      <c r="J39" s="5">
        <v>2.1990740740740739E-6</v>
      </c>
      <c r="L39"/>
      <c r="M39"/>
      <c r="N39"/>
      <c r="O39"/>
      <c r="P39" s="1"/>
      <c r="R39" s="2">
        <v>1</v>
      </c>
      <c r="S39" cm="1">
        <f t="array" aca="1" ref="S39" ca="1">_xlfn.MAXIFS(COL(bench,"wine"), COL(bench,"model"), $R39, COL(bench,"instance"), INDEX($Q:$Q, ROW()-$R39), COL(bench,"time"),"&lt;="&amp;S$1)</f>
        <v>10.5</v>
      </c>
      <c r="T39" cm="1">
        <f t="array" aca="1" ref="T39" ca="1">_xlfn.MAXIFS(COL(bench,"wine"), COL(bench,"model"), $R39, COL(bench,"instance"), INDEX($Q:$Q, ROW()-$R39), COL(bench,"time"),"&lt;="&amp;T$1)-SUM($S39:S39)</f>
        <v>0</v>
      </c>
      <c r="U39" cm="1">
        <f t="array" aca="1" ref="U39" ca="1">_xlfn.MAXIFS(COL(bench,"wine"), COL(bench,"model"), $R39, COL(bench,"instance"), INDEX($Q:$Q, ROW()-$R39), COL(bench,"time"),"&lt;="&amp;U$1)-SUM($S39:T39)</f>
        <v>0</v>
      </c>
      <c r="V39" cm="1">
        <f t="array" aca="1" ref="V39" ca="1">_xlfn.MAXIFS(COL(bench,"wine"), COL(bench,"model"), $R39, COL(bench,"instance"), INDEX($Q:$Q, ROW()-$R39), COL(bench,"time"),"&lt;="&amp;V$1)-SUM($S39:U39)</f>
        <v>0</v>
      </c>
      <c r="W39" cm="1">
        <f t="array" aca="1" ref="W39" ca="1">_xlfn.MAXIFS(COL(bench,"wine"), COL(bench,"model"), $R39, COL(bench,"instance"), INDEX($Q:$Q, ROW()-$R39), COL(bench,"time"),"&lt;="&amp;W$1)-SUM($S39:V39)</f>
        <v>0</v>
      </c>
      <c r="X39" cm="1">
        <f t="array" ref="X39" xml:space="preserve"> _xlfn.LET(
  _xlpm.idx, _xlfn.XMATCH(1,
      (COL(summary,"model")=$R39)*(COL(summary,"instance")=INDEX($Q:$Q, ROW()-$R39))),
  IFERROR(INDEX(COL(summary,"objective"), _xlpm.idx), #N/A)
)</f>
        <v>10.5</v>
      </c>
    </row>
    <row r="40" spans="1:24" x14ac:dyDescent="0.25">
      <c r="A40">
        <f ca="1">IF(_372845237[[#This Row],[instance]]&lt;OFFSET(_372845237[[#This Row],[instance]],-1,0), OFFSET(_372845237[[#This Row],[model]],-1,0)+1, OFFSET(_372845237[[#This Row],[model]],-1,0))</f>
        <v>1</v>
      </c>
      <c r="B40">
        <v>6</v>
      </c>
      <c r="C40" s="5">
        <v>5.555555555555555E-6</v>
      </c>
      <c r="D40">
        <v>10</v>
      </c>
      <c r="E40">
        <v>4</v>
      </c>
      <c r="F40">
        <v>1</v>
      </c>
      <c r="G40" s="5">
        <v>2.1990740740740739E-6</v>
      </c>
      <c r="H40" s="5">
        <v>6.9446759259259253E-3</v>
      </c>
      <c r="I40" s="5">
        <v>3.2520833333333334E-3</v>
      </c>
      <c r="J40" s="5">
        <v>2.1990740740740739E-6</v>
      </c>
      <c r="L40"/>
      <c r="M40"/>
      <c r="N40"/>
      <c r="O40"/>
      <c r="P40" s="1"/>
      <c r="R40" s="2">
        <v>2</v>
      </c>
      <c r="S40" cm="1">
        <f t="array" aca="1" ref="S40" ca="1">_xlfn.MAXIFS(COL(bench,"wine"), COL(bench,"model"), $R40, COL(bench,"instance"), INDEX($Q:$Q, ROW()-$R40), COL(bench,"time"),"&lt;="&amp;S$1)</f>
        <v>9</v>
      </c>
      <c r="T40" cm="1">
        <f t="array" aca="1" ref="T40" ca="1">_xlfn.MAXIFS(COL(bench,"wine"), COL(bench,"model"), $R40, COL(bench,"instance"), INDEX($Q:$Q, ROW()-$R40), COL(bench,"time"),"&lt;="&amp;T$1)-SUM($S40:S40)</f>
        <v>0</v>
      </c>
      <c r="U40" cm="1">
        <f t="array" aca="1" ref="U40" ca="1">_xlfn.MAXIFS(COL(bench,"wine"), COL(bench,"model"), $R40, COL(bench,"instance"), INDEX($Q:$Q, ROW()-$R40), COL(bench,"time"),"&lt;="&amp;U$1)-SUM($S40:T40)</f>
        <v>1.5</v>
      </c>
      <c r="V40" cm="1">
        <f t="array" aca="1" ref="V40" ca="1">_xlfn.MAXIFS(COL(bench,"wine"), COL(bench,"model"), $R40, COL(bench,"instance"), INDEX($Q:$Q, ROW()-$R40), COL(bench,"time"),"&lt;="&amp;V$1)-SUM($S40:U40)</f>
        <v>0</v>
      </c>
      <c r="W40" cm="1">
        <f t="array" aca="1" ref="W40" ca="1">_xlfn.MAXIFS(COL(bench,"wine"), COL(bench,"model"), $R40, COL(bench,"instance"), INDEX($Q:$Q, ROW()-$R40), COL(bench,"time"),"&lt;="&amp;W$1)-SUM($S40:V40)</f>
        <v>0</v>
      </c>
      <c r="X40" cm="1">
        <f t="array" ref="X40" xml:space="preserve"> _xlfn.LET(
  _xlpm.idx, _xlfn.XMATCH(1,
      (COL(summary,"model")=$R40)*(COL(summary,"instance")=INDEX($Q:$Q, ROW()-$R40))),
  IFERROR(INDEX(COL(summary,"objective"), _xlpm.idx), #N/A)
)</f>
        <v>10.5</v>
      </c>
    </row>
    <row r="41" spans="1:24" x14ac:dyDescent="0.25">
      <c r="A41">
        <f ca="1">IF(_372845237[[#This Row],[instance]]&lt;OFFSET(_372845237[[#This Row],[instance]],-1,0), OFFSET(_372845237[[#This Row],[model]],-1,0)+1, OFFSET(_372845237[[#This Row],[model]],-1,0))</f>
        <v>1</v>
      </c>
      <c r="B41">
        <v>7</v>
      </c>
      <c r="C41" s="5">
        <v>1.1458333333333333E-5</v>
      </c>
      <c r="D41">
        <v>0</v>
      </c>
      <c r="E41">
        <v>0</v>
      </c>
      <c r="F41">
        <v>0</v>
      </c>
      <c r="G41" s="5">
        <v>3.2407407407407406E-6</v>
      </c>
      <c r="H41" s="5">
        <v>8.7037037037037039E-5</v>
      </c>
      <c r="I41" s="5">
        <v>3.2520833333333334E-3</v>
      </c>
      <c r="J41" s="5">
        <v>2.1990740740740739E-6</v>
      </c>
      <c r="L41"/>
      <c r="M41"/>
      <c r="N41"/>
      <c r="O41"/>
      <c r="P41" s="1"/>
      <c r="R41" s="2">
        <v>3</v>
      </c>
      <c r="S41" cm="1">
        <f t="array" aca="1" ref="S41" ca="1">_xlfn.MAXIFS(COL(bench,"wine"), COL(bench,"model"), $R41, COL(bench,"instance"), INDEX($Q:$Q, ROW()-$R41), COL(bench,"time"),"&lt;="&amp;S$1)</f>
        <v>10.5</v>
      </c>
      <c r="T41" cm="1">
        <f t="array" aca="1" ref="T41" ca="1">_xlfn.MAXIFS(COL(bench,"wine"), COL(bench,"model"), $R41, COL(bench,"instance"), INDEX($Q:$Q, ROW()-$R41), COL(bench,"time"),"&lt;="&amp;T$1)-SUM($S41:S41)</f>
        <v>0</v>
      </c>
      <c r="U41" cm="1">
        <f t="array" aca="1" ref="U41" ca="1">_xlfn.MAXIFS(COL(bench,"wine"), COL(bench,"model"), $R41, COL(bench,"instance"), INDEX($Q:$Q, ROW()-$R41), COL(bench,"time"),"&lt;="&amp;U$1)-SUM($S41:T41)</f>
        <v>0</v>
      </c>
      <c r="V41" cm="1">
        <f t="array" aca="1" ref="V41" ca="1">_xlfn.MAXIFS(COL(bench,"wine"), COL(bench,"model"), $R41, COL(bench,"instance"), INDEX($Q:$Q, ROW()-$R41), COL(bench,"time"),"&lt;="&amp;V$1)-SUM($S41:U41)</f>
        <v>0</v>
      </c>
      <c r="W41" cm="1">
        <f t="array" aca="1" ref="W41" ca="1">_xlfn.MAXIFS(COL(bench,"wine"), COL(bench,"model"), $R41, COL(bench,"instance"), INDEX($Q:$Q, ROW()-$R41), COL(bench,"time"),"&lt;="&amp;W$1)-SUM($S41:V41)</f>
        <v>0</v>
      </c>
      <c r="X41" t="e" cm="1">
        <f t="array" ref="X41" xml:space="preserve"> _xlfn.LET(
  _xlpm.idx, _xlfn.XMATCH(1,
      (COL(summary,"model")=$R41)*(COL(summary,"instance")=INDEX($Q:$Q, ROW()-$R41))),
  IFERROR(INDEX(COL(summary,"objective"), _xlpm.idx), #N/A)
)</f>
        <v>#N/A</v>
      </c>
    </row>
    <row r="42" spans="1:24" x14ac:dyDescent="0.25">
      <c r="A42">
        <f ca="1">IF(_372845237[[#This Row],[instance]]&lt;OFFSET(_372845237[[#This Row],[instance]],-1,0), OFFSET(_372845237[[#This Row],[model]],-1,0)+1, OFFSET(_372845237[[#This Row],[model]],-1,0))</f>
        <v>1</v>
      </c>
      <c r="B42">
        <v>7</v>
      </c>
      <c r="C42" s="5">
        <v>1.1458333333333333E-5</v>
      </c>
      <c r="D42">
        <v>3</v>
      </c>
      <c r="E42">
        <v>1</v>
      </c>
      <c r="F42">
        <v>1</v>
      </c>
      <c r="G42" s="5">
        <v>3.2407407407407406E-6</v>
      </c>
      <c r="H42" s="5">
        <v>8.7037037037037039E-5</v>
      </c>
      <c r="I42" s="5">
        <v>3.2520833333333334E-3</v>
      </c>
      <c r="J42" s="5">
        <v>2.1990740740740739E-6</v>
      </c>
      <c r="L42"/>
      <c r="M42"/>
      <c r="N42"/>
      <c r="O42"/>
      <c r="P42" s="1"/>
      <c r="R42" s="2">
        <v>4</v>
      </c>
      <c r="S42" cm="1">
        <f t="array" aca="1" ref="S42" ca="1">_xlfn.MAXIFS(COL(bench,"wine"), COL(bench,"model"), $R42, COL(bench,"instance"), INDEX($Q:$Q, ROW()-$R42), COL(bench,"time"),"&lt;="&amp;S$1)</f>
        <v>1.5</v>
      </c>
      <c r="T42" cm="1">
        <f t="array" aca="1" ref="T42" ca="1">_xlfn.MAXIFS(COL(bench,"wine"), COL(bench,"model"), $R42, COL(bench,"instance"), INDEX($Q:$Q, ROW()-$R42), COL(bench,"time"),"&lt;="&amp;T$1)-SUM($S42:S42)</f>
        <v>4.5</v>
      </c>
      <c r="U42" cm="1">
        <f t="array" aca="1" ref="U42" ca="1">_xlfn.MAXIFS(COL(bench,"wine"), COL(bench,"model"), $R42, COL(bench,"instance"), INDEX($Q:$Q, ROW()-$R42), COL(bench,"time"),"&lt;="&amp;U$1)-SUM($S42:T42)</f>
        <v>1.5</v>
      </c>
      <c r="V42" cm="1">
        <f t="array" aca="1" ref="V42" ca="1">_xlfn.MAXIFS(COL(bench,"wine"), COL(bench,"model"), $R42, COL(bench,"instance"), INDEX($Q:$Q, ROW()-$R42), COL(bench,"time"),"&lt;="&amp;V$1)-SUM($S42:U42)</f>
        <v>0</v>
      </c>
      <c r="W42" cm="1">
        <f t="array" aca="1" ref="W42" ca="1">_xlfn.MAXIFS(COL(bench,"wine"), COL(bench,"model"), $R42, COL(bench,"instance"), INDEX($Q:$Q, ROW()-$R42), COL(bench,"time"),"&lt;="&amp;W$1)-SUM($S42:V42)</f>
        <v>0</v>
      </c>
      <c r="X42" t="e" cm="1">
        <f t="array" ref="X42" xml:space="preserve"> _xlfn.LET(
  _xlpm.idx, _xlfn.XMATCH(1,
      (COL(summary,"model")=$R42)*(COL(summary,"instance")=INDEX($Q:$Q, ROW()-$R42))),
  IFERROR(INDEX(COL(summary,"objective"), _xlpm.idx), #N/A)
)</f>
        <v>#N/A</v>
      </c>
    </row>
    <row r="43" spans="1:24" x14ac:dyDescent="0.25">
      <c r="A43">
        <f ca="1">IF(_372845237[[#This Row],[instance]]&lt;OFFSET(_372845237[[#This Row],[instance]],-1,0), OFFSET(_372845237[[#This Row],[model]],-1,0)+1, OFFSET(_372845237[[#This Row],[model]],-1,0))</f>
        <v>1</v>
      </c>
      <c r="B43">
        <v>7</v>
      </c>
      <c r="C43" s="5">
        <v>1.1458333333333333E-5</v>
      </c>
      <c r="D43">
        <v>6</v>
      </c>
      <c r="E43">
        <v>2</v>
      </c>
      <c r="F43">
        <v>2</v>
      </c>
      <c r="G43" s="5">
        <v>3.2407407407407406E-6</v>
      </c>
      <c r="H43" s="5">
        <v>8.7037037037037039E-5</v>
      </c>
      <c r="I43" s="5">
        <v>3.2520833333333334E-3</v>
      </c>
      <c r="J43" s="5">
        <v>2.1990740740740739E-6</v>
      </c>
      <c r="L43"/>
      <c r="M43"/>
      <c r="N43"/>
      <c r="O43"/>
      <c r="P43" s="1"/>
    </row>
    <row r="44" spans="1:24" x14ac:dyDescent="0.25">
      <c r="A44">
        <f ca="1">IF(_372845237[[#This Row],[instance]]&lt;OFFSET(_372845237[[#This Row],[instance]],-1,0), OFFSET(_372845237[[#This Row],[model]],-1,0)+1, OFFSET(_372845237[[#This Row],[model]],-1,0))</f>
        <v>1</v>
      </c>
      <c r="B44">
        <v>7</v>
      </c>
      <c r="C44" s="5">
        <v>1.1458333333333333E-5</v>
      </c>
      <c r="D44">
        <v>9</v>
      </c>
      <c r="E44">
        <v>3</v>
      </c>
      <c r="F44">
        <v>3</v>
      </c>
      <c r="G44" s="5">
        <v>3.2407407407407406E-6</v>
      </c>
      <c r="H44" s="5">
        <v>8.7037037037037039E-5</v>
      </c>
      <c r="I44" s="5">
        <v>3.2520833333333334E-3</v>
      </c>
      <c r="J44" s="5">
        <v>2.1990740740740739E-6</v>
      </c>
      <c r="L44"/>
      <c r="M44"/>
      <c r="N44"/>
      <c r="O44"/>
      <c r="P44" s="1"/>
      <c r="Q44">
        <v>8</v>
      </c>
    </row>
    <row r="45" spans="1:24" x14ac:dyDescent="0.25">
      <c r="A45">
        <f ca="1">IF(_372845237[[#This Row],[instance]]&lt;OFFSET(_372845237[[#This Row],[instance]],-1,0), OFFSET(_372845237[[#This Row],[model]],-1,0)+1, OFFSET(_372845237[[#This Row],[model]],-1,0))</f>
        <v>1</v>
      </c>
      <c r="B45">
        <v>7</v>
      </c>
      <c r="C45" s="5">
        <v>2.0254629629629629E-5</v>
      </c>
      <c r="D45">
        <v>10.125</v>
      </c>
      <c r="E45">
        <v>6</v>
      </c>
      <c r="F45">
        <v>4</v>
      </c>
      <c r="G45" s="5">
        <v>3.2407407407407406E-6</v>
      </c>
      <c r="H45" s="5">
        <v>8.7037037037037039E-5</v>
      </c>
      <c r="I45" s="5">
        <v>3.2520833333333334E-3</v>
      </c>
      <c r="J45" s="5">
        <v>2.1990740740740739E-6</v>
      </c>
      <c r="L45"/>
      <c r="M45"/>
      <c r="N45"/>
      <c r="O45"/>
      <c r="P45" s="1"/>
      <c r="R45" s="2">
        <v>1</v>
      </c>
      <c r="S45" cm="1">
        <f t="array" aca="1" ref="S45" ca="1">_xlfn.MAXIFS(COL(bench,"wine"), COL(bench,"model"), $R45, COL(bench,"instance"), INDEX($Q:$Q, ROW()-$R45), COL(bench,"time"),"&lt;="&amp;S$1)</f>
        <v>12</v>
      </c>
      <c r="T45" cm="1">
        <f t="array" aca="1" ref="T45" ca="1">_xlfn.MAXIFS(COL(bench,"wine"), COL(bench,"model"), $R45, COL(bench,"instance"), INDEX($Q:$Q, ROW()-$R45), COL(bench,"time"),"&lt;="&amp;T$1)-SUM($S45:S45)</f>
        <v>4.625</v>
      </c>
      <c r="U45" cm="1">
        <f t="array" aca="1" ref="U45" ca="1">_xlfn.MAXIFS(COL(bench,"wine"), COL(bench,"model"), $R45, COL(bench,"instance"), INDEX($Q:$Q, ROW()-$R45), COL(bench,"time"),"&lt;="&amp;U$1)-SUM($S45:T45)</f>
        <v>0</v>
      </c>
      <c r="V45" cm="1">
        <f t="array" aca="1" ref="V45" ca="1">_xlfn.MAXIFS(COL(bench,"wine"), COL(bench,"model"), $R45, COL(bench,"instance"), INDEX($Q:$Q, ROW()-$R45), COL(bench,"time"),"&lt;="&amp;V$1)-SUM($S45:U45)</f>
        <v>0</v>
      </c>
      <c r="W45" cm="1">
        <f t="array" aca="1" ref="W45" ca="1">_xlfn.MAXIFS(COL(bench,"wine"), COL(bench,"model"), $R45, COL(bench,"instance"), INDEX($Q:$Q, ROW()-$R45), COL(bench,"time"),"&lt;="&amp;W$1)-SUM($S45:V45)</f>
        <v>0</v>
      </c>
      <c r="X45" cm="1">
        <f t="array" ref="X45" xml:space="preserve"> _xlfn.LET(
  _xlpm.idx, _xlfn.XMATCH(1,
      (COL(summary,"model")=$R45)*(COL(summary,"instance")=INDEX($Q:$Q, ROW()-$R45))),
  IFERROR(INDEX(COL(summary,"objective"), _xlpm.idx), #N/A)
)</f>
        <v>16.625</v>
      </c>
    </row>
    <row r="46" spans="1:24" x14ac:dyDescent="0.25">
      <c r="A46">
        <f ca="1">IF(_372845237[[#This Row],[instance]]&lt;OFFSET(_372845237[[#This Row],[instance]],-1,0), OFFSET(_372845237[[#This Row],[model]],-1,0)+1, OFFSET(_372845237[[#This Row],[model]],-1,0))</f>
        <v>1</v>
      </c>
      <c r="B46">
        <v>7</v>
      </c>
      <c r="C46" s="5">
        <v>3.7847222222222224E-5</v>
      </c>
      <c r="D46">
        <v>10.5</v>
      </c>
      <c r="E46">
        <v>7</v>
      </c>
      <c r="F46">
        <v>4</v>
      </c>
      <c r="G46" s="5">
        <v>3.2407407407407406E-6</v>
      </c>
      <c r="H46" s="5">
        <v>8.7037037037037039E-5</v>
      </c>
      <c r="I46" s="5">
        <v>3.2520833333333334E-3</v>
      </c>
      <c r="J46" s="5">
        <v>2.1990740740740739E-6</v>
      </c>
      <c r="L46"/>
      <c r="M46"/>
      <c r="N46"/>
      <c r="O46"/>
      <c r="P46" s="1"/>
      <c r="R46" s="2">
        <v>2</v>
      </c>
      <c r="S46" cm="1">
        <f t="array" aca="1" ref="S46" ca="1">_xlfn.MAXIFS(COL(bench,"wine"), COL(bench,"model"), $R46, COL(bench,"instance"), INDEX($Q:$Q, ROW()-$R46), COL(bench,"time"),"&lt;="&amp;S$1)</f>
        <v>12</v>
      </c>
      <c r="T46" cm="1">
        <f t="array" aca="1" ref="T46" ca="1">_xlfn.MAXIFS(COL(bench,"wine"), COL(bench,"model"), $R46, COL(bench,"instance"), INDEX($Q:$Q, ROW()-$R46), COL(bench,"time"),"&lt;="&amp;T$1)-SUM($S46:S46)</f>
        <v>0</v>
      </c>
      <c r="U46" cm="1">
        <f t="array" aca="1" ref="U46" ca="1">_xlfn.MAXIFS(COL(bench,"wine"), COL(bench,"model"), $R46, COL(bench,"instance"), INDEX($Q:$Q, ROW()-$R46), COL(bench,"time"),"&lt;="&amp;U$1)-SUM($S46:T46)</f>
        <v>4.625</v>
      </c>
      <c r="V46" cm="1">
        <f t="array" aca="1" ref="V46" ca="1">_xlfn.MAXIFS(COL(bench,"wine"), COL(bench,"model"), $R46, COL(bench,"instance"), INDEX($Q:$Q, ROW()-$R46), COL(bench,"time"),"&lt;="&amp;V$1)-SUM($S46:U46)</f>
        <v>0</v>
      </c>
      <c r="W46" cm="1">
        <f t="array" aca="1" ref="W46" ca="1">_xlfn.MAXIFS(COL(bench,"wine"), COL(bench,"model"), $R46, COL(bench,"instance"), INDEX($Q:$Q, ROW()-$R46), COL(bench,"time"),"&lt;="&amp;W$1)-SUM($S46:V46)</f>
        <v>0</v>
      </c>
      <c r="X46" cm="1">
        <f t="array" ref="X46" xml:space="preserve"> _xlfn.LET(
  _xlpm.idx, _xlfn.XMATCH(1,
      (COL(summary,"model")=$R46)*(COL(summary,"instance")=INDEX($Q:$Q, ROW()-$R46))),
  IFERROR(INDEX(COL(summary,"objective"), _xlpm.idx), #N/A)
)</f>
        <v>16.625</v>
      </c>
    </row>
    <row r="47" spans="1:24" x14ac:dyDescent="0.25">
      <c r="A47">
        <f ca="1">IF(_372845237[[#This Row],[instance]]&lt;OFFSET(_372845237[[#This Row],[instance]],-1,0), OFFSET(_372845237[[#This Row],[model]],-1,0)+1, OFFSET(_372845237[[#This Row],[model]],-1,0))</f>
        <v>1</v>
      </c>
      <c r="B47">
        <v>8</v>
      </c>
      <c r="C47" s="5">
        <v>5.9027777777777776E-6</v>
      </c>
      <c r="D47">
        <v>0</v>
      </c>
      <c r="E47">
        <v>0</v>
      </c>
      <c r="F47">
        <v>0</v>
      </c>
      <c r="G47" s="5">
        <v>2.3148148148148148E-6</v>
      </c>
      <c r="H47" s="5">
        <v>2.6886574074074074E-4</v>
      </c>
      <c r="I47" s="5">
        <v>3.2520833333333334E-3</v>
      </c>
      <c r="J47" s="5">
        <v>2.1990740740740739E-6</v>
      </c>
      <c r="L47"/>
      <c r="M47"/>
      <c r="N47"/>
      <c r="O47"/>
      <c r="P47" s="1"/>
      <c r="R47" s="2">
        <v>3</v>
      </c>
      <c r="S47" cm="1">
        <f t="array" aca="1" ref="S47" ca="1">_xlfn.MAXIFS(COL(bench,"wine"), COL(bench,"model"), $R47, COL(bench,"instance"), INDEX($Q:$Q, ROW()-$R47), COL(bench,"time"),"&lt;="&amp;S$1)</f>
        <v>12</v>
      </c>
      <c r="T47" cm="1">
        <f t="array" aca="1" ref="T47" ca="1">_xlfn.MAXIFS(COL(bench,"wine"), COL(bench,"model"), $R47, COL(bench,"instance"), INDEX($Q:$Q, ROW()-$R47), COL(bench,"time"),"&lt;="&amp;T$1)-SUM($S47:S47)</f>
        <v>0</v>
      </c>
      <c r="U47" cm="1">
        <f t="array" aca="1" ref="U47" ca="1">_xlfn.MAXIFS(COL(bench,"wine"), COL(bench,"model"), $R47, COL(bench,"instance"), INDEX($Q:$Q, ROW()-$R47), COL(bench,"time"),"&lt;="&amp;U$1)-SUM($S47:T47)</f>
        <v>0</v>
      </c>
      <c r="V47" cm="1">
        <f t="array" aca="1" ref="V47" ca="1">_xlfn.MAXIFS(COL(bench,"wine"), COL(bench,"model"), $R47, COL(bench,"instance"), INDEX($Q:$Q, ROW()-$R47), COL(bench,"time"),"&lt;="&amp;V$1)-SUM($S47:U47)</f>
        <v>0</v>
      </c>
      <c r="W47" cm="1">
        <f t="array" aca="1" ref="W47" ca="1">_xlfn.MAXIFS(COL(bench,"wine"), COL(bench,"model"), $R47, COL(bench,"instance"), INDEX($Q:$Q, ROW()-$R47), COL(bench,"time"),"&lt;="&amp;W$1)-SUM($S47:V47)</f>
        <v>0</v>
      </c>
      <c r="X47" t="e" cm="1">
        <f t="array" ref="X47" xml:space="preserve"> _xlfn.LET(
  _xlpm.idx, _xlfn.XMATCH(1,
      (COL(summary,"model")=$R47)*(COL(summary,"instance")=INDEX($Q:$Q, ROW()-$R47))),
  IFERROR(INDEX(COL(summary,"objective"), _xlpm.idx), #N/A)
)</f>
        <v>#N/A</v>
      </c>
    </row>
    <row r="48" spans="1:24" x14ac:dyDescent="0.25">
      <c r="A48">
        <f ca="1">IF(_372845237[[#This Row],[instance]]&lt;OFFSET(_372845237[[#This Row],[instance]],-1,0), OFFSET(_372845237[[#This Row],[model]],-1,0)+1, OFFSET(_372845237[[#This Row],[model]],-1,0))</f>
        <v>1</v>
      </c>
      <c r="B48">
        <v>8</v>
      </c>
      <c r="C48" s="5">
        <v>5.9027777777777776E-6</v>
      </c>
      <c r="D48">
        <v>9</v>
      </c>
      <c r="E48">
        <v>3</v>
      </c>
      <c r="F48">
        <v>1</v>
      </c>
      <c r="G48" s="5">
        <v>2.3148148148148148E-6</v>
      </c>
      <c r="H48" s="5">
        <v>2.6886574074074074E-4</v>
      </c>
      <c r="I48" s="5">
        <v>3.2520833333333334E-3</v>
      </c>
      <c r="J48" s="5">
        <v>2.1990740740740739E-6</v>
      </c>
      <c r="L48"/>
      <c r="M48"/>
      <c r="N48"/>
      <c r="O48"/>
      <c r="P48" s="1"/>
      <c r="R48" s="2">
        <v>4</v>
      </c>
      <c r="S48" cm="1">
        <f t="array" aca="1" ref="S48" ca="1">_xlfn.MAXIFS(COL(bench,"wine"), COL(bench,"model"), $R48, COL(bench,"instance"), INDEX($Q:$Q, ROW()-$R48), COL(bench,"time"),"&lt;="&amp;S$1)</f>
        <v>8.875</v>
      </c>
      <c r="T48" cm="1">
        <f t="array" aca="1" ref="T48" ca="1">_xlfn.MAXIFS(COL(bench,"wine"), COL(bench,"model"), $R48, COL(bench,"instance"), INDEX($Q:$Q, ROW()-$R48), COL(bench,"time"),"&lt;="&amp;T$1)-SUM($S48:S48)</f>
        <v>0</v>
      </c>
      <c r="U48" cm="1">
        <f t="array" aca="1" ref="U48" ca="1">_xlfn.MAXIFS(COL(bench,"wine"), COL(bench,"model"), $R48, COL(bench,"instance"), INDEX($Q:$Q, ROW()-$R48), COL(bench,"time"),"&lt;="&amp;U$1)-SUM($S48:T48)</f>
        <v>0</v>
      </c>
      <c r="V48" cm="1">
        <f t="array" aca="1" ref="V48" ca="1">_xlfn.MAXIFS(COL(bench,"wine"), COL(bench,"model"), $R48, COL(bench,"instance"), INDEX($Q:$Q, ROW()-$R48), COL(bench,"time"),"&lt;="&amp;V$1)-SUM($S48:U48)</f>
        <v>0</v>
      </c>
      <c r="W48" cm="1">
        <f t="array" aca="1" ref="W48" ca="1">_xlfn.MAXIFS(COL(bench,"wine"), COL(bench,"model"), $R48, COL(bench,"instance"), INDEX($Q:$Q, ROW()-$R48), COL(bench,"time"),"&lt;="&amp;W$1)-SUM($S48:V48)</f>
        <v>0</v>
      </c>
      <c r="X48" t="e" cm="1">
        <f t="array" ref="X48" xml:space="preserve"> _xlfn.LET(
  _xlpm.idx, _xlfn.XMATCH(1,
      (COL(summary,"model")=$R48)*(COL(summary,"instance")=INDEX($Q:$Q, ROW()-$R48))),
  IFERROR(INDEX(COL(summary,"objective"), _xlpm.idx), #N/A)
)</f>
        <v>#N/A</v>
      </c>
    </row>
    <row r="49" spans="1:29" x14ac:dyDescent="0.25">
      <c r="A49">
        <f ca="1">IF(_372845237[[#This Row],[instance]]&lt;OFFSET(_372845237[[#This Row],[instance]],-1,0), OFFSET(_372845237[[#This Row],[model]],-1,0)+1, OFFSET(_372845237[[#This Row],[model]],-1,0))</f>
        <v>1</v>
      </c>
      <c r="B49">
        <v>8</v>
      </c>
      <c r="C49" s="5">
        <v>5.9027777777777776E-6</v>
      </c>
      <c r="D49">
        <v>12</v>
      </c>
      <c r="E49">
        <v>4</v>
      </c>
      <c r="F49">
        <v>1</v>
      </c>
      <c r="G49" s="5">
        <v>2.3148148148148148E-6</v>
      </c>
      <c r="H49" s="5">
        <v>2.6886574074074074E-4</v>
      </c>
      <c r="I49" s="5">
        <v>3.2520833333333334E-3</v>
      </c>
      <c r="J49" s="5">
        <v>2.1990740740740739E-6</v>
      </c>
      <c r="L49"/>
      <c r="M49"/>
      <c r="N49"/>
      <c r="O49"/>
      <c r="P49" s="1"/>
      <c r="AC49" s="4"/>
    </row>
    <row r="50" spans="1:29" x14ac:dyDescent="0.25">
      <c r="A50">
        <f ca="1">IF(_372845237[[#This Row],[instance]]&lt;OFFSET(_372845237[[#This Row],[instance]],-1,0), OFFSET(_372845237[[#This Row],[model]],-1,0)+1, OFFSET(_372845237[[#This Row],[model]],-1,0))</f>
        <v>1</v>
      </c>
      <c r="B50">
        <v>8</v>
      </c>
      <c r="C50" s="5">
        <v>2.5335648148148147E-4</v>
      </c>
      <c r="D50">
        <v>14</v>
      </c>
      <c r="E50">
        <v>6</v>
      </c>
      <c r="F50">
        <v>2</v>
      </c>
      <c r="G50" s="5">
        <v>2.3148148148148148E-6</v>
      </c>
      <c r="H50" s="5">
        <v>2.6886574074074074E-4</v>
      </c>
      <c r="I50" s="5">
        <v>3.2520833333333334E-3</v>
      </c>
      <c r="J50" s="5">
        <v>2.1990740740740739E-6</v>
      </c>
      <c r="L50"/>
      <c r="M50"/>
      <c r="N50"/>
      <c r="O50"/>
      <c r="P50" s="1"/>
      <c r="Q50">
        <v>9</v>
      </c>
    </row>
    <row r="51" spans="1:29" x14ac:dyDescent="0.25">
      <c r="A51">
        <f ca="1">IF(_372845237[[#This Row],[instance]]&lt;OFFSET(_372845237[[#This Row],[instance]],-1,0), OFFSET(_372845237[[#This Row],[model]],-1,0)+1, OFFSET(_372845237[[#This Row],[model]],-1,0))</f>
        <v>1</v>
      </c>
      <c r="B51">
        <v>8</v>
      </c>
      <c r="C51" s="5">
        <v>2.5520833333333331E-4</v>
      </c>
      <c r="D51">
        <v>14.75</v>
      </c>
      <c r="E51">
        <v>7</v>
      </c>
      <c r="F51">
        <v>2</v>
      </c>
      <c r="G51" s="5">
        <v>2.3148148148148148E-6</v>
      </c>
      <c r="H51" s="5">
        <v>2.6886574074074074E-4</v>
      </c>
      <c r="I51" s="5">
        <v>3.2520833333333334E-3</v>
      </c>
      <c r="J51" s="5">
        <v>2.1990740740740739E-6</v>
      </c>
      <c r="L51"/>
      <c r="M51"/>
      <c r="N51"/>
      <c r="O51"/>
      <c r="P51" s="1"/>
      <c r="R51" s="2">
        <v>1</v>
      </c>
      <c r="S51" cm="1">
        <f t="array" aca="1" ref="S51" ca="1">_xlfn.MAXIFS(COL(bench,"wine"), COL(bench,"model"), $R51, COL(bench,"instance"), INDEX($Q:$Q, ROW()-$R51), COL(bench,"time"),"&lt;="&amp;S$1)</f>
        <v>9</v>
      </c>
      <c r="T51" cm="1">
        <f t="array" aca="1" ref="T51" ca="1">_xlfn.MAXIFS(COL(bench,"wine"), COL(bench,"model"), $R51, COL(bench,"instance"), INDEX($Q:$Q, ROW()-$R51), COL(bench,"time"),"&lt;="&amp;T$1)-SUM($S51:S51)</f>
        <v>0</v>
      </c>
      <c r="U51" cm="1">
        <f t="array" aca="1" ref="U51" ca="1">_xlfn.MAXIFS(COL(bench,"wine"), COL(bench,"model"), $R51, COL(bench,"instance"), INDEX($Q:$Q, ROW()-$R51), COL(bench,"time"),"&lt;="&amp;U$1)-SUM($S51:T51)</f>
        <v>0</v>
      </c>
      <c r="V51" cm="1">
        <f t="array" aca="1" ref="V51" ca="1">_xlfn.MAXIFS(COL(bench,"wine"), COL(bench,"model"), $R51, COL(bench,"instance"), INDEX($Q:$Q, ROW()-$R51), COL(bench,"time"),"&lt;="&amp;V$1)-SUM($S51:U51)</f>
        <v>0</v>
      </c>
      <c r="W51" cm="1">
        <f t="array" aca="1" ref="W51" ca="1">_xlfn.MAXIFS(COL(bench,"wine"), COL(bench,"model"), $R51, COL(bench,"instance"), INDEX($Q:$Q, ROW()-$R51), COL(bench,"time"),"&lt;="&amp;W$1)-SUM($S51:V51)</f>
        <v>0</v>
      </c>
      <c r="X51" t="e" cm="1">
        <f t="array" ref="X51" xml:space="preserve"> _xlfn.LET(
  _xlpm.idx, _xlfn.XMATCH(1,
      (COL(summary,"model")=$R51)*(COL(summary,"instance")=INDEX($Q:$Q, ROW()-$R51))),
  IFERROR(INDEX(COL(summary,"objective"), _xlpm.idx), #N/A)
)</f>
        <v>#N/A</v>
      </c>
    </row>
    <row r="52" spans="1:29" x14ac:dyDescent="0.25">
      <c r="A52">
        <f ca="1">IF(_372845237[[#This Row],[instance]]&lt;OFFSET(_372845237[[#This Row],[instance]],-1,0), OFFSET(_372845237[[#This Row],[model]],-1,0)+1, OFFSET(_372845237[[#This Row],[model]],-1,0))</f>
        <v>1</v>
      </c>
      <c r="B52">
        <v>8</v>
      </c>
      <c r="C52" s="5">
        <v>2.5925925925925926E-4</v>
      </c>
      <c r="D52">
        <v>15.5</v>
      </c>
      <c r="E52">
        <v>8</v>
      </c>
      <c r="F52">
        <v>2</v>
      </c>
      <c r="G52" s="5">
        <v>2.3148148148148148E-6</v>
      </c>
      <c r="H52" s="5">
        <v>2.6886574074074074E-4</v>
      </c>
      <c r="I52" s="5">
        <v>3.2520833333333334E-3</v>
      </c>
      <c r="J52" s="5">
        <v>2.1990740740740739E-6</v>
      </c>
      <c r="L52"/>
      <c r="M52"/>
      <c r="N52"/>
      <c r="O52"/>
      <c r="P52" s="1"/>
      <c r="R52" s="2">
        <v>2</v>
      </c>
      <c r="S52" cm="1">
        <f t="array" aca="1" ref="S52" ca="1">_xlfn.MAXIFS(COL(bench,"wine"), COL(bench,"model"), $R52, COL(bench,"instance"), INDEX($Q:$Q, ROW()-$R52), COL(bench,"time"),"&lt;="&amp;S$1)</f>
        <v>9</v>
      </c>
      <c r="T52" cm="1">
        <f t="array" aca="1" ref="T52" ca="1">_xlfn.MAXIFS(COL(bench,"wine"), COL(bench,"model"), $R52, COL(bench,"instance"), INDEX($Q:$Q, ROW()-$R52), COL(bench,"time"),"&lt;="&amp;T$1)-SUM($S52:S52)</f>
        <v>0</v>
      </c>
      <c r="U52" cm="1">
        <f t="array" aca="1" ref="U52" ca="1">_xlfn.MAXIFS(COL(bench,"wine"), COL(bench,"model"), $R52, COL(bench,"instance"), INDEX($Q:$Q, ROW()-$R52), COL(bench,"time"),"&lt;="&amp;U$1)-SUM($S52:T52)</f>
        <v>0</v>
      </c>
      <c r="V52" cm="1">
        <f t="array" aca="1" ref="V52" ca="1">_xlfn.MAXIFS(COL(bench,"wine"), COL(bench,"model"), $R52, COL(bench,"instance"), INDEX($Q:$Q, ROW()-$R52), COL(bench,"time"),"&lt;="&amp;V$1)-SUM($S52:U52)</f>
        <v>0</v>
      </c>
      <c r="W52" cm="1">
        <f t="array" aca="1" ref="W52" ca="1">_xlfn.MAXIFS(COL(bench,"wine"), COL(bench,"model"), $R52, COL(bench,"instance"), INDEX($Q:$Q, ROW()-$R52), COL(bench,"time"),"&lt;="&amp;W$1)-SUM($S52:V52)</f>
        <v>0</v>
      </c>
      <c r="X52" t="e" cm="1">
        <f t="array" ref="X52" xml:space="preserve"> _xlfn.LET(
  _xlpm.idx, _xlfn.XMATCH(1,
      (COL(summary,"model")=$R52)*(COL(summary,"instance")=INDEX($Q:$Q, ROW()-$R52))),
  IFERROR(INDEX(COL(summary,"objective"), _xlpm.idx), #N/A)
)</f>
        <v>#N/A</v>
      </c>
    </row>
    <row r="53" spans="1:29" x14ac:dyDescent="0.25">
      <c r="A53">
        <f ca="1">IF(_372845237[[#This Row],[instance]]&lt;OFFSET(_372845237[[#This Row],[instance]],-1,0), OFFSET(_372845237[[#This Row],[model]],-1,0)+1, OFFSET(_372845237[[#This Row],[model]],-1,0))</f>
        <v>1</v>
      </c>
      <c r="B53">
        <v>8</v>
      </c>
      <c r="C53" s="5">
        <v>2.6585648148148144E-4</v>
      </c>
      <c r="D53">
        <v>15.875</v>
      </c>
      <c r="E53">
        <v>9</v>
      </c>
      <c r="F53">
        <v>2</v>
      </c>
      <c r="G53" s="5">
        <v>2.3148148148148148E-6</v>
      </c>
      <c r="H53" s="5">
        <v>2.6886574074074074E-4</v>
      </c>
      <c r="I53" s="5">
        <v>3.2520833333333334E-3</v>
      </c>
      <c r="J53" s="5">
        <v>2.1990740740740739E-6</v>
      </c>
      <c r="L53"/>
      <c r="M53"/>
      <c r="N53"/>
      <c r="O53"/>
      <c r="P53" s="1"/>
      <c r="R53" s="2">
        <v>3</v>
      </c>
      <c r="S53" cm="1">
        <f t="array" aca="1" ref="S53" ca="1">_xlfn.MAXIFS(COL(bench,"wine"), COL(bench,"model"), $R53, COL(bench,"instance"), INDEX($Q:$Q, ROW()-$R53), COL(bench,"time"),"&lt;="&amp;S$1)</f>
        <v>0</v>
      </c>
      <c r="T53" cm="1">
        <f t="array" aca="1" ref="T53" ca="1">_xlfn.MAXIFS(COL(bench,"wine"), COL(bench,"model"), $R53, COL(bench,"instance"), INDEX($Q:$Q, ROW()-$R53), COL(bench,"time"),"&lt;="&amp;T$1)-SUM($S53:S53)</f>
        <v>0</v>
      </c>
      <c r="U53" cm="1">
        <f t="array" aca="1" ref="U53" ca="1">_xlfn.MAXIFS(COL(bench,"wine"), COL(bench,"model"), $R53, COL(bench,"instance"), INDEX($Q:$Q, ROW()-$R53), COL(bench,"time"),"&lt;="&amp;U$1)-SUM($S53:T53)</f>
        <v>0</v>
      </c>
      <c r="V53" cm="1">
        <f t="array" aca="1" ref="V53" ca="1">_xlfn.MAXIFS(COL(bench,"wine"), COL(bench,"model"), $R53, COL(bench,"instance"), INDEX($Q:$Q, ROW()-$R53), COL(bench,"time"),"&lt;="&amp;V$1)-SUM($S53:U53)</f>
        <v>0</v>
      </c>
      <c r="W53" cm="1">
        <f t="array" aca="1" ref="W53" ca="1">_xlfn.MAXIFS(COL(bench,"wine"), COL(bench,"model"), $R53, COL(bench,"instance"), INDEX($Q:$Q, ROW()-$R53), COL(bench,"time"),"&lt;="&amp;W$1)-SUM($S53:V53)</f>
        <v>9.375</v>
      </c>
      <c r="X53" t="e" cm="1">
        <f t="array" ref="X53" xml:space="preserve"> _xlfn.LET(
  _xlpm.idx, _xlfn.XMATCH(1,
      (COL(summary,"model")=$R53)*(COL(summary,"instance")=INDEX($Q:$Q, ROW()-$R53))),
  IFERROR(INDEX(COL(summary,"objective"), _xlpm.idx), #N/A)
)</f>
        <v>#N/A</v>
      </c>
    </row>
    <row r="54" spans="1:29" x14ac:dyDescent="0.25">
      <c r="A54">
        <f ca="1">IF(_372845237[[#This Row],[instance]]&lt;OFFSET(_372845237[[#This Row],[instance]],-1,0), OFFSET(_372845237[[#This Row],[model]],-1,0)+1, OFFSET(_372845237[[#This Row],[model]],-1,0))</f>
        <v>1</v>
      </c>
      <c r="B54">
        <v>8</v>
      </c>
      <c r="C54" s="5">
        <v>2.6967592592592592E-4</v>
      </c>
      <c r="D54">
        <v>16.25</v>
      </c>
      <c r="E54">
        <v>9</v>
      </c>
      <c r="F54">
        <v>2</v>
      </c>
      <c r="G54" s="5">
        <v>2.3148148148148148E-6</v>
      </c>
      <c r="H54" s="5">
        <v>2.6886574074074074E-4</v>
      </c>
      <c r="I54" s="5">
        <v>3.2520833333333334E-3</v>
      </c>
      <c r="J54" s="5">
        <v>2.1990740740740739E-6</v>
      </c>
      <c r="L54"/>
      <c r="M54"/>
      <c r="N54"/>
      <c r="O54"/>
      <c r="P54" s="1"/>
      <c r="R54" s="2">
        <v>4</v>
      </c>
      <c r="S54" cm="1">
        <f t="array" aca="1" ref="S54" ca="1">_xlfn.MAXIFS(COL(bench,"wine"), COL(bench,"model"), $R54, COL(bench,"instance"), INDEX($Q:$Q, ROW()-$R54), COL(bench,"time"),"&lt;="&amp;S$1)</f>
        <v>8.875</v>
      </c>
      <c r="T54" cm="1">
        <f t="array" aca="1" ref="T54" ca="1">_xlfn.MAXIFS(COL(bench,"wine"), COL(bench,"model"), $R54, COL(bench,"instance"), INDEX($Q:$Q, ROW()-$R54), COL(bench,"time"),"&lt;="&amp;T$1)-SUM($S54:S54)</f>
        <v>0</v>
      </c>
      <c r="U54" cm="1">
        <f t="array" aca="1" ref="U54" ca="1">_xlfn.MAXIFS(COL(bench,"wine"), COL(bench,"model"), $R54, COL(bench,"instance"), INDEX($Q:$Q, ROW()-$R54), COL(bench,"time"),"&lt;="&amp;U$1)-SUM($S54:T54)</f>
        <v>0</v>
      </c>
      <c r="V54" cm="1">
        <f t="array" aca="1" ref="V54" ca="1">_xlfn.MAXIFS(COL(bench,"wine"), COL(bench,"model"), $R54, COL(bench,"instance"), INDEX($Q:$Q, ROW()-$R54), COL(bench,"time"),"&lt;="&amp;V$1)-SUM($S54:U54)</f>
        <v>0</v>
      </c>
      <c r="W54" cm="1">
        <f t="array" aca="1" ref="W54" ca="1">_xlfn.MAXIFS(COL(bench,"wine"), COL(bench,"model"), $R54, COL(bench,"instance"), INDEX($Q:$Q, ROW()-$R54), COL(bench,"time"),"&lt;="&amp;W$1)-SUM($S54:V54)</f>
        <v>0</v>
      </c>
      <c r="X54" t="e" cm="1">
        <f t="array" ref="X54" xml:space="preserve"> _xlfn.LET(
  _xlpm.idx, _xlfn.XMATCH(1,
      (COL(summary,"model")=$R54)*(COL(summary,"instance")=INDEX($Q:$Q, ROW()-$R54))),
  IFERROR(INDEX(COL(summary,"objective"), _xlpm.idx), #N/A)
)</f>
        <v>#N/A</v>
      </c>
    </row>
    <row r="55" spans="1:29" x14ac:dyDescent="0.25">
      <c r="A55">
        <f ca="1">IF(_372845237[[#This Row],[instance]]&lt;OFFSET(_372845237[[#This Row],[instance]],-1,0), OFFSET(_372845237[[#This Row],[model]],-1,0)+1, OFFSET(_372845237[[#This Row],[model]],-1,0))</f>
        <v>1</v>
      </c>
      <c r="B55">
        <v>8</v>
      </c>
      <c r="C55" s="5">
        <v>2.6967592592592592E-4</v>
      </c>
      <c r="D55">
        <v>16.625</v>
      </c>
      <c r="E55">
        <v>10</v>
      </c>
      <c r="F55">
        <v>2</v>
      </c>
      <c r="G55" s="5">
        <v>2.3148148148148148E-6</v>
      </c>
      <c r="H55" s="5">
        <v>2.6886574074074074E-4</v>
      </c>
      <c r="I55" s="5">
        <v>3.2520833333333334E-3</v>
      </c>
      <c r="J55" s="5">
        <v>2.1990740740740739E-6</v>
      </c>
      <c r="L55"/>
      <c r="M55"/>
      <c r="N55"/>
      <c r="O55"/>
      <c r="P55" s="1"/>
    </row>
    <row r="56" spans="1:29" x14ac:dyDescent="0.25">
      <c r="A56">
        <f ca="1">IF(_372845237[[#This Row],[instance]]&lt;OFFSET(_372845237[[#This Row],[instance]],-1,0), OFFSET(_372845237[[#This Row],[model]],-1,0)+1, OFFSET(_372845237[[#This Row],[model]],-1,0))</f>
        <v>1</v>
      </c>
      <c r="B56">
        <v>9</v>
      </c>
      <c r="C56" s="5">
        <v>5.4398148148148149E-6</v>
      </c>
      <c r="D56">
        <v>0</v>
      </c>
      <c r="E56">
        <v>0</v>
      </c>
      <c r="F56">
        <v>0</v>
      </c>
      <c r="G56" s="5">
        <v>2.1990740740740739E-6</v>
      </c>
      <c r="H56" s="5">
        <v>6.9445601851851847E-3</v>
      </c>
      <c r="I56" s="5">
        <v>3.2520833333333334E-3</v>
      </c>
      <c r="J56" s="5">
        <v>2.1990740740740739E-6</v>
      </c>
      <c r="L56"/>
      <c r="M56"/>
      <c r="N56"/>
      <c r="O56"/>
      <c r="P56" s="1"/>
      <c r="Q56">
        <v>10</v>
      </c>
    </row>
    <row r="57" spans="1:29" x14ac:dyDescent="0.25">
      <c r="A57">
        <f ca="1">IF(_372845237[[#This Row],[instance]]&lt;OFFSET(_372845237[[#This Row],[instance]],-1,0), OFFSET(_372845237[[#This Row],[model]],-1,0)+1, OFFSET(_372845237[[#This Row],[model]],-1,0))</f>
        <v>1</v>
      </c>
      <c r="B57">
        <v>9</v>
      </c>
      <c r="C57" s="5">
        <v>5.4398148148148149E-6</v>
      </c>
      <c r="D57">
        <v>7</v>
      </c>
      <c r="E57">
        <v>4</v>
      </c>
      <c r="F57">
        <v>1</v>
      </c>
      <c r="G57" s="5">
        <v>2.1990740740740739E-6</v>
      </c>
      <c r="H57" s="5">
        <v>6.9445601851851847E-3</v>
      </c>
      <c r="I57" s="5">
        <v>3.2520833333333334E-3</v>
      </c>
      <c r="J57" s="5">
        <v>2.1990740740740739E-6</v>
      </c>
      <c r="L57"/>
      <c r="M57"/>
      <c r="N57"/>
      <c r="O57"/>
      <c r="P57" s="1"/>
      <c r="R57" s="2">
        <v>1</v>
      </c>
      <c r="S57" cm="1">
        <f t="array" aca="1" ref="S57" ca="1">_xlfn.MAXIFS(COL(bench,"wine"), COL(bench,"model"), $R57, COL(bench,"instance"), INDEX($Q:$Q, ROW()-$R57), COL(bench,"time"),"&lt;="&amp;S$1)</f>
        <v>8.5</v>
      </c>
      <c r="T57" cm="1">
        <f t="array" aca="1" ref="T57" ca="1">_xlfn.MAXIFS(COL(bench,"wine"), COL(bench,"model"), $R57, COL(bench,"instance"), INDEX($Q:$Q, ROW()-$R57), COL(bench,"time"),"&lt;="&amp;T$1)-SUM($S57:S57)</f>
        <v>0</v>
      </c>
      <c r="U57" cm="1">
        <f t="array" aca="1" ref="U57" ca="1">_xlfn.MAXIFS(COL(bench,"wine"), COL(bench,"model"), $R57, COL(bench,"instance"), INDEX($Q:$Q, ROW()-$R57), COL(bench,"time"),"&lt;="&amp;U$1)-SUM($S57:T57)</f>
        <v>0.375</v>
      </c>
      <c r="V57" cm="1">
        <f t="array" aca="1" ref="V57" ca="1">_xlfn.MAXIFS(COL(bench,"wine"), COL(bench,"model"), $R57, COL(bench,"instance"), INDEX($Q:$Q, ROW()-$R57), COL(bench,"time"),"&lt;="&amp;V$1)-SUM($S57:U57)</f>
        <v>0</v>
      </c>
      <c r="W57" cm="1">
        <f t="array" aca="1" ref="W57" ca="1">_xlfn.MAXIFS(COL(bench,"wine"), COL(bench,"model"), $R57, COL(bench,"instance"), INDEX($Q:$Q, ROW()-$R57), COL(bench,"time"),"&lt;="&amp;W$1)-SUM($S57:V57)</f>
        <v>0</v>
      </c>
      <c r="X57" t="e" cm="1">
        <f t="array" ref="X57" xml:space="preserve"> _xlfn.LET(
  _xlpm.idx, _xlfn.XMATCH(1,
      (COL(summary,"model")=$R57)*(COL(summary,"instance")=INDEX($Q:$Q, ROW()-$R57))),
  IFERROR(INDEX(COL(summary,"objective"), _xlpm.idx), #N/A)
)</f>
        <v>#N/A</v>
      </c>
    </row>
    <row r="58" spans="1:29" x14ac:dyDescent="0.25">
      <c r="A58">
        <f ca="1">IF(_372845237[[#This Row],[instance]]&lt;OFFSET(_372845237[[#This Row],[instance]],-1,0), OFFSET(_372845237[[#This Row],[model]],-1,0)+1, OFFSET(_372845237[[#This Row],[model]],-1,0))</f>
        <v>1</v>
      </c>
      <c r="B58">
        <v>9</v>
      </c>
      <c r="C58" s="5">
        <v>5.555555555555555E-6</v>
      </c>
      <c r="D58">
        <v>8</v>
      </c>
      <c r="E58">
        <v>5</v>
      </c>
      <c r="F58">
        <v>1</v>
      </c>
      <c r="G58" s="5">
        <v>2.1990740740740739E-6</v>
      </c>
      <c r="H58" s="5">
        <v>6.9445601851851847E-3</v>
      </c>
      <c r="I58" s="5">
        <v>3.2520833333333334E-3</v>
      </c>
      <c r="J58" s="5">
        <v>2.1990740740740739E-6</v>
      </c>
      <c r="L58"/>
      <c r="M58"/>
      <c r="N58"/>
      <c r="O58"/>
      <c r="P58" s="1"/>
      <c r="R58" s="2">
        <v>2</v>
      </c>
      <c r="S58" cm="1">
        <f t="array" aca="1" ref="S58" ca="1">_xlfn.MAXIFS(COL(bench,"wine"), COL(bench,"model"), $R58, COL(bench,"instance"), INDEX($Q:$Q, ROW()-$R58), COL(bench,"time"),"&lt;="&amp;S$1)</f>
        <v>8.5</v>
      </c>
      <c r="T58" cm="1">
        <f t="array" aca="1" ref="T58" ca="1">_xlfn.MAXIFS(COL(bench,"wine"), COL(bench,"model"), $R58, COL(bench,"instance"), INDEX($Q:$Q, ROW()-$R58), COL(bench,"time"),"&lt;="&amp;T$1)-SUM($S58:S58)</f>
        <v>0</v>
      </c>
      <c r="U58" cm="1">
        <f t="array" aca="1" ref="U58" ca="1">_xlfn.MAXIFS(COL(bench,"wine"), COL(bench,"model"), $R58, COL(bench,"instance"), INDEX($Q:$Q, ROW()-$R58), COL(bench,"time"),"&lt;="&amp;U$1)-SUM($S58:T58)</f>
        <v>0</v>
      </c>
      <c r="V58" cm="1">
        <f t="array" aca="1" ref="V58" ca="1">_xlfn.MAXIFS(COL(bench,"wine"), COL(bench,"model"), $R58, COL(bench,"instance"), INDEX($Q:$Q, ROW()-$R58), COL(bench,"time"),"&lt;="&amp;V$1)-SUM($S58:U58)</f>
        <v>0.375</v>
      </c>
      <c r="W58" cm="1">
        <f t="array" aca="1" ref="W58" ca="1">_xlfn.MAXIFS(COL(bench,"wine"), COL(bench,"model"), $R58, COL(bench,"instance"), INDEX($Q:$Q, ROW()-$R58), COL(bench,"time"),"&lt;="&amp;W$1)-SUM($S58:V58)</f>
        <v>0</v>
      </c>
      <c r="X58" t="e" cm="1">
        <f t="array" ref="X58" xml:space="preserve"> _xlfn.LET(
  _xlpm.idx, _xlfn.XMATCH(1,
      (COL(summary,"model")=$R58)*(COL(summary,"instance")=INDEX($Q:$Q, ROW()-$R58))),
  IFERROR(INDEX(COL(summary,"objective"), _xlpm.idx), #N/A)
)</f>
        <v>#N/A</v>
      </c>
    </row>
    <row r="59" spans="1:29" x14ac:dyDescent="0.25">
      <c r="A59">
        <f ca="1">IF(_372845237[[#This Row],[instance]]&lt;OFFSET(_372845237[[#This Row],[instance]],-1,0), OFFSET(_372845237[[#This Row],[model]],-1,0)+1, OFFSET(_372845237[[#This Row],[model]],-1,0))</f>
        <v>1</v>
      </c>
      <c r="B59">
        <v>9</v>
      </c>
      <c r="C59" s="5">
        <v>5.555555555555555E-6</v>
      </c>
      <c r="D59">
        <v>9</v>
      </c>
      <c r="E59">
        <v>6</v>
      </c>
      <c r="F59">
        <v>1</v>
      </c>
      <c r="G59" s="5">
        <v>2.1990740740740739E-6</v>
      </c>
      <c r="H59" s="5">
        <v>6.9445601851851847E-3</v>
      </c>
      <c r="I59" s="5">
        <v>3.2520833333333334E-3</v>
      </c>
      <c r="J59" s="5">
        <v>2.1990740740740739E-6</v>
      </c>
      <c r="L59"/>
      <c r="M59"/>
      <c r="N59"/>
      <c r="O59"/>
      <c r="P59" s="1"/>
      <c r="R59" s="2">
        <v>3</v>
      </c>
      <c r="S59" cm="1">
        <f t="array" aca="1" ref="S59" ca="1">_xlfn.MAXIFS(COL(bench,"wine"), COL(bench,"model"), $R59, COL(bench,"instance"), INDEX($Q:$Q, ROW()-$R59), COL(bench,"time"),"&lt;="&amp;S$1)</f>
        <v>1.125</v>
      </c>
      <c r="T59" cm="1">
        <f t="array" aca="1" ref="T59" ca="1">_xlfn.MAXIFS(COL(bench,"wine"), COL(bench,"model"), $R59, COL(bench,"instance"), INDEX($Q:$Q, ROW()-$R59), COL(bench,"time"),"&lt;="&amp;T$1)-SUM($S59:S59)</f>
        <v>8.5</v>
      </c>
      <c r="U59" cm="1">
        <f t="array" aca="1" ref="U59" ca="1">_xlfn.MAXIFS(COL(bench,"wine"), COL(bench,"model"), $R59, COL(bench,"instance"), INDEX($Q:$Q, ROW()-$R59), COL(bench,"time"),"&lt;="&amp;U$1)-SUM($S59:T59)</f>
        <v>0</v>
      </c>
      <c r="V59" cm="1">
        <f t="array" aca="1" ref="V59" ca="1">_xlfn.MAXIFS(COL(bench,"wine"), COL(bench,"model"), $R59, COL(bench,"instance"), INDEX($Q:$Q, ROW()-$R59), COL(bench,"time"),"&lt;="&amp;V$1)-SUM($S59:U59)</f>
        <v>0</v>
      </c>
      <c r="W59" cm="1">
        <f t="array" aca="1" ref="W59" ca="1">_xlfn.MAXIFS(COL(bench,"wine"), COL(bench,"model"), $R59, COL(bench,"instance"), INDEX($Q:$Q, ROW()-$R59), COL(bench,"time"),"&lt;="&amp;W$1)-SUM($S59:V59)</f>
        <v>0</v>
      </c>
      <c r="X59" t="e" cm="1">
        <f t="array" ref="X59" xml:space="preserve"> _xlfn.LET(
  _xlpm.idx, _xlfn.XMATCH(1,
      (COL(summary,"model")=$R59)*(COL(summary,"instance")=INDEX($Q:$Q, ROW()-$R59))),
  IFERROR(INDEX(COL(summary,"objective"), _xlpm.idx), #N/A)
)</f>
        <v>#N/A</v>
      </c>
    </row>
    <row r="60" spans="1:29" x14ac:dyDescent="0.25">
      <c r="A60">
        <f ca="1">IF(_372845237[[#This Row],[instance]]&lt;OFFSET(_372845237[[#This Row],[instance]],-1,0), OFFSET(_372845237[[#This Row],[model]],-1,0)+1, OFFSET(_372845237[[#This Row],[model]],-1,0))</f>
        <v>1</v>
      </c>
      <c r="B60">
        <v>10</v>
      </c>
      <c r="C60" s="5">
        <v>5.555555555555555E-6</v>
      </c>
      <c r="D60">
        <v>0</v>
      </c>
      <c r="E60">
        <v>0</v>
      </c>
      <c r="F60">
        <v>0</v>
      </c>
      <c r="G60" s="5">
        <v>2.1990740740740739E-6</v>
      </c>
      <c r="H60" s="5">
        <v>6.9446759259259253E-3</v>
      </c>
      <c r="I60" s="5">
        <v>3.2520833333333334E-3</v>
      </c>
      <c r="J60" s="5">
        <v>2.1990740740740739E-6</v>
      </c>
      <c r="L60"/>
      <c r="M60"/>
      <c r="N60"/>
      <c r="O60"/>
      <c r="P60" s="1"/>
      <c r="R60" s="2">
        <v>4</v>
      </c>
      <c r="S60" cm="1">
        <f t="array" aca="1" ref="S60" ca="1">_xlfn.MAXIFS(COL(bench,"wine"), COL(bench,"model"), $R60, COL(bench,"instance"), INDEX($Q:$Q, ROW()-$R60), COL(bench,"time"),"&lt;="&amp;S$1)</f>
        <v>8.125</v>
      </c>
      <c r="T60" cm="1">
        <f t="array" aca="1" ref="T60" ca="1">_xlfn.MAXIFS(COL(bench,"wine"), COL(bench,"model"), $R60, COL(bench,"instance"), INDEX($Q:$Q, ROW()-$R60), COL(bench,"time"),"&lt;="&amp;T$1)-SUM($S60:S60)</f>
        <v>0</v>
      </c>
      <c r="U60" cm="1">
        <f t="array" aca="1" ref="U60" ca="1">_xlfn.MAXIFS(COL(bench,"wine"), COL(bench,"model"), $R60, COL(bench,"instance"), INDEX($Q:$Q, ROW()-$R60), COL(bench,"time"),"&lt;="&amp;U$1)-SUM($S60:T60)</f>
        <v>0</v>
      </c>
      <c r="V60" cm="1">
        <f t="array" aca="1" ref="V60" ca="1">_xlfn.MAXIFS(COL(bench,"wine"), COL(bench,"model"), $R60, COL(bench,"instance"), INDEX($Q:$Q, ROW()-$R60), COL(bench,"time"),"&lt;="&amp;V$1)-SUM($S60:U60)</f>
        <v>0</v>
      </c>
      <c r="W60" cm="1">
        <f t="array" aca="1" ref="W60" ca="1">_xlfn.MAXIFS(COL(bench,"wine"), COL(bench,"model"), $R60, COL(bench,"instance"), INDEX($Q:$Q, ROW()-$R60), COL(bench,"time"),"&lt;="&amp;W$1)-SUM($S60:V60)</f>
        <v>0</v>
      </c>
      <c r="X60" t="e" cm="1">
        <f t="array" ref="X60" xml:space="preserve"> _xlfn.LET(
  _xlpm.idx, _xlfn.XMATCH(1,
      (COL(summary,"model")=$R60)*(COL(summary,"instance")=INDEX($Q:$Q, ROW()-$R60))),
  IFERROR(INDEX(COL(summary,"objective"), _xlpm.idx), #N/A)
)</f>
        <v>#N/A</v>
      </c>
    </row>
    <row r="61" spans="1:29" x14ac:dyDescent="0.25">
      <c r="A61">
        <f ca="1">IF(_372845237[[#This Row],[instance]]&lt;OFFSET(_372845237[[#This Row],[instance]],-1,0), OFFSET(_372845237[[#This Row],[model]],-1,0)+1, OFFSET(_372845237[[#This Row],[model]],-1,0))</f>
        <v>1</v>
      </c>
      <c r="B61">
        <v>10</v>
      </c>
      <c r="C61" s="5">
        <v>5.555555555555555E-6</v>
      </c>
      <c r="D61">
        <v>7</v>
      </c>
      <c r="E61">
        <v>3</v>
      </c>
      <c r="F61">
        <v>1</v>
      </c>
      <c r="G61" s="5">
        <v>2.1990740740740739E-6</v>
      </c>
      <c r="H61" s="5">
        <v>6.9446759259259253E-3</v>
      </c>
      <c r="I61" s="5">
        <v>3.2520833333333334E-3</v>
      </c>
      <c r="J61" s="5">
        <v>2.1990740740740739E-6</v>
      </c>
      <c r="L61"/>
      <c r="M61"/>
      <c r="N61"/>
      <c r="O61"/>
      <c r="P61" s="1"/>
    </row>
    <row r="62" spans="1:29" x14ac:dyDescent="0.25">
      <c r="A62">
        <f ca="1">IF(_372845237[[#This Row],[instance]]&lt;OFFSET(_372845237[[#This Row],[instance]],-1,0), OFFSET(_372845237[[#This Row],[model]],-1,0)+1, OFFSET(_372845237[[#This Row],[model]],-1,0))</f>
        <v>1</v>
      </c>
      <c r="B62">
        <v>10</v>
      </c>
      <c r="C62" s="5">
        <v>5.555555555555555E-6</v>
      </c>
      <c r="D62">
        <v>7.75</v>
      </c>
      <c r="E62">
        <v>4</v>
      </c>
      <c r="F62">
        <v>1</v>
      </c>
      <c r="G62" s="5">
        <v>2.1990740740740739E-6</v>
      </c>
      <c r="H62" s="5">
        <v>6.9446759259259253E-3</v>
      </c>
      <c r="I62" s="5">
        <v>3.2520833333333334E-3</v>
      </c>
      <c r="J62" s="5">
        <v>2.1990740740740739E-6</v>
      </c>
      <c r="P62" s="1"/>
      <c r="Q62">
        <v>11</v>
      </c>
    </row>
    <row r="63" spans="1:29" x14ac:dyDescent="0.25">
      <c r="A63">
        <f ca="1">IF(_372845237[[#This Row],[instance]]&lt;OFFSET(_372845237[[#This Row],[instance]],-1,0), OFFSET(_372845237[[#This Row],[model]],-1,0)+1, OFFSET(_372845237[[#This Row],[model]],-1,0))</f>
        <v>1</v>
      </c>
      <c r="B63">
        <v>10</v>
      </c>
      <c r="C63" s="5">
        <v>5.6712962962962959E-6</v>
      </c>
      <c r="D63">
        <v>8.5</v>
      </c>
      <c r="E63">
        <v>5</v>
      </c>
      <c r="F63">
        <v>1</v>
      </c>
      <c r="G63" s="5">
        <v>2.1990740740740739E-6</v>
      </c>
      <c r="H63" s="5">
        <v>6.9446759259259253E-3</v>
      </c>
      <c r="I63" s="5">
        <v>3.2520833333333334E-3</v>
      </c>
      <c r="J63" s="5">
        <v>2.1990740740740739E-6</v>
      </c>
      <c r="P63" s="1"/>
      <c r="R63" s="2">
        <v>1</v>
      </c>
      <c r="S63" cm="1">
        <f t="array" aca="1" ref="S63" ca="1">_xlfn.MAXIFS(COL(bench,"wine"), COL(bench,"model"), $R63, COL(bench,"instance"), INDEX($Q:$Q, ROW()-$R63), COL(bench,"time"),"&lt;="&amp;S$1)</f>
        <v>3</v>
      </c>
      <c r="T63" cm="1">
        <f t="array" aca="1" ref="T63" ca="1">_xlfn.MAXIFS(COL(bench,"wine"), COL(bench,"model"), $R63, COL(bench,"instance"), INDEX($Q:$Q, ROW()-$R63), COL(bench,"time"),"&lt;="&amp;T$1)-SUM($S63:S63)</f>
        <v>0</v>
      </c>
      <c r="U63" cm="1">
        <f t="array" aca="1" ref="U63" ca="1">_xlfn.MAXIFS(COL(bench,"wine"), COL(bench,"model"), $R63, COL(bench,"instance"), INDEX($Q:$Q, ROW()-$R63), COL(bench,"time"),"&lt;="&amp;U$1)-SUM($S63:T63)</f>
        <v>0</v>
      </c>
      <c r="V63" cm="1">
        <f t="array" aca="1" ref="V63" ca="1">_xlfn.MAXIFS(COL(bench,"wine"), COL(bench,"model"), $R63, COL(bench,"instance"), INDEX($Q:$Q, ROW()-$R63), COL(bench,"time"),"&lt;="&amp;V$1)-SUM($S63:U63)</f>
        <v>0</v>
      </c>
      <c r="W63" cm="1">
        <f t="array" aca="1" ref="W63" ca="1">_xlfn.MAXIFS(COL(bench,"wine"), COL(bench,"model"), $R63, COL(bench,"instance"), INDEX($Q:$Q, ROW()-$R63), COL(bench,"time"),"&lt;="&amp;W$1)-SUM($S63:V63)</f>
        <v>0</v>
      </c>
      <c r="X63" t="e" cm="1">
        <f t="array" ref="X63" xml:space="preserve"> _xlfn.LET(
  _xlpm.idx, _xlfn.XMATCH(1,
      (COL(summary,"model")=$R63)*(COL(summary,"instance")=INDEX($Q:$Q, ROW()-$R63))),
  IFERROR(INDEX(COL(summary,"objective"), _xlpm.idx), #N/A)
)</f>
        <v>#N/A</v>
      </c>
    </row>
    <row r="64" spans="1:29" x14ac:dyDescent="0.25">
      <c r="A64">
        <f ca="1">IF(_372845237[[#This Row],[instance]]&lt;OFFSET(_372845237[[#This Row],[instance]],-1,0), OFFSET(_372845237[[#This Row],[model]],-1,0)+1, OFFSET(_372845237[[#This Row],[model]],-1,0))</f>
        <v>1</v>
      </c>
      <c r="B64">
        <v>10</v>
      </c>
      <c r="C64" s="5">
        <v>5.0555555555555553E-4</v>
      </c>
      <c r="D64">
        <v>8.875</v>
      </c>
      <c r="E64">
        <v>6</v>
      </c>
      <c r="F64">
        <v>1</v>
      </c>
      <c r="G64" s="5">
        <v>2.1990740740740739E-6</v>
      </c>
      <c r="H64" s="5">
        <v>6.9446759259259253E-3</v>
      </c>
      <c r="I64" s="5">
        <v>3.2520833333333334E-3</v>
      </c>
      <c r="J64" s="5">
        <v>2.1990740740740739E-6</v>
      </c>
      <c r="P64" s="1"/>
      <c r="R64" s="2">
        <v>2</v>
      </c>
      <c r="S64" cm="1">
        <f t="array" aca="1" ref="S64" ca="1">_xlfn.MAXIFS(COL(bench,"wine"), COL(bench,"model"), $R64, COL(bench,"instance"), INDEX($Q:$Q, ROW()-$R64), COL(bench,"time"),"&lt;="&amp;S$1)</f>
        <v>0</v>
      </c>
      <c r="T64" cm="1">
        <f t="array" aca="1" ref="T64" ca="1">_xlfn.MAXIFS(COL(bench,"wine"), COL(bench,"model"), $R64, COL(bench,"instance"), INDEX($Q:$Q, ROW()-$R64), COL(bench,"time"),"&lt;="&amp;T$1)-SUM($S64:S64)</f>
        <v>0</v>
      </c>
      <c r="U64" cm="1">
        <f t="array" aca="1" ref="U64" ca="1">_xlfn.MAXIFS(COL(bench,"wine"), COL(bench,"model"), $R64, COL(bench,"instance"), INDEX($Q:$Q, ROW()-$R64), COL(bench,"time"),"&lt;="&amp;U$1)-SUM($S64:T64)</f>
        <v>3.375</v>
      </c>
      <c r="V64" cm="1">
        <f t="array" aca="1" ref="V64" ca="1">_xlfn.MAXIFS(COL(bench,"wine"), COL(bench,"model"), $R64, COL(bench,"instance"), INDEX($Q:$Q, ROW()-$R64), COL(bench,"time"),"&lt;="&amp;V$1)-SUM($S64:U64)</f>
        <v>0</v>
      </c>
      <c r="W64" cm="1">
        <f t="array" aca="1" ref="W64" ca="1">_xlfn.MAXIFS(COL(bench,"wine"), COL(bench,"model"), $R64, COL(bench,"instance"), INDEX($Q:$Q, ROW()-$R64), COL(bench,"time"),"&lt;="&amp;W$1)-SUM($S64:V64)</f>
        <v>0.375</v>
      </c>
      <c r="X64" t="e" cm="1">
        <f t="array" ref="X64" xml:space="preserve"> _xlfn.LET(
  _xlpm.idx, _xlfn.XMATCH(1,
      (COL(summary,"model")=$R64)*(COL(summary,"instance")=INDEX($Q:$Q, ROW()-$R64))),
  IFERROR(INDEX(COL(summary,"objective"), _xlpm.idx), #N/A)
)</f>
        <v>#N/A</v>
      </c>
    </row>
    <row r="65" spans="1:24" x14ac:dyDescent="0.25">
      <c r="A65">
        <f ca="1">IF(_372845237[[#This Row],[instance]]&lt;OFFSET(_372845237[[#This Row],[instance]],-1,0), OFFSET(_372845237[[#This Row],[model]],-1,0)+1, OFFSET(_372845237[[#This Row],[model]],-1,0))</f>
        <v>1</v>
      </c>
      <c r="B65">
        <v>11</v>
      </c>
      <c r="C65" s="5">
        <v>5.4398148148148149E-6</v>
      </c>
      <c r="D65">
        <v>0</v>
      </c>
      <c r="E65">
        <v>0</v>
      </c>
      <c r="F65">
        <v>0</v>
      </c>
      <c r="G65" s="5">
        <v>2.0833333333333334E-6</v>
      </c>
      <c r="H65" s="5">
        <v>6.9445601851851847E-3</v>
      </c>
      <c r="I65" s="5">
        <v>3.2520833333333334E-3</v>
      </c>
      <c r="J65" s="5">
        <v>2.1990740740740739E-6</v>
      </c>
      <c r="P65" s="1"/>
      <c r="R65" s="2">
        <v>3</v>
      </c>
      <c r="S65" cm="1">
        <f t="array" aca="1" ref="S65" ca="1">_xlfn.MAXIFS(COL(bench,"wine"), COL(bench,"model"), $R65, COL(bench,"instance"), INDEX($Q:$Q, ROW()-$R65), COL(bench,"time"),"&lt;="&amp;S$1)</f>
        <v>3.75</v>
      </c>
      <c r="T65" cm="1">
        <f t="array" aca="1" ref="T65" ca="1">_xlfn.MAXIFS(COL(bench,"wine"), COL(bench,"model"), $R65, COL(bench,"instance"), INDEX($Q:$Q, ROW()-$R65), COL(bench,"time"),"&lt;="&amp;T$1)-SUM($S65:S65)</f>
        <v>0</v>
      </c>
      <c r="U65" cm="1">
        <f t="array" aca="1" ref="U65" ca="1">_xlfn.MAXIFS(COL(bench,"wine"), COL(bench,"model"), $R65, COL(bench,"instance"), INDEX($Q:$Q, ROW()-$R65), COL(bench,"time"),"&lt;="&amp;U$1)-SUM($S65:T65)</f>
        <v>0</v>
      </c>
      <c r="V65" cm="1">
        <f t="array" aca="1" ref="V65" ca="1">_xlfn.MAXIFS(COL(bench,"wine"), COL(bench,"model"), $R65, COL(bench,"instance"), INDEX($Q:$Q, ROW()-$R65), COL(bench,"time"),"&lt;="&amp;V$1)-SUM($S65:U65)</f>
        <v>0</v>
      </c>
      <c r="W65" cm="1">
        <f t="array" aca="1" ref="W65" ca="1">_xlfn.MAXIFS(COL(bench,"wine"), COL(bench,"model"), $R65, COL(bench,"instance"), INDEX($Q:$Q, ROW()-$R65), COL(bench,"time"),"&lt;="&amp;W$1)-SUM($S65:V65)</f>
        <v>0</v>
      </c>
      <c r="X65" t="e" cm="1">
        <f t="array" ref="X65" xml:space="preserve"> _xlfn.LET(
  _xlpm.idx, _xlfn.XMATCH(1,
      (COL(summary,"model")=$R65)*(COL(summary,"instance")=INDEX($Q:$Q, ROW()-$R65))),
  IFERROR(INDEX(COL(summary,"objective"), _xlpm.idx), #N/A)
)</f>
        <v>#N/A</v>
      </c>
    </row>
    <row r="66" spans="1:24" x14ac:dyDescent="0.25">
      <c r="A66">
        <f ca="1">IF(_372845237[[#This Row],[instance]]&lt;OFFSET(_372845237[[#This Row],[instance]],-1,0), OFFSET(_372845237[[#This Row],[model]],-1,0)+1, OFFSET(_372845237[[#This Row],[model]],-1,0))</f>
        <v>1</v>
      </c>
      <c r="B66">
        <v>11</v>
      </c>
      <c r="C66" s="5">
        <v>7.4074074074074075E-6</v>
      </c>
      <c r="D66">
        <v>3</v>
      </c>
      <c r="E66">
        <v>4</v>
      </c>
      <c r="F66">
        <v>1</v>
      </c>
      <c r="G66" s="5">
        <v>2.0833333333333334E-6</v>
      </c>
      <c r="H66" s="5">
        <v>6.9445601851851847E-3</v>
      </c>
      <c r="I66" s="5">
        <v>3.2520833333333334E-3</v>
      </c>
      <c r="J66" s="5">
        <v>2.1990740740740739E-6</v>
      </c>
      <c r="P66" s="1"/>
      <c r="R66" s="2">
        <v>4</v>
      </c>
      <c r="S66" cm="1">
        <f t="array" aca="1" ref="S66" ca="1">_xlfn.MAXIFS(COL(bench,"wine"), COL(bench,"model"), $R66, COL(bench,"instance"), INDEX($Q:$Q, ROW()-$R66), COL(bench,"time"),"&lt;="&amp;S$1)</f>
        <v>3.75</v>
      </c>
      <c r="T66" cm="1">
        <f t="array" aca="1" ref="T66" ca="1">_xlfn.MAXIFS(COL(bench,"wine"), COL(bench,"model"), $R66, COL(bench,"instance"), INDEX($Q:$Q, ROW()-$R66), COL(bench,"time"),"&lt;="&amp;T$1)-SUM($S66:S66)</f>
        <v>0</v>
      </c>
      <c r="U66" cm="1">
        <f t="array" aca="1" ref="U66" ca="1">_xlfn.MAXIFS(COL(bench,"wine"), COL(bench,"model"), $R66, COL(bench,"instance"), INDEX($Q:$Q, ROW()-$R66), COL(bench,"time"),"&lt;="&amp;U$1)-SUM($S66:T66)</f>
        <v>0</v>
      </c>
      <c r="V66" cm="1">
        <f t="array" aca="1" ref="V66" ca="1">_xlfn.MAXIFS(COL(bench,"wine"), COL(bench,"model"), $R66, COL(bench,"instance"), INDEX($Q:$Q, ROW()-$R66), COL(bench,"time"),"&lt;="&amp;V$1)-SUM($S66:U66)</f>
        <v>0</v>
      </c>
      <c r="W66" cm="1">
        <f t="array" aca="1" ref="W66" ca="1">_xlfn.MAXIFS(COL(bench,"wine"), COL(bench,"model"), $R66, COL(bench,"instance"), INDEX($Q:$Q, ROW()-$R66), COL(bench,"time"),"&lt;="&amp;W$1)-SUM($S66:V66)</f>
        <v>0</v>
      </c>
      <c r="X66" t="e" cm="1">
        <f t="array" ref="X66" xml:space="preserve"> _xlfn.LET(
  _xlpm.idx, _xlfn.XMATCH(1,
      (COL(summary,"model")=$R66)*(COL(summary,"instance")=INDEX($Q:$Q, ROW()-$R66))),
  IFERROR(INDEX(COL(summary,"objective"), _xlpm.idx), #N/A)
)</f>
        <v>#N/A</v>
      </c>
    </row>
    <row r="67" spans="1:24" x14ac:dyDescent="0.25">
      <c r="A67">
        <f ca="1">IF(_372845237[[#This Row],[instance]]&lt;OFFSET(_372845237[[#This Row],[instance]],-1,0), OFFSET(_372845237[[#This Row],[model]],-1,0)+1, OFFSET(_372845237[[#This Row],[model]],-1,0))</f>
        <v>1</v>
      </c>
      <c r="B67">
        <v>12</v>
      </c>
      <c r="C67" s="5">
        <v>5.324074074074074E-6</v>
      </c>
      <c r="D67">
        <v>0</v>
      </c>
      <c r="E67">
        <v>0</v>
      </c>
      <c r="F67">
        <v>0</v>
      </c>
      <c r="G67" s="5">
        <v>2.0833333333333334E-6</v>
      </c>
      <c r="H67" s="5">
        <v>9.1435185185185174E-6</v>
      </c>
      <c r="I67" s="5">
        <v>3.2520833333333334E-3</v>
      </c>
      <c r="J67" s="5">
        <v>2.1990740740740739E-6</v>
      </c>
      <c r="P67" s="1"/>
    </row>
    <row r="68" spans="1:24" x14ac:dyDescent="0.25">
      <c r="A68">
        <f ca="1">IF(_372845237[[#This Row],[instance]]&lt;OFFSET(_372845237[[#This Row],[instance]],-1,0), OFFSET(_372845237[[#This Row],[model]],-1,0)+1, OFFSET(_372845237[[#This Row],[model]],-1,0))</f>
        <v>1</v>
      </c>
      <c r="B68">
        <v>12</v>
      </c>
      <c r="C68" s="5">
        <v>5.324074074074074E-6</v>
      </c>
      <c r="D68">
        <v>3</v>
      </c>
      <c r="E68">
        <v>1</v>
      </c>
      <c r="F68">
        <v>1</v>
      </c>
      <c r="G68" s="5">
        <v>2.0833333333333334E-6</v>
      </c>
      <c r="H68" s="5">
        <v>9.1435185185185174E-6</v>
      </c>
      <c r="I68" s="5">
        <v>3.2520833333333334E-3</v>
      </c>
      <c r="J68" s="5">
        <v>2.1990740740740739E-6</v>
      </c>
      <c r="P68" s="1"/>
      <c r="Q68">
        <v>12</v>
      </c>
    </row>
    <row r="69" spans="1:24" x14ac:dyDescent="0.25">
      <c r="A69">
        <f ca="1">IF(_372845237[[#This Row],[instance]]&lt;OFFSET(_372845237[[#This Row],[instance]],-1,0), OFFSET(_372845237[[#This Row],[model]],-1,0)+1, OFFSET(_372845237[[#This Row],[model]],-1,0))</f>
        <v>1</v>
      </c>
      <c r="B69">
        <v>12</v>
      </c>
      <c r="C69" s="5">
        <v>5.324074074074074E-6</v>
      </c>
      <c r="D69">
        <v>6</v>
      </c>
      <c r="E69">
        <v>2</v>
      </c>
      <c r="F69">
        <v>2</v>
      </c>
      <c r="G69" s="5">
        <v>2.0833333333333334E-6</v>
      </c>
      <c r="H69" s="5">
        <v>9.1435185185185174E-6</v>
      </c>
      <c r="I69" s="5">
        <v>3.2520833333333334E-3</v>
      </c>
      <c r="J69" s="5">
        <v>2.1990740740740739E-6</v>
      </c>
      <c r="P69" s="1"/>
      <c r="R69" s="2">
        <v>1</v>
      </c>
      <c r="S69" cm="1">
        <f t="array" aca="1" ref="S69" ca="1">_xlfn.MAXIFS(COL(bench,"wine"), COL(bench,"model"), $R69, COL(bench,"instance"), INDEX($Q:$Q, ROW()-$R69), COL(bench,"time"),"&lt;="&amp;S$1)</f>
        <v>6</v>
      </c>
      <c r="T69" cm="1">
        <f t="array" aca="1" ref="T69" ca="1">_xlfn.MAXIFS(COL(bench,"wine"), COL(bench,"model"), $R69, COL(bench,"instance"), INDEX($Q:$Q, ROW()-$R69), COL(bench,"time"),"&lt;="&amp;T$1)-SUM($S69:S69)</f>
        <v>0</v>
      </c>
      <c r="U69" cm="1">
        <f t="array" aca="1" ref="U69" ca="1">_xlfn.MAXIFS(COL(bench,"wine"), COL(bench,"model"), $R69, COL(bench,"instance"), INDEX($Q:$Q, ROW()-$R69), COL(bench,"time"),"&lt;="&amp;U$1)-SUM($S69:T69)</f>
        <v>0</v>
      </c>
      <c r="V69" cm="1">
        <f t="array" aca="1" ref="V69" ca="1">_xlfn.MAXIFS(COL(bench,"wine"), COL(bench,"model"), $R69, COL(bench,"instance"), INDEX($Q:$Q, ROW()-$R69), COL(bench,"time"),"&lt;="&amp;V$1)-SUM($S69:U69)</f>
        <v>0</v>
      </c>
      <c r="W69" cm="1">
        <f t="array" aca="1" ref="W69" ca="1">_xlfn.MAXIFS(COL(bench,"wine"), COL(bench,"model"), $R69, COL(bench,"instance"), INDEX($Q:$Q, ROW()-$R69), COL(bench,"time"),"&lt;="&amp;W$1)-SUM($S69:V69)</f>
        <v>0</v>
      </c>
      <c r="X69" cm="1">
        <f t="array" ref="X69" xml:space="preserve"> _xlfn.LET(
  _xlpm.idx, _xlfn.XMATCH(1,
      (COL(summary,"model")=$R69)*(COL(summary,"instance")=INDEX($Q:$Q, ROW()-$R69))),
  IFERROR(INDEX(COL(summary,"objective"), _xlpm.idx), #N/A)
)</f>
        <v>6</v>
      </c>
    </row>
    <row r="70" spans="1:24" x14ac:dyDescent="0.25">
      <c r="A70">
        <f ca="1">IF(_372845237[[#This Row],[instance]]&lt;OFFSET(_372845237[[#This Row],[instance]],-1,0), OFFSET(_372845237[[#This Row],[model]],-1,0)+1, OFFSET(_372845237[[#This Row],[model]],-1,0))</f>
        <v>1</v>
      </c>
      <c r="B70">
        <v>13</v>
      </c>
      <c r="C70" s="5">
        <v>5.324074074074074E-6</v>
      </c>
      <c r="D70">
        <v>0</v>
      </c>
      <c r="E70">
        <v>0</v>
      </c>
      <c r="F70">
        <v>0</v>
      </c>
      <c r="G70" s="5">
        <v>2.1990740740740739E-6</v>
      </c>
      <c r="H70" s="5">
        <v>2.662037037037037E-6</v>
      </c>
      <c r="I70" s="5">
        <v>3.2520833333333334E-3</v>
      </c>
      <c r="J70" s="5">
        <v>2.1990740740740739E-6</v>
      </c>
      <c r="P70" s="1"/>
      <c r="R70" s="2">
        <v>2</v>
      </c>
      <c r="S70" cm="1">
        <f t="array" aca="1" ref="S70" ca="1">_xlfn.MAXIFS(COL(bench,"wine"), COL(bench,"model"), $R70, COL(bench,"instance"), INDEX($Q:$Q, ROW()-$R70), COL(bench,"time"),"&lt;="&amp;S$1)</f>
        <v>6</v>
      </c>
      <c r="T70" cm="1">
        <f t="array" aca="1" ref="T70" ca="1">_xlfn.MAXIFS(COL(bench,"wine"), COL(bench,"model"), $R70, COL(bench,"instance"), INDEX($Q:$Q, ROW()-$R70), COL(bench,"time"),"&lt;="&amp;T$1)-SUM($S70:S70)</f>
        <v>0</v>
      </c>
      <c r="U70" cm="1">
        <f t="array" aca="1" ref="U70" ca="1">_xlfn.MAXIFS(COL(bench,"wine"), COL(bench,"model"), $R70, COL(bench,"instance"), INDEX($Q:$Q, ROW()-$R70), COL(bench,"time"),"&lt;="&amp;U$1)-SUM($S70:T70)</f>
        <v>0</v>
      </c>
      <c r="V70" cm="1">
        <f t="array" aca="1" ref="V70" ca="1">_xlfn.MAXIFS(COL(bench,"wine"), COL(bench,"model"), $R70, COL(bench,"instance"), INDEX($Q:$Q, ROW()-$R70), COL(bench,"time"),"&lt;="&amp;V$1)-SUM($S70:U70)</f>
        <v>0</v>
      </c>
      <c r="W70" cm="1">
        <f t="array" aca="1" ref="W70" ca="1">_xlfn.MAXIFS(COL(bench,"wine"), COL(bench,"model"), $R70, COL(bench,"instance"), INDEX($Q:$Q, ROW()-$R70), COL(bench,"time"),"&lt;="&amp;W$1)-SUM($S70:V70)</f>
        <v>0</v>
      </c>
      <c r="X70" cm="1">
        <f t="array" ref="X70" xml:space="preserve"> _xlfn.LET(
  _xlpm.idx, _xlfn.XMATCH(1,
      (COL(summary,"model")=$R70)*(COL(summary,"instance")=INDEX($Q:$Q, ROW()-$R70))),
  IFERROR(INDEX(COL(summary,"objective"), _xlpm.idx), #N/A)
)</f>
        <v>6</v>
      </c>
    </row>
    <row r="71" spans="1:24" x14ac:dyDescent="0.25">
      <c r="A71">
        <f ca="1">IF(_372845237[[#This Row],[instance]]&lt;OFFSET(_372845237[[#This Row],[instance]],-1,0), OFFSET(_372845237[[#This Row],[model]],-1,0)+1, OFFSET(_372845237[[#This Row],[model]],-1,0))</f>
        <v>1</v>
      </c>
      <c r="B71">
        <v>14</v>
      </c>
      <c r="C71" s="5">
        <v>5.324074074074074E-6</v>
      </c>
      <c r="D71">
        <v>0</v>
      </c>
      <c r="E71">
        <v>0</v>
      </c>
      <c r="F71">
        <v>0</v>
      </c>
      <c r="G71" s="5">
        <v>2.1990740740740739E-6</v>
      </c>
      <c r="H71" s="5">
        <v>2.5462962962962961E-6</v>
      </c>
      <c r="I71" s="5">
        <v>3.2520833333333334E-3</v>
      </c>
      <c r="J71" s="5">
        <v>2.1990740740740739E-6</v>
      </c>
      <c r="P71" s="1"/>
      <c r="R71" s="2">
        <v>3</v>
      </c>
      <c r="S71" cm="1">
        <f t="array" aca="1" ref="S71" ca="1">_xlfn.MAXIFS(COL(bench,"wine"), COL(bench,"model"), $R71, COL(bench,"instance"), INDEX($Q:$Q, ROW()-$R71), COL(bench,"time"),"&lt;="&amp;S$1)</f>
        <v>6</v>
      </c>
      <c r="T71" cm="1">
        <f t="array" aca="1" ref="T71" ca="1">_xlfn.MAXIFS(COL(bench,"wine"), COL(bench,"model"), $R71, COL(bench,"instance"), INDEX($Q:$Q, ROW()-$R71), COL(bench,"time"),"&lt;="&amp;T$1)-SUM($S71:S71)</f>
        <v>0</v>
      </c>
      <c r="U71" cm="1">
        <f t="array" aca="1" ref="U71" ca="1">_xlfn.MAXIFS(COL(bench,"wine"), COL(bench,"model"), $R71, COL(bench,"instance"), INDEX($Q:$Q, ROW()-$R71), COL(bench,"time"),"&lt;="&amp;U$1)-SUM($S71:T71)</f>
        <v>0</v>
      </c>
      <c r="V71" cm="1">
        <f t="array" aca="1" ref="V71" ca="1">_xlfn.MAXIFS(COL(bench,"wine"), COL(bench,"model"), $R71, COL(bench,"instance"), INDEX($Q:$Q, ROW()-$R71), COL(bench,"time"),"&lt;="&amp;V$1)-SUM($S71:U71)</f>
        <v>0</v>
      </c>
      <c r="W71" cm="1">
        <f t="array" aca="1" ref="W71" ca="1">_xlfn.MAXIFS(COL(bench,"wine"), COL(bench,"model"), $R71, COL(bench,"instance"), INDEX($Q:$Q, ROW()-$R71), COL(bench,"time"),"&lt;="&amp;W$1)-SUM($S71:V71)</f>
        <v>0</v>
      </c>
      <c r="X71" t="e" cm="1">
        <f t="array" ref="X71" xml:space="preserve"> _xlfn.LET(
  _xlpm.idx, _xlfn.XMATCH(1,
      (COL(summary,"model")=$R71)*(COL(summary,"instance")=INDEX($Q:$Q, ROW()-$R71))),
  IFERROR(INDEX(COL(summary,"objective"), _xlpm.idx), #N/A)
)</f>
        <v>#N/A</v>
      </c>
    </row>
    <row r="72" spans="1:24" x14ac:dyDescent="0.25">
      <c r="A72">
        <f ca="1">IF(_372845237[[#This Row],[instance]]&lt;OFFSET(_372845237[[#This Row],[instance]],-1,0), OFFSET(_372845237[[#This Row],[model]],-1,0)+1, OFFSET(_372845237[[#This Row],[model]],-1,0))</f>
        <v>1</v>
      </c>
      <c r="B72">
        <v>15</v>
      </c>
      <c r="C72" s="5">
        <v>5.4398148148148149E-6</v>
      </c>
      <c r="D72">
        <v>0</v>
      </c>
      <c r="E72">
        <v>0</v>
      </c>
      <c r="F72">
        <v>0</v>
      </c>
      <c r="G72" s="5">
        <v>2.0833333333333334E-6</v>
      </c>
      <c r="H72" s="5">
        <v>5.1967592592592593E-4</v>
      </c>
      <c r="I72" s="5">
        <v>3.2520833333333334E-3</v>
      </c>
      <c r="J72" s="5">
        <v>2.1990740740740739E-6</v>
      </c>
      <c r="P72" s="1"/>
      <c r="R72" s="2">
        <v>4</v>
      </c>
      <c r="S72" cm="1">
        <f t="array" aca="1" ref="S72" ca="1">_xlfn.MAXIFS(COL(bench,"wine"), COL(bench,"model"), $R72, COL(bench,"instance"), INDEX($Q:$Q, ROW()-$R72), COL(bench,"time"),"&lt;="&amp;S$1)</f>
        <v>0</v>
      </c>
      <c r="T72" cm="1">
        <f t="array" aca="1" ref="T72" ca="1">_xlfn.MAXIFS(COL(bench,"wine"), COL(bench,"model"), $R72, COL(bench,"instance"), INDEX($Q:$Q, ROW()-$R72), COL(bench,"time"),"&lt;="&amp;T$1)-SUM($S72:S72)</f>
        <v>0</v>
      </c>
      <c r="U72" cm="1">
        <f t="array" aca="1" ref="U72" ca="1">_xlfn.MAXIFS(COL(bench,"wine"), COL(bench,"model"), $R72, COL(bench,"instance"), INDEX($Q:$Q, ROW()-$R72), COL(bench,"time"),"&lt;="&amp;U$1)-SUM($S72:T72)</f>
        <v>0</v>
      </c>
      <c r="V72" cm="1">
        <f t="array" aca="1" ref="V72" ca="1">_xlfn.MAXIFS(COL(bench,"wine"), COL(bench,"model"), $R72, COL(bench,"instance"), INDEX($Q:$Q, ROW()-$R72), COL(bench,"time"),"&lt;="&amp;V$1)-SUM($S72:U72)</f>
        <v>0</v>
      </c>
      <c r="W72" cm="1">
        <f t="array" aca="1" ref="W72" ca="1">_xlfn.MAXIFS(COL(bench,"wine"), COL(bench,"model"), $R72, COL(bench,"instance"), INDEX($Q:$Q, ROW()-$R72), COL(bench,"time"),"&lt;="&amp;W$1)-SUM($S72:V72)</f>
        <v>0</v>
      </c>
      <c r="X72" t="e" cm="1">
        <f t="array" ref="X72" xml:space="preserve"> _xlfn.LET(
  _xlpm.idx, _xlfn.XMATCH(1,
      (COL(summary,"model")=$R72)*(COL(summary,"instance")=INDEX($Q:$Q, ROW()-$R72))),
  IFERROR(INDEX(COL(summary,"objective"), _xlpm.idx), #N/A)
)</f>
        <v>#N/A</v>
      </c>
    </row>
    <row r="73" spans="1:24" x14ac:dyDescent="0.25">
      <c r="A73">
        <f ca="1">IF(_372845237[[#This Row],[instance]]&lt;OFFSET(_372845237[[#This Row],[instance]],-1,0), OFFSET(_372845237[[#This Row],[model]],-1,0)+1, OFFSET(_372845237[[#This Row],[model]],-1,0))</f>
        <v>1</v>
      </c>
      <c r="B73">
        <v>15</v>
      </c>
      <c r="C73" s="5">
        <v>1.7361111111111111E-5</v>
      </c>
      <c r="D73">
        <v>4.75</v>
      </c>
      <c r="E73">
        <v>5</v>
      </c>
      <c r="F73">
        <v>1</v>
      </c>
      <c r="G73" s="5">
        <v>2.0833333333333334E-6</v>
      </c>
      <c r="H73" s="5">
        <v>5.1967592592592593E-4</v>
      </c>
      <c r="I73" s="5">
        <v>3.2520833333333334E-3</v>
      </c>
      <c r="J73" s="5">
        <v>2.1990740740740739E-6</v>
      </c>
      <c r="P73" s="1"/>
    </row>
    <row r="74" spans="1:24" x14ac:dyDescent="0.25">
      <c r="A74">
        <f ca="1">IF(_372845237[[#This Row],[instance]]&lt;OFFSET(_372845237[[#This Row],[instance]],-1,0), OFFSET(_372845237[[#This Row],[model]],-1,0)+1, OFFSET(_372845237[[#This Row],[model]],-1,0))</f>
        <v>1</v>
      </c>
      <c r="B74">
        <v>15</v>
      </c>
      <c r="C74" s="5">
        <v>1.7361111111111111E-5</v>
      </c>
      <c r="D74">
        <v>5.125</v>
      </c>
      <c r="E74">
        <v>6</v>
      </c>
      <c r="F74">
        <v>1</v>
      </c>
      <c r="G74" s="5">
        <v>2.0833333333333334E-6</v>
      </c>
      <c r="H74" s="5">
        <v>5.1967592592592593E-4</v>
      </c>
      <c r="I74" s="5">
        <v>3.2520833333333334E-3</v>
      </c>
      <c r="J74" s="5">
        <v>2.1990740740740739E-6</v>
      </c>
      <c r="P74" s="1"/>
      <c r="Q74">
        <v>13</v>
      </c>
    </row>
    <row r="75" spans="1:24" x14ac:dyDescent="0.25">
      <c r="A75">
        <f ca="1">IF(_372845237[[#This Row],[instance]]&lt;OFFSET(_372845237[[#This Row],[instance]],-1,0), OFFSET(_372845237[[#This Row],[model]],-1,0)+1, OFFSET(_372845237[[#This Row],[model]],-1,0))</f>
        <v>2</v>
      </c>
      <c r="B75">
        <v>1</v>
      </c>
      <c r="C75" s="5">
        <v>5.324074074074074E-6</v>
      </c>
      <c r="D75">
        <v>0</v>
      </c>
      <c r="E75">
        <v>0</v>
      </c>
      <c r="F75">
        <v>0</v>
      </c>
      <c r="G75" s="5">
        <v>2.1990740740740739E-6</v>
      </c>
      <c r="H75" s="5">
        <v>6.9445601851851847E-3</v>
      </c>
      <c r="I75" s="5">
        <v>3.0026620370370368E-3</v>
      </c>
      <c r="J75" s="5">
        <v>2.0833333333333334E-6</v>
      </c>
      <c r="P75" s="1"/>
      <c r="R75" s="2">
        <v>1</v>
      </c>
      <c r="S75" cm="1">
        <f t="array" aca="1" ref="S75" ca="1">_xlfn.MAXIFS(COL(bench,"wine"), COL(bench,"model"), $R75, COL(bench,"instance"), INDEX($Q:$Q, ROW()-$R75), COL(bench,"time"),"&lt;="&amp;S$1)</f>
        <v>0</v>
      </c>
      <c r="T75" cm="1">
        <f t="array" aca="1" ref="T75" ca="1">_xlfn.MAXIFS(COL(bench,"wine"), COL(bench,"model"), $R75, COL(bench,"instance"), INDEX($Q:$Q, ROW()-$R75), COL(bench,"time"),"&lt;="&amp;T$1)-SUM($S75:S75)</f>
        <v>0</v>
      </c>
      <c r="U75" cm="1">
        <f t="array" aca="1" ref="U75" ca="1">_xlfn.MAXIFS(COL(bench,"wine"), COL(bench,"model"), $R75, COL(bench,"instance"), INDEX($Q:$Q, ROW()-$R75), COL(bench,"time"),"&lt;="&amp;U$1)-SUM($S75:T75)</f>
        <v>0</v>
      </c>
      <c r="V75" cm="1">
        <f t="array" aca="1" ref="V75" ca="1">_xlfn.MAXIFS(COL(bench,"wine"), COL(bench,"model"), $R75, COL(bench,"instance"), INDEX($Q:$Q, ROW()-$R75), COL(bench,"time"),"&lt;="&amp;V$1)-SUM($S75:U75)</f>
        <v>0</v>
      </c>
      <c r="W75" cm="1">
        <f t="array" aca="1" ref="W75" ca="1">_xlfn.MAXIFS(COL(bench,"wine"), COL(bench,"model"), $R75, COL(bench,"instance"), INDEX($Q:$Q, ROW()-$R75), COL(bench,"time"),"&lt;="&amp;W$1)-SUM($S75:V75)</f>
        <v>0</v>
      </c>
      <c r="X75" cm="1">
        <f t="array" ref="X75" xml:space="preserve"> _xlfn.LET(
  _xlpm.idx, _xlfn.XMATCH(1,
      (COL(summary,"model")=$R75)*(COL(summary,"instance")=INDEX($Q:$Q, ROW()-$R75))),
  IFERROR(INDEX(COL(summary,"objective"), _xlpm.idx), #N/A)
)</f>
        <v>0</v>
      </c>
    </row>
    <row r="76" spans="1:24" x14ac:dyDescent="0.25">
      <c r="A76">
        <f ca="1">IF(_372845237[[#This Row],[instance]]&lt;OFFSET(_372845237[[#This Row],[instance]],-1,0), OFFSET(_372845237[[#This Row],[model]],-1,0)+1, OFFSET(_372845237[[#This Row],[model]],-1,0))</f>
        <v>2</v>
      </c>
      <c r="B76">
        <v>1</v>
      </c>
      <c r="C76" s="5">
        <v>5.324074074074074E-6</v>
      </c>
      <c r="D76">
        <v>3</v>
      </c>
      <c r="E76">
        <v>1</v>
      </c>
      <c r="F76">
        <v>1</v>
      </c>
      <c r="G76" s="5">
        <v>2.1990740740740739E-6</v>
      </c>
      <c r="H76" s="5">
        <v>6.9445601851851847E-3</v>
      </c>
      <c r="I76" s="5">
        <v>3.0026620370370368E-3</v>
      </c>
      <c r="J76" s="5">
        <v>2.0833333333333334E-6</v>
      </c>
      <c r="P76" s="1"/>
      <c r="R76" s="2">
        <v>2</v>
      </c>
      <c r="S76" cm="1">
        <f t="array" aca="1" ref="S76" ca="1">_xlfn.MAXIFS(COL(bench,"wine"), COL(bench,"model"), $R76, COL(bench,"instance"), INDEX($Q:$Q, ROW()-$R76), COL(bench,"time"),"&lt;="&amp;S$1)</f>
        <v>0</v>
      </c>
      <c r="T76" cm="1">
        <f t="array" aca="1" ref="T76" ca="1">_xlfn.MAXIFS(COL(bench,"wine"), COL(bench,"model"), $R76, COL(bench,"instance"), INDEX($Q:$Q, ROW()-$R76), COL(bench,"time"),"&lt;="&amp;T$1)-SUM($S76:S76)</f>
        <v>0</v>
      </c>
      <c r="U76" cm="1">
        <f t="array" aca="1" ref="U76" ca="1">_xlfn.MAXIFS(COL(bench,"wine"), COL(bench,"model"), $R76, COL(bench,"instance"), INDEX($Q:$Q, ROW()-$R76), COL(bench,"time"),"&lt;="&amp;U$1)-SUM($S76:T76)</f>
        <v>0</v>
      </c>
      <c r="V76" cm="1">
        <f t="array" aca="1" ref="V76" ca="1">_xlfn.MAXIFS(COL(bench,"wine"), COL(bench,"model"), $R76, COL(bench,"instance"), INDEX($Q:$Q, ROW()-$R76), COL(bench,"time"),"&lt;="&amp;V$1)-SUM($S76:U76)</f>
        <v>0</v>
      </c>
      <c r="W76" cm="1">
        <f t="array" aca="1" ref="W76" ca="1">_xlfn.MAXIFS(COL(bench,"wine"), COL(bench,"model"), $R76, COL(bench,"instance"), INDEX($Q:$Q, ROW()-$R76), COL(bench,"time"),"&lt;="&amp;W$1)-SUM($S76:V76)</f>
        <v>0</v>
      </c>
      <c r="X76" cm="1">
        <f t="array" ref="X76" xml:space="preserve"> _xlfn.LET(
  _xlpm.idx, _xlfn.XMATCH(1,
      (COL(summary,"model")=$R76)*(COL(summary,"instance")=INDEX($Q:$Q, ROW()-$R76))),
  IFERROR(INDEX(COL(summary,"objective"), _xlpm.idx), #N/A)
)</f>
        <v>0</v>
      </c>
    </row>
    <row r="77" spans="1:24" x14ac:dyDescent="0.25">
      <c r="A77">
        <f ca="1">IF(_372845237[[#This Row],[instance]]&lt;OFFSET(_372845237[[#This Row],[instance]],-1,0), OFFSET(_372845237[[#This Row],[model]],-1,0)+1, OFFSET(_372845237[[#This Row],[model]],-1,0))</f>
        <v>2</v>
      </c>
      <c r="B77">
        <v>1</v>
      </c>
      <c r="C77" s="5">
        <v>5.324074074074074E-6</v>
      </c>
      <c r="D77">
        <v>6</v>
      </c>
      <c r="E77">
        <v>2</v>
      </c>
      <c r="F77">
        <v>2</v>
      </c>
      <c r="G77" s="5">
        <v>2.1990740740740739E-6</v>
      </c>
      <c r="H77" s="5">
        <v>6.9445601851851847E-3</v>
      </c>
      <c r="I77" s="5">
        <v>3.0026620370370368E-3</v>
      </c>
      <c r="J77" s="5">
        <v>2.0833333333333334E-6</v>
      </c>
      <c r="P77" s="1"/>
      <c r="R77" s="2">
        <v>3</v>
      </c>
      <c r="S77" cm="1">
        <f t="array" aca="1" ref="S77" ca="1">_xlfn.MAXIFS(COL(bench,"wine"), COL(bench,"model"), $R77, COL(bench,"instance"), INDEX($Q:$Q, ROW()-$R77), COL(bench,"time"),"&lt;="&amp;S$1)</f>
        <v>0</v>
      </c>
      <c r="T77" cm="1">
        <f t="array" aca="1" ref="T77" ca="1">_xlfn.MAXIFS(COL(bench,"wine"), COL(bench,"model"), $R77, COL(bench,"instance"), INDEX($Q:$Q, ROW()-$R77), COL(bench,"time"),"&lt;="&amp;T$1)-SUM($S77:S77)</f>
        <v>0</v>
      </c>
      <c r="U77" cm="1">
        <f t="array" aca="1" ref="U77" ca="1">_xlfn.MAXIFS(COL(bench,"wine"), COL(bench,"model"), $R77, COL(bench,"instance"), INDEX($Q:$Q, ROW()-$R77), COL(bench,"time"),"&lt;="&amp;U$1)-SUM($S77:T77)</f>
        <v>0</v>
      </c>
      <c r="V77" cm="1">
        <f t="array" aca="1" ref="V77" ca="1">_xlfn.MAXIFS(COL(bench,"wine"), COL(bench,"model"), $R77, COL(bench,"instance"), INDEX($Q:$Q, ROW()-$R77), COL(bench,"time"),"&lt;="&amp;V$1)-SUM($S77:U77)</f>
        <v>0</v>
      </c>
      <c r="W77" cm="1">
        <f t="array" aca="1" ref="W77" ca="1">_xlfn.MAXIFS(COL(bench,"wine"), COL(bench,"model"), $R77, COL(bench,"instance"), INDEX($Q:$Q, ROW()-$R77), COL(bench,"time"),"&lt;="&amp;W$1)-SUM($S77:V77)</f>
        <v>0</v>
      </c>
      <c r="X77" cm="1">
        <f t="array" ref="X77" xml:space="preserve"> _xlfn.LET(
  _xlpm.idx, _xlfn.XMATCH(1,
      (COL(summary,"model")=$R77)*(COL(summary,"instance")=INDEX($Q:$Q, ROW()-$R77))),
  IFERROR(INDEX(COL(summary,"objective"), _xlpm.idx), #N/A)
)</f>
        <v>0</v>
      </c>
    </row>
    <row r="78" spans="1:24" x14ac:dyDescent="0.25">
      <c r="A78">
        <f ca="1">IF(_372845237[[#This Row],[instance]]&lt;OFFSET(_372845237[[#This Row],[instance]],-1,0), OFFSET(_372845237[[#This Row],[model]],-1,0)+1, OFFSET(_372845237[[#This Row],[model]],-1,0))</f>
        <v>2</v>
      </c>
      <c r="B78">
        <v>1</v>
      </c>
      <c r="C78" s="5">
        <v>5.324074074074074E-6</v>
      </c>
      <c r="D78">
        <v>7.5</v>
      </c>
      <c r="E78">
        <v>3</v>
      </c>
      <c r="F78">
        <v>1</v>
      </c>
      <c r="G78" s="5">
        <v>2.1990740740740739E-6</v>
      </c>
      <c r="H78" s="5">
        <v>6.9445601851851847E-3</v>
      </c>
      <c r="I78" s="5">
        <v>3.0026620370370368E-3</v>
      </c>
      <c r="J78" s="5">
        <v>2.0833333333333334E-6</v>
      </c>
      <c r="P78" s="1"/>
      <c r="R78" s="2">
        <v>4</v>
      </c>
      <c r="S78" cm="1">
        <f t="array" aca="1" ref="S78" ca="1">_xlfn.MAXIFS(COL(bench,"wine"), COL(bench,"model"), $R78, COL(bench,"instance"), INDEX($Q:$Q, ROW()-$R78), COL(bench,"time"),"&lt;="&amp;S$1)</f>
        <v>0</v>
      </c>
      <c r="T78" cm="1">
        <f t="array" aca="1" ref="T78" ca="1">_xlfn.MAXIFS(COL(bench,"wine"), COL(bench,"model"), $R78, COL(bench,"instance"), INDEX($Q:$Q, ROW()-$R78), COL(bench,"time"),"&lt;="&amp;T$1)-SUM($S78:S78)</f>
        <v>0</v>
      </c>
      <c r="U78" cm="1">
        <f t="array" aca="1" ref="U78" ca="1">_xlfn.MAXIFS(COL(bench,"wine"), COL(bench,"model"), $R78, COL(bench,"instance"), INDEX($Q:$Q, ROW()-$R78), COL(bench,"time"),"&lt;="&amp;U$1)-SUM($S78:T78)</f>
        <v>0</v>
      </c>
      <c r="V78" cm="1">
        <f t="array" aca="1" ref="V78" ca="1">_xlfn.MAXIFS(COL(bench,"wine"), COL(bench,"model"), $R78, COL(bench,"instance"), INDEX($Q:$Q, ROW()-$R78), COL(bench,"time"),"&lt;="&amp;V$1)-SUM($S78:U78)</f>
        <v>0</v>
      </c>
      <c r="W78" cm="1">
        <f t="array" aca="1" ref="W78" ca="1">_xlfn.MAXIFS(COL(bench,"wine"), COL(bench,"model"), $R78, COL(bench,"instance"), INDEX($Q:$Q, ROW()-$R78), COL(bench,"time"),"&lt;="&amp;W$1)-SUM($S78:V78)</f>
        <v>0</v>
      </c>
      <c r="X78" cm="1">
        <f t="array" ref="X78" xml:space="preserve"> _xlfn.LET(
  _xlpm.idx, _xlfn.XMATCH(1,
      (COL(summary,"model")=$R78)*(COL(summary,"instance")=INDEX($Q:$Q, ROW()-$R78))),
  IFERROR(INDEX(COL(summary,"objective"), _xlpm.idx), #N/A)
)</f>
        <v>0</v>
      </c>
    </row>
    <row r="79" spans="1:24" x14ac:dyDescent="0.25">
      <c r="A79">
        <f ca="1">IF(_372845237[[#This Row],[instance]]&lt;OFFSET(_372845237[[#This Row],[instance]],-1,0), OFFSET(_372845237[[#This Row],[model]],-1,0)+1, OFFSET(_372845237[[#This Row],[model]],-1,0))</f>
        <v>2</v>
      </c>
      <c r="B79">
        <v>1</v>
      </c>
      <c r="C79" s="5">
        <v>5.324074074074074E-6</v>
      </c>
      <c r="D79">
        <v>9</v>
      </c>
      <c r="E79">
        <v>4</v>
      </c>
      <c r="F79">
        <v>1</v>
      </c>
      <c r="G79" s="5">
        <v>2.1990740740740739E-6</v>
      </c>
      <c r="H79" s="5">
        <v>6.9445601851851847E-3</v>
      </c>
      <c r="I79" s="5">
        <v>3.0026620370370368E-3</v>
      </c>
      <c r="J79" s="5">
        <v>2.0833333333333334E-6</v>
      </c>
      <c r="P79" s="1"/>
    </row>
    <row r="80" spans="1:24" x14ac:dyDescent="0.25">
      <c r="A80">
        <f ca="1">IF(_372845237[[#This Row],[instance]]&lt;OFFSET(_372845237[[#This Row],[instance]],-1,0), OFFSET(_372845237[[#This Row],[model]],-1,0)+1, OFFSET(_372845237[[#This Row],[model]],-1,0))</f>
        <v>2</v>
      </c>
      <c r="B80">
        <v>1</v>
      </c>
      <c r="C80" s="5">
        <v>5.324074074074074E-6</v>
      </c>
      <c r="D80">
        <v>9.75</v>
      </c>
      <c r="E80">
        <v>5</v>
      </c>
      <c r="F80">
        <v>1</v>
      </c>
      <c r="G80" s="5">
        <v>2.1990740740740739E-6</v>
      </c>
      <c r="H80" s="5">
        <v>6.9445601851851847E-3</v>
      </c>
      <c r="I80" s="5">
        <v>3.0026620370370368E-3</v>
      </c>
      <c r="J80" s="5">
        <v>2.0833333333333334E-6</v>
      </c>
      <c r="P80" s="1"/>
      <c r="Q80">
        <v>14</v>
      </c>
    </row>
    <row r="81" spans="1:24" x14ac:dyDescent="0.25">
      <c r="A81">
        <f ca="1">IF(_372845237[[#This Row],[instance]]&lt;OFFSET(_372845237[[#This Row],[instance]],-1,0), OFFSET(_372845237[[#This Row],[model]],-1,0)+1, OFFSET(_372845237[[#This Row],[model]],-1,0))</f>
        <v>2</v>
      </c>
      <c r="B81">
        <v>1</v>
      </c>
      <c r="C81" s="5">
        <v>8.3333333333333337E-6</v>
      </c>
      <c r="D81">
        <v>10.5</v>
      </c>
      <c r="E81">
        <v>6</v>
      </c>
      <c r="F81">
        <v>2</v>
      </c>
      <c r="G81" s="5">
        <v>2.1990740740740739E-6</v>
      </c>
      <c r="H81" s="5">
        <v>6.9445601851851847E-3</v>
      </c>
      <c r="I81" s="5">
        <v>3.0026620370370368E-3</v>
      </c>
      <c r="J81" s="5">
        <v>2.0833333333333334E-6</v>
      </c>
      <c r="P81" s="1"/>
      <c r="R81" s="2">
        <v>1</v>
      </c>
      <c r="S81" cm="1">
        <f t="array" aca="1" ref="S81" ca="1">_xlfn.MAXIFS(COL(bench,"wine"), COL(bench,"model"), $R81, COL(bench,"instance"), INDEX($Q:$Q, ROW()-$R81), COL(bench,"time"),"&lt;="&amp;S$1)</f>
        <v>0</v>
      </c>
      <c r="T81" cm="1">
        <f t="array" aca="1" ref="T81" ca="1">_xlfn.MAXIFS(COL(bench,"wine"), COL(bench,"model"), $R81, COL(bench,"instance"), INDEX($Q:$Q, ROW()-$R81), COL(bench,"time"),"&lt;="&amp;T$1)-SUM($S81:S81)</f>
        <v>0</v>
      </c>
      <c r="U81" cm="1">
        <f t="array" aca="1" ref="U81" ca="1">_xlfn.MAXIFS(COL(bench,"wine"), COL(bench,"model"), $R81, COL(bench,"instance"), INDEX($Q:$Q, ROW()-$R81), COL(bench,"time"),"&lt;="&amp;U$1)-SUM($S81:T81)</f>
        <v>0</v>
      </c>
      <c r="V81" cm="1">
        <f t="array" aca="1" ref="V81" ca="1">_xlfn.MAXIFS(COL(bench,"wine"), COL(bench,"model"), $R81, COL(bench,"instance"), INDEX($Q:$Q, ROW()-$R81), COL(bench,"time"),"&lt;="&amp;V$1)-SUM($S81:U81)</f>
        <v>0</v>
      </c>
      <c r="W81" cm="1">
        <f t="array" aca="1" ref="W81" ca="1">_xlfn.MAXIFS(COL(bench,"wine"), COL(bench,"model"), $R81, COL(bench,"instance"), INDEX($Q:$Q, ROW()-$R81), COL(bench,"time"),"&lt;="&amp;W$1)-SUM($S81:V81)</f>
        <v>0</v>
      </c>
      <c r="X81" cm="1">
        <f t="array" ref="X81" xml:space="preserve"> _xlfn.LET(
  _xlpm.idx, _xlfn.XMATCH(1,
      (COL(summary,"model")=$R81)*(COL(summary,"instance")=INDEX($Q:$Q, ROW()-$R81))),
  IFERROR(INDEX(COL(summary,"objective"), _xlpm.idx), #N/A)
)</f>
        <v>0</v>
      </c>
    </row>
    <row r="82" spans="1:24" x14ac:dyDescent="0.25">
      <c r="A82">
        <f ca="1">IF(_372845237[[#This Row],[instance]]&lt;OFFSET(_372845237[[#This Row],[instance]],-1,0), OFFSET(_372845237[[#This Row],[model]],-1,0)+1, OFFSET(_372845237[[#This Row],[model]],-1,0))</f>
        <v>2</v>
      </c>
      <c r="B82">
        <v>1</v>
      </c>
      <c r="C82" s="5">
        <v>2.2978009259259258E-3</v>
      </c>
      <c r="D82">
        <v>10.875</v>
      </c>
      <c r="E82">
        <v>7</v>
      </c>
      <c r="F82">
        <v>2</v>
      </c>
      <c r="G82" s="5">
        <v>2.1990740740740739E-6</v>
      </c>
      <c r="H82" s="5">
        <v>6.9445601851851847E-3</v>
      </c>
      <c r="I82" s="5">
        <v>3.0026620370370368E-3</v>
      </c>
      <c r="J82" s="5">
        <v>2.0833333333333334E-6</v>
      </c>
      <c r="P82" s="1"/>
      <c r="R82" s="2">
        <v>2</v>
      </c>
      <c r="S82" cm="1">
        <f t="array" aca="1" ref="S82" ca="1">_xlfn.MAXIFS(COL(bench,"wine"), COL(bench,"model"), $R82, COL(bench,"instance"), INDEX($Q:$Q, ROW()-$R82), COL(bench,"time"),"&lt;="&amp;S$1)</f>
        <v>0</v>
      </c>
      <c r="T82" cm="1">
        <f t="array" aca="1" ref="T82" ca="1">_xlfn.MAXIFS(COL(bench,"wine"), COL(bench,"model"), $R82, COL(bench,"instance"), INDEX($Q:$Q, ROW()-$R82), COL(bench,"time"),"&lt;="&amp;T$1)-SUM($S82:S82)</f>
        <v>0</v>
      </c>
      <c r="U82" cm="1">
        <f t="array" aca="1" ref="U82" ca="1">_xlfn.MAXIFS(COL(bench,"wine"), COL(bench,"model"), $R82, COL(bench,"instance"), INDEX($Q:$Q, ROW()-$R82), COL(bench,"time"),"&lt;="&amp;U$1)-SUM($S82:T82)</f>
        <v>0</v>
      </c>
      <c r="V82" cm="1">
        <f t="array" aca="1" ref="V82" ca="1">_xlfn.MAXIFS(COL(bench,"wine"), COL(bench,"model"), $R82, COL(bench,"instance"), INDEX($Q:$Q, ROW()-$R82), COL(bench,"time"),"&lt;="&amp;V$1)-SUM($S82:U82)</f>
        <v>0</v>
      </c>
      <c r="W82" cm="1">
        <f t="array" aca="1" ref="W82" ca="1">_xlfn.MAXIFS(COL(bench,"wine"), COL(bench,"model"), $R82, COL(bench,"instance"), INDEX($Q:$Q, ROW()-$R82), COL(bench,"time"),"&lt;="&amp;W$1)-SUM($S82:V82)</f>
        <v>0</v>
      </c>
      <c r="X82" cm="1">
        <f t="array" ref="X82" xml:space="preserve"> _xlfn.LET(
  _xlpm.idx, _xlfn.XMATCH(1,
      (COL(summary,"model")=$R82)*(COL(summary,"instance")=INDEX($Q:$Q, ROW()-$R82))),
  IFERROR(INDEX(COL(summary,"objective"), _xlpm.idx), #N/A)
)</f>
        <v>0</v>
      </c>
    </row>
    <row r="83" spans="1:24" x14ac:dyDescent="0.25">
      <c r="A83">
        <f ca="1">IF(_372845237[[#This Row],[instance]]&lt;OFFSET(_372845237[[#This Row],[instance]],-1,0), OFFSET(_372845237[[#This Row],[model]],-1,0)+1, OFFSET(_372845237[[#This Row],[model]],-1,0))</f>
        <v>2</v>
      </c>
      <c r="B83">
        <v>1</v>
      </c>
      <c r="C83" s="5">
        <v>2.3586805555555553E-3</v>
      </c>
      <c r="D83">
        <v>11.25</v>
      </c>
      <c r="E83">
        <v>9</v>
      </c>
      <c r="F83">
        <v>2</v>
      </c>
      <c r="G83" s="5">
        <v>2.1990740740740739E-6</v>
      </c>
      <c r="H83" s="5">
        <v>6.9445601851851847E-3</v>
      </c>
      <c r="I83" s="5">
        <v>3.0026620370370368E-3</v>
      </c>
      <c r="J83" s="5">
        <v>2.0833333333333334E-6</v>
      </c>
      <c r="P83" s="1"/>
      <c r="R83" s="2">
        <v>3</v>
      </c>
      <c r="S83" cm="1">
        <f t="array" aca="1" ref="S83" ca="1">_xlfn.MAXIFS(COL(bench,"wine"), COL(bench,"model"), $R83, COL(bench,"instance"), INDEX($Q:$Q, ROW()-$R83), COL(bench,"time"),"&lt;="&amp;S$1)</f>
        <v>0</v>
      </c>
      <c r="T83" cm="1">
        <f t="array" aca="1" ref="T83" ca="1">_xlfn.MAXIFS(COL(bench,"wine"), COL(bench,"model"), $R83, COL(bench,"instance"), INDEX($Q:$Q, ROW()-$R83), COL(bench,"time"),"&lt;="&amp;T$1)-SUM($S83:S83)</f>
        <v>0</v>
      </c>
      <c r="U83" cm="1">
        <f t="array" aca="1" ref="U83" ca="1">_xlfn.MAXIFS(COL(bench,"wine"), COL(bench,"model"), $R83, COL(bench,"instance"), INDEX($Q:$Q, ROW()-$R83), COL(bench,"time"),"&lt;="&amp;U$1)-SUM($S83:T83)</f>
        <v>0</v>
      </c>
      <c r="V83" cm="1">
        <f t="array" aca="1" ref="V83" ca="1">_xlfn.MAXIFS(COL(bench,"wine"), COL(bench,"model"), $R83, COL(bench,"instance"), INDEX($Q:$Q, ROW()-$R83), COL(bench,"time"),"&lt;="&amp;V$1)-SUM($S83:U83)</f>
        <v>0</v>
      </c>
      <c r="W83" cm="1">
        <f t="array" aca="1" ref="W83" ca="1">_xlfn.MAXIFS(COL(bench,"wine"), COL(bench,"model"), $R83, COL(bench,"instance"), INDEX($Q:$Q, ROW()-$R83), COL(bench,"time"),"&lt;="&amp;W$1)-SUM($S83:V83)</f>
        <v>0</v>
      </c>
      <c r="X83" cm="1">
        <f t="array" ref="X83" xml:space="preserve"> _xlfn.LET(
  _xlpm.idx, _xlfn.XMATCH(1,
      (COL(summary,"model")=$R83)*(COL(summary,"instance")=INDEX($Q:$Q, ROW()-$R83))),
  IFERROR(INDEX(COL(summary,"objective"), _xlpm.idx), #N/A)
)</f>
        <v>0</v>
      </c>
    </row>
    <row r="84" spans="1:24" x14ac:dyDescent="0.25">
      <c r="A84">
        <f ca="1">IF(_372845237[[#This Row],[instance]]&lt;OFFSET(_372845237[[#This Row],[instance]],-1,0), OFFSET(_372845237[[#This Row],[model]],-1,0)+1, OFFSET(_372845237[[#This Row],[model]],-1,0))</f>
        <v>2</v>
      </c>
      <c r="B84">
        <v>1</v>
      </c>
      <c r="C84" s="5">
        <v>2.6759259259259258E-3</v>
      </c>
      <c r="D84">
        <v>11.625</v>
      </c>
      <c r="E84">
        <v>9</v>
      </c>
      <c r="F84">
        <v>2</v>
      </c>
      <c r="G84" s="5">
        <v>2.1990740740740739E-6</v>
      </c>
      <c r="H84" s="5">
        <v>6.9445601851851847E-3</v>
      </c>
      <c r="I84" s="5">
        <v>3.0026620370370368E-3</v>
      </c>
      <c r="J84" s="5">
        <v>2.0833333333333334E-6</v>
      </c>
      <c r="P84" s="1"/>
      <c r="R84" s="2">
        <v>4</v>
      </c>
      <c r="S84" cm="1">
        <f t="array" aca="1" ref="S84" ca="1">_xlfn.MAXIFS(COL(bench,"wine"), COL(bench,"model"), $R84, COL(bench,"instance"), INDEX($Q:$Q, ROW()-$R84), COL(bench,"time"),"&lt;="&amp;S$1)</f>
        <v>0</v>
      </c>
      <c r="T84" cm="1">
        <f t="array" aca="1" ref="T84" ca="1">_xlfn.MAXIFS(COL(bench,"wine"), COL(bench,"model"), $R84, COL(bench,"instance"), INDEX($Q:$Q, ROW()-$R84), COL(bench,"time"),"&lt;="&amp;T$1)-SUM($S84:S84)</f>
        <v>0</v>
      </c>
      <c r="U84" cm="1">
        <f t="array" aca="1" ref="U84" ca="1">_xlfn.MAXIFS(COL(bench,"wine"), COL(bench,"model"), $R84, COL(bench,"instance"), INDEX($Q:$Q, ROW()-$R84), COL(bench,"time"),"&lt;="&amp;U$1)-SUM($S84:T84)</f>
        <v>0</v>
      </c>
      <c r="V84" cm="1">
        <f t="array" aca="1" ref="V84" ca="1">_xlfn.MAXIFS(COL(bench,"wine"), COL(bench,"model"), $R84, COL(bench,"instance"), INDEX($Q:$Q, ROW()-$R84), COL(bench,"time"),"&lt;="&amp;V$1)-SUM($S84:U84)</f>
        <v>0</v>
      </c>
      <c r="W84" cm="1">
        <f t="array" aca="1" ref="W84" ca="1">_xlfn.MAXIFS(COL(bench,"wine"), COL(bench,"model"), $R84, COL(bench,"instance"), INDEX($Q:$Q, ROW()-$R84), COL(bench,"time"),"&lt;="&amp;W$1)-SUM($S84:V84)</f>
        <v>0</v>
      </c>
      <c r="X84" cm="1">
        <f t="array" ref="X84" xml:space="preserve"> _xlfn.LET(
  _xlpm.idx, _xlfn.XMATCH(1,
      (COL(summary,"model")=$R84)*(COL(summary,"instance")=INDEX($Q:$Q, ROW()-$R84))),
  IFERROR(INDEX(COL(summary,"objective"), _xlpm.idx), #N/A)
)</f>
        <v>0</v>
      </c>
    </row>
    <row r="85" spans="1:24" x14ac:dyDescent="0.25">
      <c r="A85">
        <f ca="1">IF(_372845237[[#This Row],[instance]]&lt;OFFSET(_372845237[[#This Row],[instance]],-1,0), OFFSET(_372845237[[#This Row],[model]],-1,0)+1, OFFSET(_372845237[[#This Row],[model]],-1,0))</f>
        <v>2</v>
      </c>
      <c r="B85">
        <v>1</v>
      </c>
      <c r="C85" s="5">
        <v>2.6881944444444444E-3</v>
      </c>
      <c r="D85">
        <v>12</v>
      </c>
      <c r="E85">
        <v>10</v>
      </c>
      <c r="F85">
        <v>2</v>
      </c>
      <c r="G85" s="5">
        <v>2.1990740740740739E-6</v>
      </c>
      <c r="H85" s="5">
        <v>6.9445601851851847E-3</v>
      </c>
      <c r="I85" s="5">
        <v>3.0026620370370368E-3</v>
      </c>
      <c r="J85" s="5">
        <v>2.0833333333333334E-6</v>
      </c>
      <c r="P85" s="1"/>
    </row>
    <row r="86" spans="1:24" x14ac:dyDescent="0.25">
      <c r="A86">
        <f ca="1">IF(_372845237[[#This Row],[instance]]&lt;OFFSET(_372845237[[#This Row],[instance]],-1,0), OFFSET(_372845237[[#This Row],[model]],-1,0)+1, OFFSET(_372845237[[#This Row],[model]],-1,0))</f>
        <v>2</v>
      </c>
      <c r="B86">
        <v>2</v>
      </c>
      <c r="C86" s="5">
        <v>5.324074074074074E-6</v>
      </c>
      <c r="D86">
        <v>0</v>
      </c>
      <c r="E86">
        <v>0</v>
      </c>
      <c r="F86">
        <v>0</v>
      </c>
      <c r="G86" s="5">
        <v>2.1990740740740739E-6</v>
      </c>
      <c r="H86" s="5">
        <v>6.9445601851851847E-3</v>
      </c>
      <c r="I86" s="5">
        <v>3.0026620370370368E-3</v>
      </c>
      <c r="J86" s="5">
        <v>2.0833333333333334E-6</v>
      </c>
      <c r="P86" s="1"/>
      <c r="Q86">
        <v>15</v>
      </c>
    </row>
    <row r="87" spans="1:24" x14ac:dyDescent="0.25">
      <c r="A87">
        <f ca="1">IF(_372845237[[#This Row],[instance]]&lt;OFFSET(_372845237[[#This Row],[instance]],-1,0), OFFSET(_372845237[[#This Row],[model]],-1,0)+1, OFFSET(_372845237[[#This Row],[model]],-1,0))</f>
        <v>2</v>
      </c>
      <c r="B87">
        <v>2</v>
      </c>
      <c r="C87" s="5">
        <v>5.324074074074074E-6</v>
      </c>
      <c r="D87">
        <v>1.5</v>
      </c>
      <c r="E87">
        <v>1</v>
      </c>
      <c r="F87">
        <v>1</v>
      </c>
      <c r="G87" s="5">
        <v>2.1990740740740739E-6</v>
      </c>
      <c r="H87" s="5">
        <v>6.9445601851851847E-3</v>
      </c>
      <c r="I87" s="5">
        <v>3.0026620370370368E-3</v>
      </c>
      <c r="J87" s="5">
        <v>2.0833333333333334E-6</v>
      </c>
      <c r="P87" s="1"/>
      <c r="R87" s="2">
        <v>1</v>
      </c>
      <c r="S87" cm="1">
        <f t="array" aca="1" ref="S87" ca="1">_xlfn.MAXIFS(COL(bench,"wine"), COL(bench,"model"), $R87, COL(bench,"instance"), INDEX($Q:$Q, ROW()-$R87), COL(bench,"time"),"&lt;="&amp;S$1)</f>
        <v>5.125</v>
      </c>
      <c r="T87" cm="1">
        <f t="array" aca="1" ref="T87" ca="1">_xlfn.MAXIFS(COL(bench,"wine"), COL(bench,"model"), $R87, COL(bench,"instance"), INDEX($Q:$Q, ROW()-$R87), COL(bench,"time"),"&lt;="&amp;T$1)-SUM($S87:S87)</f>
        <v>0</v>
      </c>
      <c r="U87" cm="1">
        <f t="array" aca="1" ref="U87" ca="1">_xlfn.MAXIFS(COL(bench,"wine"), COL(bench,"model"), $R87, COL(bench,"instance"), INDEX($Q:$Q, ROW()-$R87), COL(bench,"time"),"&lt;="&amp;U$1)-SUM($S87:T87)</f>
        <v>0</v>
      </c>
      <c r="V87" cm="1">
        <f t="array" aca="1" ref="V87" ca="1">_xlfn.MAXIFS(COL(bench,"wine"), COL(bench,"model"), $R87, COL(bench,"instance"), INDEX($Q:$Q, ROW()-$R87), COL(bench,"time"),"&lt;="&amp;V$1)-SUM($S87:U87)</f>
        <v>0</v>
      </c>
      <c r="W87" cm="1">
        <f t="array" aca="1" ref="W87" ca="1">_xlfn.MAXIFS(COL(bench,"wine"), COL(bench,"model"), $R87, COL(bench,"instance"), INDEX($Q:$Q, ROW()-$R87), COL(bench,"time"),"&lt;="&amp;W$1)-SUM($S87:V87)</f>
        <v>0</v>
      </c>
      <c r="X87" cm="1">
        <f t="array" ref="X87" xml:space="preserve"> _xlfn.LET(
  _xlpm.idx, _xlfn.XMATCH(1,
      (COL(summary,"model")=$R87)*(COL(summary,"instance")=INDEX($Q:$Q, ROW()-$R87))),
  IFERROR(INDEX(COL(summary,"objective"), _xlpm.idx), #N/A)
)</f>
        <v>5.125</v>
      </c>
    </row>
    <row r="88" spans="1:24" x14ac:dyDescent="0.25">
      <c r="A88">
        <f ca="1">IF(_372845237[[#This Row],[instance]]&lt;OFFSET(_372845237[[#This Row],[instance]],-1,0), OFFSET(_372845237[[#This Row],[model]],-1,0)+1, OFFSET(_372845237[[#This Row],[model]],-1,0))</f>
        <v>2</v>
      </c>
      <c r="B88">
        <v>2</v>
      </c>
      <c r="C88" s="5">
        <v>5.324074074074074E-6</v>
      </c>
      <c r="D88">
        <v>3</v>
      </c>
      <c r="E88">
        <v>2</v>
      </c>
      <c r="F88">
        <v>1</v>
      </c>
      <c r="G88" s="5">
        <v>2.1990740740740739E-6</v>
      </c>
      <c r="H88" s="5">
        <v>6.9445601851851847E-3</v>
      </c>
      <c r="I88" s="5">
        <v>3.0026620370370368E-3</v>
      </c>
      <c r="J88" s="5">
        <v>2.0833333333333334E-6</v>
      </c>
      <c r="P88" s="1"/>
      <c r="R88" s="2">
        <v>2</v>
      </c>
      <c r="S88" cm="1">
        <f t="array" aca="1" ref="S88" ca="1">_xlfn.MAXIFS(COL(bench,"wine"), COL(bench,"model"), $R88, COL(bench,"instance"), INDEX($Q:$Q, ROW()-$R88), COL(bench,"time"),"&lt;="&amp;S$1)</f>
        <v>0</v>
      </c>
      <c r="T88" cm="1">
        <f t="array" aca="1" ref="T88" ca="1">_xlfn.MAXIFS(COL(bench,"wine"), COL(bench,"model"), $R88, COL(bench,"instance"), INDEX($Q:$Q, ROW()-$R88), COL(bench,"time"),"&lt;="&amp;T$1)-SUM($S88:S88)</f>
        <v>5.125</v>
      </c>
      <c r="U88" cm="1">
        <f t="array" aca="1" ref="U88" ca="1">_xlfn.MAXIFS(COL(bench,"wine"), COL(bench,"model"), $R88, COL(bench,"instance"), INDEX($Q:$Q, ROW()-$R88), COL(bench,"time"),"&lt;="&amp;U$1)-SUM($S88:T88)</f>
        <v>0</v>
      </c>
      <c r="V88" cm="1">
        <f t="array" aca="1" ref="V88" ca="1">_xlfn.MAXIFS(COL(bench,"wine"), COL(bench,"model"), $R88, COL(bench,"instance"), INDEX($Q:$Q, ROW()-$R88), COL(bench,"time"),"&lt;="&amp;V$1)-SUM($S88:U88)</f>
        <v>0</v>
      </c>
      <c r="W88" cm="1">
        <f t="array" aca="1" ref="W88" ca="1">_xlfn.MAXIFS(COL(bench,"wine"), COL(bench,"model"), $R88, COL(bench,"instance"), INDEX($Q:$Q, ROW()-$R88), COL(bench,"time"),"&lt;="&amp;W$1)-SUM($S88:V88)</f>
        <v>0</v>
      </c>
      <c r="X88" cm="1">
        <f t="array" ref="X88" xml:space="preserve"> _xlfn.LET(
  _xlpm.idx, _xlfn.XMATCH(1,
      (COL(summary,"model")=$R88)*(COL(summary,"instance")=INDEX($Q:$Q, ROW()-$R88))),
  IFERROR(INDEX(COL(summary,"objective"), _xlpm.idx), #N/A)
)</f>
        <v>5.125</v>
      </c>
    </row>
    <row r="89" spans="1:24" x14ac:dyDescent="0.25">
      <c r="A89">
        <f ca="1">IF(_372845237[[#This Row],[instance]]&lt;OFFSET(_372845237[[#This Row],[instance]],-1,0), OFFSET(_372845237[[#This Row],[model]],-1,0)+1, OFFSET(_372845237[[#This Row],[model]],-1,0))</f>
        <v>2</v>
      </c>
      <c r="B89">
        <v>2</v>
      </c>
      <c r="C89" s="5">
        <v>5.324074074074074E-6</v>
      </c>
      <c r="D89">
        <v>4.5</v>
      </c>
      <c r="E89">
        <v>3</v>
      </c>
      <c r="F89">
        <v>2</v>
      </c>
      <c r="G89" s="5">
        <v>2.1990740740740739E-6</v>
      </c>
      <c r="H89" s="5">
        <v>6.9445601851851847E-3</v>
      </c>
      <c r="I89" s="5">
        <v>3.0026620370370368E-3</v>
      </c>
      <c r="J89" s="5">
        <v>2.0833333333333334E-6</v>
      </c>
      <c r="P89" s="1"/>
      <c r="R89" s="2">
        <v>3</v>
      </c>
      <c r="S89" cm="1">
        <f t="array" aca="1" ref="S89" ca="1">_xlfn.MAXIFS(COL(bench,"wine"), COL(bench,"model"), $R89, COL(bench,"instance"), INDEX($Q:$Q, ROW()-$R89), COL(bench,"time"),"&lt;="&amp;S$1)</f>
        <v>5.125</v>
      </c>
      <c r="T89" cm="1">
        <f t="array" aca="1" ref="T89" ca="1">_xlfn.MAXIFS(COL(bench,"wine"), COL(bench,"model"), $R89, COL(bench,"instance"), INDEX($Q:$Q, ROW()-$R89), COL(bench,"time"),"&lt;="&amp;T$1)-SUM($S89:S89)</f>
        <v>0</v>
      </c>
      <c r="U89" cm="1">
        <f t="array" aca="1" ref="U89" ca="1">_xlfn.MAXIFS(COL(bench,"wine"), COL(bench,"model"), $R89, COL(bench,"instance"), INDEX($Q:$Q, ROW()-$R89), COL(bench,"time"),"&lt;="&amp;U$1)-SUM($S89:T89)</f>
        <v>0</v>
      </c>
      <c r="V89" cm="1">
        <f t="array" aca="1" ref="V89" ca="1">_xlfn.MAXIFS(COL(bench,"wine"), COL(bench,"model"), $R89, COL(bench,"instance"), INDEX($Q:$Q, ROW()-$R89), COL(bench,"time"),"&lt;="&amp;V$1)-SUM($S89:U89)</f>
        <v>0</v>
      </c>
      <c r="W89" cm="1">
        <f t="array" aca="1" ref="W89" ca="1">_xlfn.MAXIFS(COL(bench,"wine"), COL(bench,"model"), $R89, COL(bench,"instance"), INDEX($Q:$Q, ROW()-$R89), COL(bench,"time"),"&lt;="&amp;W$1)-SUM($S89:V89)</f>
        <v>0</v>
      </c>
      <c r="X89" t="e" cm="1">
        <f t="array" ref="X89" xml:space="preserve"> _xlfn.LET(
  _xlpm.idx, _xlfn.XMATCH(1,
      (COL(summary,"model")=$R89)*(COL(summary,"instance")=INDEX($Q:$Q, ROW()-$R89))),
  IFERROR(INDEX(COL(summary,"objective"), _xlpm.idx), #N/A)
)</f>
        <v>#N/A</v>
      </c>
    </row>
    <row r="90" spans="1:24" x14ac:dyDescent="0.25">
      <c r="A90">
        <f ca="1">IF(_372845237[[#This Row],[instance]]&lt;OFFSET(_372845237[[#This Row],[instance]],-1,0), OFFSET(_372845237[[#This Row],[model]],-1,0)+1, OFFSET(_372845237[[#This Row],[model]],-1,0))</f>
        <v>2</v>
      </c>
      <c r="B90">
        <v>2</v>
      </c>
      <c r="C90" s="5">
        <v>5.324074074074074E-6</v>
      </c>
      <c r="D90">
        <v>6</v>
      </c>
      <c r="E90">
        <v>4</v>
      </c>
      <c r="F90">
        <v>2</v>
      </c>
      <c r="G90" s="5">
        <v>2.1990740740740739E-6</v>
      </c>
      <c r="H90" s="5">
        <v>6.9445601851851847E-3</v>
      </c>
      <c r="I90" s="5">
        <v>3.0026620370370368E-3</v>
      </c>
      <c r="J90" s="5">
        <v>2.0833333333333334E-6</v>
      </c>
      <c r="P90" s="1"/>
      <c r="R90" s="2">
        <v>4</v>
      </c>
      <c r="S90" cm="1">
        <f t="array" aca="1" ref="S90" ca="1">_xlfn.MAXIFS(COL(bench,"wine"), COL(bench,"model"), $R90, COL(bench,"instance"), INDEX($Q:$Q, ROW()-$R90), COL(bench,"time"),"&lt;="&amp;S$1)</f>
        <v>4.75</v>
      </c>
      <c r="T90" cm="1">
        <f t="array" aca="1" ref="T90" ca="1">_xlfn.MAXIFS(COL(bench,"wine"), COL(bench,"model"), $R90, COL(bench,"instance"), INDEX($Q:$Q, ROW()-$R90), COL(bench,"time"),"&lt;="&amp;T$1)-SUM($S90:S90)</f>
        <v>0</v>
      </c>
      <c r="U90" cm="1">
        <f t="array" aca="1" ref="U90" ca="1">_xlfn.MAXIFS(COL(bench,"wine"), COL(bench,"model"), $R90, COL(bench,"instance"), INDEX($Q:$Q, ROW()-$R90), COL(bench,"time"),"&lt;="&amp;U$1)-SUM($S90:T90)</f>
        <v>0.375</v>
      </c>
      <c r="V90" cm="1">
        <f t="array" aca="1" ref="V90" ca="1">_xlfn.MAXIFS(COL(bench,"wine"), COL(bench,"model"), $R90, COL(bench,"instance"), INDEX($Q:$Q, ROW()-$R90), COL(bench,"time"),"&lt;="&amp;V$1)-SUM($S90:U90)</f>
        <v>0</v>
      </c>
      <c r="W90" cm="1">
        <f t="array" aca="1" ref="W90" ca="1">_xlfn.MAXIFS(COL(bench,"wine"), COL(bench,"model"), $R90, COL(bench,"instance"), INDEX($Q:$Q, ROW()-$R90), COL(bench,"time"),"&lt;="&amp;W$1)-SUM($S90:V90)</f>
        <v>0</v>
      </c>
      <c r="X90" t="e" cm="1">
        <f t="array" ref="X90" xml:space="preserve"> _xlfn.LET(
  _xlpm.idx, _xlfn.XMATCH(1,
      (COL(summary,"model")=$R90)*(COL(summary,"instance")=INDEX($Q:$Q, ROW()-$R90))),
  IFERROR(INDEX(COL(summary,"objective"), _xlpm.idx), #N/A)
)</f>
        <v>#N/A</v>
      </c>
    </row>
    <row r="91" spans="1:24" x14ac:dyDescent="0.25">
      <c r="A91">
        <f ca="1">IF(_372845237[[#This Row],[instance]]&lt;OFFSET(_372845237[[#This Row],[instance]],-1,0), OFFSET(_372845237[[#This Row],[model]],-1,0)+1, OFFSET(_372845237[[#This Row],[model]],-1,0))</f>
        <v>2</v>
      </c>
      <c r="B91">
        <v>2</v>
      </c>
      <c r="C91" s="5">
        <v>5.324074074074074E-6</v>
      </c>
      <c r="D91">
        <v>7</v>
      </c>
      <c r="E91">
        <v>5</v>
      </c>
      <c r="F91">
        <v>1</v>
      </c>
      <c r="G91" s="5">
        <v>2.1990740740740739E-6</v>
      </c>
      <c r="H91" s="5">
        <v>6.9445601851851847E-3</v>
      </c>
      <c r="I91" s="5">
        <v>3.0026620370370368E-3</v>
      </c>
      <c r="J91" s="5">
        <v>2.0833333333333334E-6</v>
      </c>
      <c r="P91" s="1"/>
    </row>
    <row r="92" spans="1:24" x14ac:dyDescent="0.25">
      <c r="A92">
        <f ca="1">IF(_372845237[[#This Row],[instance]]&lt;OFFSET(_372845237[[#This Row],[instance]],-1,0), OFFSET(_372845237[[#This Row],[model]],-1,0)+1, OFFSET(_372845237[[#This Row],[model]],-1,0))</f>
        <v>2</v>
      </c>
      <c r="B92">
        <v>2</v>
      </c>
      <c r="C92" s="5">
        <v>5.324074074074074E-6</v>
      </c>
      <c r="D92">
        <v>7.75</v>
      </c>
      <c r="E92">
        <v>6</v>
      </c>
      <c r="F92">
        <v>1</v>
      </c>
      <c r="G92" s="5">
        <v>2.1990740740740739E-6</v>
      </c>
      <c r="H92" s="5">
        <v>6.9445601851851847E-3</v>
      </c>
      <c r="I92" s="5">
        <v>3.0026620370370368E-3</v>
      </c>
      <c r="J92" s="5">
        <v>2.0833333333333334E-6</v>
      </c>
      <c r="P92" s="1"/>
      <c r="Q92">
        <v>16</v>
      </c>
    </row>
    <row r="93" spans="1:24" x14ac:dyDescent="0.25">
      <c r="A93">
        <f ca="1">IF(_372845237[[#This Row],[instance]]&lt;OFFSET(_372845237[[#This Row],[instance]],-1,0), OFFSET(_372845237[[#This Row],[model]],-1,0)+1, OFFSET(_372845237[[#This Row],[model]],-1,0))</f>
        <v>2</v>
      </c>
      <c r="B93">
        <v>2</v>
      </c>
      <c r="C93" s="5">
        <v>5.4398148148148149E-6</v>
      </c>
      <c r="D93">
        <v>8.5</v>
      </c>
      <c r="E93">
        <v>7</v>
      </c>
      <c r="F93">
        <v>1</v>
      </c>
      <c r="G93" s="5">
        <v>2.1990740740740739E-6</v>
      </c>
      <c r="H93" s="5">
        <v>6.9445601851851847E-3</v>
      </c>
      <c r="I93" s="5">
        <v>3.0026620370370368E-3</v>
      </c>
      <c r="J93" s="5">
        <v>2.0833333333333334E-6</v>
      </c>
      <c r="P93" s="1"/>
    </row>
    <row r="94" spans="1:24" x14ac:dyDescent="0.25">
      <c r="A94">
        <f ca="1">IF(_372845237[[#This Row],[instance]]&lt;OFFSET(_372845237[[#This Row],[instance]],-1,0), OFFSET(_372845237[[#This Row],[model]],-1,0)+1, OFFSET(_372845237[[#This Row],[model]],-1,0))</f>
        <v>2</v>
      </c>
      <c r="B94">
        <v>2</v>
      </c>
      <c r="C94" s="5">
        <v>5.4398148148148149E-6</v>
      </c>
      <c r="D94">
        <v>9.25</v>
      </c>
      <c r="E94">
        <v>8</v>
      </c>
      <c r="F94">
        <v>1</v>
      </c>
      <c r="G94" s="5">
        <v>2.1990740740740739E-6</v>
      </c>
      <c r="H94" s="5">
        <v>6.9445601851851847E-3</v>
      </c>
      <c r="I94" s="5">
        <v>3.0026620370370368E-3</v>
      </c>
      <c r="J94" s="5">
        <v>2.0833333333333334E-6</v>
      </c>
      <c r="P94" s="1"/>
    </row>
    <row r="95" spans="1:24" x14ac:dyDescent="0.25">
      <c r="A95">
        <f ca="1">IF(_372845237[[#This Row],[instance]]&lt;OFFSET(_372845237[[#This Row],[instance]],-1,0), OFFSET(_372845237[[#This Row],[model]],-1,0)+1, OFFSET(_372845237[[#This Row],[model]],-1,0))</f>
        <v>2</v>
      </c>
      <c r="B95">
        <v>2</v>
      </c>
      <c r="C95" s="5">
        <v>5.4398148148148149E-6</v>
      </c>
      <c r="D95">
        <v>9.625</v>
      </c>
      <c r="E95">
        <v>9</v>
      </c>
      <c r="F95">
        <v>1</v>
      </c>
      <c r="G95" s="5">
        <v>2.1990740740740739E-6</v>
      </c>
      <c r="H95" s="5">
        <v>6.9445601851851847E-3</v>
      </c>
      <c r="I95" s="5">
        <v>3.0026620370370368E-3</v>
      </c>
      <c r="J95" s="5">
        <v>2.0833333333333334E-6</v>
      </c>
      <c r="P95" s="1"/>
    </row>
    <row r="96" spans="1:24" x14ac:dyDescent="0.25">
      <c r="A96">
        <f ca="1">IF(_372845237[[#This Row],[instance]]&lt;OFFSET(_372845237[[#This Row],[instance]],-1,0), OFFSET(_372845237[[#This Row],[model]],-1,0)+1, OFFSET(_372845237[[#This Row],[model]],-1,0))</f>
        <v>2</v>
      </c>
      <c r="B96">
        <v>3</v>
      </c>
      <c r="C96" s="5">
        <v>5.2083333333333332E-6</v>
      </c>
      <c r="D96">
        <v>0</v>
      </c>
      <c r="E96">
        <v>0</v>
      </c>
      <c r="F96">
        <v>0</v>
      </c>
      <c r="G96" s="5">
        <v>2.0833333333333334E-6</v>
      </c>
      <c r="H96" s="5">
        <v>3.8194444444444442E-6</v>
      </c>
      <c r="I96" s="5">
        <v>3.0026620370370368E-3</v>
      </c>
      <c r="J96" s="5">
        <v>2.0833333333333334E-6</v>
      </c>
      <c r="P96" s="1"/>
    </row>
    <row r="97" spans="1:16" x14ac:dyDescent="0.25">
      <c r="A97">
        <f ca="1">IF(_372845237[[#This Row],[instance]]&lt;OFFSET(_372845237[[#This Row],[instance]],-1,0), OFFSET(_372845237[[#This Row],[model]],-1,0)+1, OFFSET(_372845237[[#This Row],[model]],-1,0))</f>
        <v>2</v>
      </c>
      <c r="B97">
        <v>3</v>
      </c>
      <c r="C97" s="5">
        <v>6.5972222222222221E-6</v>
      </c>
      <c r="D97">
        <v>4.625</v>
      </c>
      <c r="E97">
        <v>7</v>
      </c>
      <c r="F97">
        <v>1</v>
      </c>
      <c r="G97" s="5">
        <v>2.0833333333333334E-6</v>
      </c>
      <c r="H97" s="5">
        <v>3.8194444444444442E-6</v>
      </c>
      <c r="I97" s="5">
        <v>3.0026620370370368E-3</v>
      </c>
      <c r="J97" s="5">
        <v>2.0833333333333334E-6</v>
      </c>
      <c r="P97" s="1"/>
    </row>
    <row r="98" spans="1:16" x14ac:dyDescent="0.25">
      <c r="A98">
        <f ca="1">IF(_372845237[[#This Row],[instance]]&lt;OFFSET(_372845237[[#This Row],[instance]],-1,0), OFFSET(_372845237[[#This Row],[model]],-1,0)+1, OFFSET(_372845237[[#This Row],[model]],-1,0))</f>
        <v>2</v>
      </c>
      <c r="B98">
        <v>4</v>
      </c>
      <c r="C98" s="5">
        <v>5.324074074074074E-6</v>
      </c>
      <c r="D98">
        <v>0</v>
      </c>
      <c r="E98">
        <v>0</v>
      </c>
      <c r="F98">
        <v>0</v>
      </c>
      <c r="G98" s="5">
        <v>2.1990740740740739E-6</v>
      </c>
      <c r="H98" s="5">
        <v>1.0296296296296297E-3</v>
      </c>
      <c r="I98" s="5">
        <v>3.0026620370370368E-3</v>
      </c>
      <c r="J98" s="5">
        <v>2.0833333333333334E-6</v>
      </c>
      <c r="P98" s="1"/>
    </row>
    <row r="99" spans="1:16" x14ac:dyDescent="0.25">
      <c r="A99">
        <f ca="1">IF(_372845237[[#This Row],[instance]]&lt;OFFSET(_372845237[[#This Row],[instance]],-1,0), OFFSET(_372845237[[#This Row],[model]],-1,0)+1, OFFSET(_372845237[[#This Row],[model]],-1,0))</f>
        <v>2</v>
      </c>
      <c r="B99">
        <v>4</v>
      </c>
      <c r="C99" s="5">
        <v>5.324074074074074E-6</v>
      </c>
      <c r="D99">
        <v>3</v>
      </c>
      <c r="E99">
        <v>1</v>
      </c>
      <c r="F99">
        <v>1</v>
      </c>
      <c r="G99" s="5">
        <v>2.1990740740740739E-6</v>
      </c>
      <c r="H99" s="5">
        <v>1.0296296296296297E-3</v>
      </c>
      <c r="I99" s="5">
        <v>3.0026620370370368E-3</v>
      </c>
      <c r="J99" s="5">
        <v>2.0833333333333334E-6</v>
      </c>
      <c r="P99" s="1"/>
    </row>
    <row r="100" spans="1:16" x14ac:dyDescent="0.25">
      <c r="A100">
        <f ca="1">IF(_372845237[[#This Row],[instance]]&lt;OFFSET(_372845237[[#This Row],[instance]],-1,0), OFFSET(_372845237[[#This Row],[model]],-1,0)+1, OFFSET(_372845237[[#This Row],[model]],-1,0))</f>
        <v>2</v>
      </c>
      <c r="B100">
        <v>4</v>
      </c>
      <c r="C100" s="5">
        <v>5.324074074074074E-6</v>
      </c>
      <c r="D100">
        <v>6</v>
      </c>
      <c r="E100">
        <v>2</v>
      </c>
      <c r="F100">
        <v>2</v>
      </c>
      <c r="G100" s="5">
        <v>2.1990740740740739E-6</v>
      </c>
      <c r="H100" s="5">
        <v>1.0296296296296297E-3</v>
      </c>
      <c r="I100" s="5">
        <v>3.0026620370370368E-3</v>
      </c>
      <c r="J100" s="5">
        <v>2.0833333333333334E-6</v>
      </c>
      <c r="P100" s="1"/>
    </row>
    <row r="101" spans="1:16" x14ac:dyDescent="0.25">
      <c r="A101">
        <f ca="1">IF(_372845237[[#This Row],[instance]]&lt;OFFSET(_372845237[[#This Row],[instance]],-1,0), OFFSET(_372845237[[#This Row],[model]],-1,0)+1, OFFSET(_372845237[[#This Row],[model]],-1,0))</f>
        <v>2</v>
      </c>
      <c r="B101">
        <v>4</v>
      </c>
      <c r="C101" s="5">
        <v>5.3506944444444446E-4</v>
      </c>
      <c r="D101">
        <v>8</v>
      </c>
      <c r="E101">
        <v>7</v>
      </c>
      <c r="F101">
        <v>2</v>
      </c>
      <c r="G101" s="5">
        <v>2.1990740740740739E-6</v>
      </c>
      <c r="H101" s="5">
        <v>1.0296296296296297E-3</v>
      </c>
      <c r="I101" s="5">
        <v>3.0026620370370368E-3</v>
      </c>
      <c r="J101" s="5">
        <v>2.0833333333333334E-6</v>
      </c>
      <c r="P101" s="1"/>
    </row>
    <row r="102" spans="1:16" x14ac:dyDescent="0.25">
      <c r="A102">
        <f ca="1">IF(_372845237[[#This Row],[instance]]&lt;OFFSET(_372845237[[#This Row],[instance]],-1,0), OFFSET(_372845237[[#This Row],[model]],-1,0)+1, OFFSET(_372845237[[#This Row],[model]],-1,0))</f>
        <v>2</v>
      </c>
      <c r="B102">
        <v>4</v>
      </c>
      <c r="C102" s="5">
        <v>5.4571759259259254E-4</v>
      </c>
      <c r="D102">
        <v>11</v>
      </c>
      <c r="E102">
        <v>8</v>
      </c>
      <c r="F102">
        <v>3</v>
      </c>
      <c r="G102" s="5">
        <v>2.1990740740740739E-6</v>
      </c>
      <c r="H102" s="5">
        <v>1.0296296296296297E-3</v>
      </c>
      <c r="I102" s="5">
        <v>3.0026620370370368E-3</v>
      </c>
      <c r="J102" s="5">
        <v>2.0833333333333334E-6</v>
      </c>
      <c r="P102" s="1"/>
    </row>
    <row r="103" spans="1:16" x14ac:dyDescent="0.25">
      <c r="A103">
        <f ca="1">IF(_372845237[[#This Row],[instance]]&lt;OFFSET(_372845237[[#This Row],[instance]],-1,0), OFFSET(_372845237[[#This Row],[model]],-1,0)+1, OFFSET(_372845237[[#This Row],[model]],-1,0))</f>
        <v>2</v>
      </c>
      <c r="B103">
        <v>5</v>
      </c>
      <c r="C103" s="5">
        <v>5.2083333333333332E-6</v>
      </c>
      <c r="D103">
        <v>0</v>
      </c>
      <c r="E103">
        <v>0</v>
      </c>
      <c r="F103">
        <v>0</v>
      </c>
      <c r="G103" s="5">
        <v>2.0833333333333334E-6</v>
      </c>
      <c r="H103" s="5">
        <v>1.9335648148148148E-3</v>
      </c>
      <c r="I103" s="5">
        <v>3.0026620370370368E-3</v>
      </c>
      <c r="J103" s="5">
        <v>2.0833333333333334E-6</v>
      </c>
      <c r="P103" s="1"/>
    </row>
    <row r="104" spans="1:16" x14ac:dyDescent="0.25">
      <c r="A104">
        <f ca="1">IF(_372845237[[#This Row],[instance]]&lt;OFFSET(_372845237[[#This Row],[instance]],-1,0), OFFSET(_372845237[[#This Row],[model]],-1,0)+1, OFFSET(_372845237[[#This Row],[model]],-1,0))</f>
        <v>2</v>
      </c>
      <c r="B104">
        <v>5</v>
      </c>
      <c r="C104" s="5">
        <v>6.2638888888888889E-4</v>
      </c>
      <c r="D104">
        <v>2.625</v>
      </c>
      <c r="E104">
        <v>5</v>
      </c>
      <c r="F104">
        <v>1</v>
      </c>
      <c r="G104" s="5">
        <v>2.0833333333333334E-6</v>
      </c>
      <c r="H104" s="5">
        <v>1.9335648148148148E-3</v>
      </c>
      <c r="I104" s="5">
        <v>3.0026620370370368E-3</v>
      </c>
      <c r="J104" s="5">
        <v>2.0833333333333334E-6</v>
      </c>
      <c r="P104" s="1"/>
    </row>
    <row r="105" spans="1:16" x14ac:dyDescent="0.25">
      <c r="A105">
        <f ca="1">IF(_372845237[[#This Row],[instance]]&lt;OFFSET(_372845237[[#This Row],[instance]],-1,0), OFFSET(_372845237[[#This Row],[model]],-1,0)+1, OFFSET(_372845237[[#This Row],[model]],-1,0))</f>
        <v>2</v>
      </c>
      <c r="B105">
        <v>6</v>
      </c>
      <c r="C105" s="5">
        <v>5.324074074074074E-6</v>
      </c>
      <c r="D105">
        <v>0</v>
      </c>
      <c r="E105">
        <v>0</v>
      </c>
      <c r="F105">
        <v>0</v>
      </c>
      <c r="G105" s="5">
        <v>2.0833333333333334E-6</v>
      </c>
      <c r="H105" s="5">
        <v>2.4274305555555555E-3</v>
      </c>
      <c r="I105" s="5">
        <v>3.0026620370370368E-3</v>
      </c>
      <c r="J105" s="5">
        <v>2.0833333333333334E-6</v>
      </c>
      <c r="P105" s="1"/>
    </row>
    <row r="106" spans="1:16" x14ac:dyDescent="0.25">
      <c r="A106">
        <f ca="1">IF(_372845237[[#This Row],[instance]]&lt;OFFSET(_372845237[[#This Row],[instance]],-1,0), OFFSET(_372845237[[#This Row],[model]],-1,0)+1, OFFSET(_372845237[[#This Row],[model]],-1,0))</f>
        <v>2</v>
      </c>
      <c r="B106">
        <v>6</v>
      </c>
      <c r="C106" s="5">
        <v>5.324074074074074E-6</v>
      </c>
      <c r="D106">
        <v>7</v>
      </c>
      <c r="E106">
        <v>3</v>
      </c>
      <c r="F106">
        <v>1</v>
      </c>
      <c r="G106" s="5">
        <v>2.0833333333333334E-6</v>
      </c>
      <c r="H106" s="5">
        <v>2.4274305555555555E-3</v>
      </c>
      <c r="I106" s="5">
        <v>3.0026620370370368E-3</v>
      </c>
      <c r="J106" s="5">
        <v>2.0833333333333334E-6</v>
      </c>
      <c r="P106" s="1"/>
    </row>
    <row r="107" spans="1:16" x14ac:dyDescent="0.25">
      <c r="A107">
        <f ca="1">IF(_372845237[[#This Row],[instance]]&lt;OFFSET(_372845237[[#This Row],[instance]],-1,0), OFFSET(_372845237[[#This Row],[model]],-1,0)+1, OFFSET(_372845237[[#This Row],[model]],-1,0))</f>
        <v>2</v>
      </c>
      <c r="B107">
        <v>6</v>
      </c>
      <c r="C107" s="5">
        <v>5.324074074074074E-6</v>
      </c>
      <c r="D107">
        <v>9</v>
      </c>
      <c r="E107">
        <v>3</v>
      </c>
      <c r="F107">
        <v>1</v>
      </c>
      <c r="G107" s="5">
        <v>2.0833333333333334E-6</v>
      </c>
      <c r="H107" s="5">
        <v>2.4274305555555555E-3</v>
      </c>
      <c r="I107" s="5">
        <v>3.0026620370370368E-3</v>
      </c>
      <c r="J107" s="5">
        <v>2.0833333333333334E-6</v>
      </c>
      <c r="P107" s="1"/>
    </row>
    <row r="108" spans="1:16" x14ac:dyDescent="0.25">
      <c r="A108">
        <f ca="1">IF(_372845237[[#This Row],[instance]]&lt;OFFSET(_372845237[[#This Row],[instance]],-1,0), OFFSET(_372845237[[#This Row],[model]],-1,0)+1, OFFSET(_372845237[[#This Row],[model]],-1,0))</f>
        <v>2</v>
      </c>
      <c r="B108">
        <v>6</v>
      </c>
      <c r="C108" s="5">
        <v>5.324074074074074E-6</v>
      </c>
      <c r="D108">
        <v>10</v>
      </c>
      <c r="E108">
        <v>4</v>
      </c>
      <c r="F108">
        <v>1</v>
      </c>
      <c r="G108" s="5">
        <v>2.0833333333333334E-6</v>
      </c>
      <c r="H108" s="5">
        <v>2.4274305555555555E-3</v>
      </c>
      <c r="I108" s="5">
        <v>3.0026620370370368E-3</v>
      </c>
      <c r="J108" s="5">
        <v>2.0833333333333334E-6</v>
      </c>
      <c r="P108" s="1"/>
    </row>
    <row r="109" spans="1:16" x14ac:dyDescent="0.25">
      <c r="A109">
        <f ca="1">IF(_372845237[[#This Row],[instance]]&lt;OFFSET(_372845237[[#This Row],[instance]],-1,0), OFFSET(_372845237[[#This Row],[model]],-1,0)+1, OFFSET(_372845237[[#This Row],[model]],-1,0))</f>
        <v>2</v>
      </c>
      <c r="B109">
        <v>6</v>
      </c>
      <c r="C109" s="5">
        <v>1.1509259259259259E-3</v>
      </c>
      <c r="D109">
        <v>10.375</v>
      </c>
      <c r="E109">
        <v>5</v>
      </c>
      <c r="F109">
        <v>1</v>
      </c>
      <c r="G109" s="5">
        <v>2.0833333333333334E-6</v>
      </c>
      <c r="H109" s="5">
        <v>2.4274305555555555E-3</v>
      </c>
      <c r="I109" s="5">
        <v>3.0026620370370368E-3</v>
      </c>
      <c r="J109" s="5">
        <v>2.0833333333333334E-6</v>
      </c>
      <c r="P109" s="1"/>
    </row>
    <row r="110" spans="1:16" x14ac:dyDescent="0.25">
      <c r="A110">
        <f ca="1">IF(_372845237[[#This Row],[instance]]&lt;OFFSET(_372845237[[#This Row],[instance]],-1,0), OFFSET(_372845237[[#This Row],[model]],-1,0)+1, OFFSET(_372845237[[#This Row],[model]],-1,0))</f>
        <v>2</v>
      </c>
      <c r="B110">
        <v>6</v>
      </c>
      <c r="C110" s="5">
        <v>2.4269675925925925E-3</v>
      </c>
      <c r="D110">
        <v>13.375</v>
      </c>
      <c r="E110">
        <v>9</v>
      </c>
      <c r="F110">
        <v>2</v>
      </c>
      <c r="G110" s="5">
        <v>2.0833333333333334E-6</v>
      </c>
      <c r="H110" s="5">
        <v>2.4274305555555555E-3</v>
      </c>
      <c r="I110" s="5">
        <v>3.0026620370370368E-3</v>
      </c>
      <c r="J110" s="5">
        <v>2.0833333333333334E-6</v>
      </c>
      <c r="P110" s="1"/>
    </row>
    <row r="111" spans="1:16" x14ac:dyDescent="0.25">
      <c r="A111">
        <f ca="1">IF(_372845237[[#This Row],[instance]]&lt;OFFSET(_372845237[[#This Row],[instance]],-1,0), OFFSET(_372845237[[#This Row],[model]],-1,0)+1, OFFSET(_372845237[[#This Row],[model]],-1,0))</f>
        <v>2</v>
      </c>
      <c r="B111">
        <v>6</v>
      </c>
      <c r="C111" s="5">
        <v>2.4303240740740739E-3</v>
      </c>
      <c r="D111">
        <v>13.75</v>
      </c>
      <c r="E111">
        <v>10</v>
      </c>
      <c r="F111">
        <v>2</v>
      </c>
      <c r="G111" s="5">
        <v>2.0833333333333334E-6</v>
      </c>
      <c r="H111" s="5">
        <v>2.4274305555555555E-3</v>
      </c>
      <c r="I111" s="5">
        <v>3.0026620370370368E-3</v>
      </c>
      <c r="J111" s="5">
        <v>2.0833333333333334E-6</v>
      </c>
      <c r="P111" s="1"/>
    </row>
    <row r="112" spans="1:16" x14ac:dyDescent="0.25">
      <c r="A112">
        <f ca="1">IF(_372845237[[#This Row],[instance]]&lt;OFFSET(_372845237[[#This Row],[instance]],-1,0), OFFSET(_372845237[[#This Row],[model]],-1,0)+1, OFFSET(_372845237[[#This Row],[model]],-1,0))</f>
        <v>2</v>
      </c>
      <c r="B112">
        <v>6</v>
      </c>
      <c r="C112" s="5">
        <v>2.4303240740740739E-3</v>
      </c>
      <c r="D112">
        <v>13.75</v>
      </c>
      <c r="E112">
        <v>10</v>
      </c>
      <c r="F112">
        <v>2</v>
      </c>
      <c r="G112" s="5">
        <v>2.0833333333333334E-6</v>
      </c>
      <c r="H112" s="5">
        <v>2.4274305555555555E-3</v>
      </c>
      <c r="I112" s="5">
        <v>3.0026620370370368E-3</v>
      </c>
      <c r="J112" s="5">
        <v>2.0833333333333334E-6</v>
      </c>
      <c r="P112" s="1"/>
    </row>
    <row r="113" spans="1:16" x14ac:dyDescent="0.25">
      <c r="A113">
        <f ca="1">IF(_372845237[[#This Row],[instance]]&lt;OFFSET(_372845237[[#This Row],[instance]],-1,0), OFFSET(_372845237[[#This Row],[model]],-1,0)+1, OFFSET(_372845237[[#This Row],[model]],-1,0))</f>
        <v>2</v>
      </c>
      <c r="B113">
        <v>7</v>
      </c>
      <c r="C113" s="5">
        <v>5.2083333333333332E-6</v>
      </c>
      <c r="D113">
        <v>0</v>
      </c>
      <c r="E113">
        <v>0</v>
      </c>
      <c r="F113">
        <v>0</v>
      </c>
      <c r="G113" s="5">
        <v>2.0833333333333334E-6</v>
      </c>
      <c r="H113" s="5">
        <v>4.9351851851851846E-4</v>
      </c>
      <c r="I113" s="5">
        <v>3.0026620370370368E-3</v>
      </c>
      <c r="J113" s="5">
        <v>2.0833333333333334E-6</v>
      </c>
      <c r="P113" s="1"/>
    </row>
    <row r="114" spans="1:16" x14ac:dyDescent="0.25">
      <c r="A114">
        <f ca="1">IF(_372845237[[#This Row],[instance]]&lt;OFFSET(_372845237[[#This Row],[instance]],-1,0), OFFSET(_372845237[[#This Row],[model]],-1,0)+1, OFFSET(_372845237[[#This Row],[model]],-1,0))</f>
        <v>2</v>
      </c>
      <c r="B114">
        <v>7</v>
      </c>
      <c r="C114" s="5">
        <v>5.2083333333333332E-6</v>
      </c>
      <c r="D114">
        <v>3</v>
      </c>
      <c r="E114">
        <v>1</v>
      </c>
      <c r="F114">
        <v>1</v>
      </c>
      <c r="G114" s="5">
        <v>2.0833333333333334E-6</v>
      </c>
      <c r="H114" s="5">
        <v>4.9351851851851846E-4</v>
      </c>
      <c r="I114" s="5">
        <v>3.0026620370370368E-3</v>
      </c>
      <c r="J114" s="5">
        <v>2.0833333333333334E-6</v>
      </c>
      <c r="P114" s="1"/>
    </row>
    <row r="115" spans="1:16" x14ac:dyDescent="0.25">
      <c r="A115">
        <f ca="1">IF(_372845237[[#This Row],[instance]]&lt;OFFSET(_372845237[[#This Row],[instance]],-1,0), OFFSET(_372845237[[#This Row],[model]],-1,0)+1, OFFSET(_372845237[[#This Row],[model]],-1,0))</f>
        <v>2</v>
      </c>
      <c r="B115">
        <v>7</v>
      </c>
      <c r="C115" s="5">
        <v>5.2083333333333332E-6</v>
      </c>
      <c r="D115">
        <v>6</v>
      </c>
      <c r="E115">
        <v>2</v>
      </c>
      <c r="F115">
        <v>2</v>
      </c>
      <c r="G115" s="5">
        <v>2.0833333333333334E-6</v>
      </c>
      <c r="H115" s="5">
        <v>4.9351851851851846E-4</v>
      </c>
      <c r="I115" s="5">
        <v>3.0026620370370368E-3</v>
      </c>
      <c r="J115" s="5">
        <v>2.0833333333333334E-6</v>
      </c>
      <c r="P115" s="1"/>
    </row>
    <row r="116" spans="1:16" x14ac:dyDescent="0.25">
      <c r="A116">
        <f ca="1">IF(_372845237[[#This Row],[instance]]&lt;OFFSET(_372845237[[#This Row],[instance]],-1,0), OFFSET(_372845237[[#This Row],[model]],-1,0)+1, OFFSET(_372845237[[#This Row],[model]],-1,0))</f>
        <v>2</v>
      </c>
      <c r="B116">
        <v>7</v>
      </c>
      <c r="C116" s="5">
        <v>5.2083333333333332E-6</v>
      </c>
      <c r="D116">
        <v>9</v>
      </c>
      <c r="E116">
        <v>3</v>
      </c>
      <c r="F116">
        <v>3</v>
      </c>
      <c r="G116" s="5">
        <v>2.0833333333333334E-6</v>
      </c>
      <c r="H116" s="5">
        <v>4.9351851851851846E-4</v>
      </c>
      <c r="I116" s="5">
        <v>3.0026620370370368E-3</v>
      </c>
      <c r="J116" s="5">
        <v>2.0833333333333334E-6</v>
      </c>
      <c r="P116" s="1"/>
    </row>
    <row r="117" spans="1:16" x14ac:dyDescent="0.25">
      <c r="A117">
        <f ca="1">IF(_372845237[[#This Row],[instance]]&lt;OFFSET(_372845237[[#This Row],[instance]],-1,0), OFFSET(_372845237[[#This Row],[model]],-1,0)+1, OFFSET(_372845237[[#This Row],[model]],-1,0))</f>
        <v>2</v>
      </c>
      <c r="B117">
        <v>7</v>
      </c>
      <c r="C117" s="5">
        <v>3.8749999999999999E-4</v>
      </c>
      <c r="D117">
        <v>10.125</v>
      </c>
      <c r="E117">
        <v>6</v>
      </c>
      <c r="F117">
        <v>4</v>
      </c>
      <c r="G117" s="5">
        <v>2.0833333333333334E-6</v>
      </c>
      <c r="H117" s="5">
        <v>4.9351851851851846E-4</v>
      </c>
      <c r="I117" s="5">
        <v>3.0026620370370368E-3</v>
      </c>
      <c r="J117" s="5">
        <v>2.0833333333333334E-6</v>
      </c>
      <c r="P117" s="1"/>
    </row>
    <row r="118" spans="1:16" x14ac:dyDescent="0.25">
      <c r="A118">
        <f ca="1">IF(_372845237[[#This Row],[instance]]&lt;OFFSET(_372845237[[#This Row],[instance]],-1,0), OFFSET(_372845237[[#This Row],[model]],-1,0)+1, OFFSET(_372845237[[#This Row],[model]],-1,0))</f>
        <v>2</v>
      </c>
      <c r="B118">
        <v>7</v>
      </c>
      <c r="C118" s="5">
        <v>4.2291666666666666E-4</v>
      </c>
      <c r="D118">
        <v>10.5</v>
      </c>
      <c r="E118">
        <v>7</v>
      </c>
      <c r="F118">
        <v>4</v>
      </c>
      <c r="G118" s="5">
        <v>2.0833333333333334E-6</v>
      </c>
      <c r="H118" s="5">
        <v>4.9351851851851846E-4</v>
      </c>
      <c r="I118" s="5">
        <v>3.0026620370370368E-3</v>
      </c>
      <c r="J118" s="5">
        <v>2.0833333333333334E-6</v>
      </c>
      <c r="P118" s="1"/>
    </row>
    <row r="119" spans="1:16" x14ac:dyDescent="0.25">
      <c r="A119">
        <f ca="1">IF(_372845237[[#This Row],[instance]]&lt;OFFSET(_372845237[[#This Row],[instance]],-1,0), OFFSET(_372845237[[#This Row],[model]],-1,0)+1, OFFSET(_372845237[[#This Row],[model]],-1,0))</f>
        <v>2</v>
      </c>
      <c r="B119">
        <v>8</v>
      </c>
      <c r="C119" s="5">
        <v>5.2083333333333332E-6</v>
      </c>
      <c r="D119">
        <v>0</v>
      </c>
      <c r="E119">
        <v>0</v>
      </c>
      <c r="F119">
        <v>0</v>
      </c>
      <c r="G119" s="5">
        <v>2.0833333333333334E-6</v>
      </c>
      <c r="H119" s="5">
        <v>4.0474537037037036E-4</v>
      </c>
      <c r="I119" s="5">
        <v>3.0026620370370368E-3</v>
      </c>
      <c r="J119" s="5">
        <v>2.0833333333333334E-6</v>
      </c>
      <c r="P119" s="1"/>
    </row>
    <row r="120" spans="1:16" x14ac:dyDescent="0.25">
      <c r="A120">
        <f ca="1">IF(_372845237[[#This Row],[instance]]&lt;OFFSET(_372845237[[#This Row],[instance]],-1,0), OFFSET(_372845237[[#This Row],[model]],-1,0)+1, OFFSET(_372845237[[#This Row],[model]],-1,0))</f>
        <v>2</v>
      </c>
      <c r="B120">
        <v>8</v>
      </c>
      <c r="C120" s="5">
        <v>5.4398148148148149E-6</v>
      </c>
      <c r="D120">
        <v>9</v>
      </c>
      <c r="E120">
        <v>3</v>
      </c>
      <c r="F120">
        <v>1</v>
      </c>
      <c r="G120" s="5">
        <v>2.0833333333333334E-6</v>
      </c>
      <c r="H120" s="5">
        <v>4.0474537037037036E-4</v>
      </c>
      <c r="I120" s="5">
        <v>3.0026620370370368E-3</v>
      </c>
      <c r="J120" s="5">
        <v>2.0833333333333334E-6</v>
      </c>
      <c r="P120" s="1"/>
    </row>
    <row r="121" spans="1:16" x14ac:dyDescent="0.25">
      <c r="A121">
        <f ca="1">IF(_372845237[[#This Row],[instance]]&lt;OFFSET(_372845237[[#This Row],[instance]],-1,0), OFFSET(_372845237[[#This Row],[model]],-1,0)+1, OFFSET(_372845237[[#This Row],[model]],-1,0))</f>
        <v>2</v>
      </c>
      <c r="B121">
        <v>8</v>
      </c>
      <c r="C121" s="5">
        <v>5.4398148148148149E-6</v>
      </c>
      <c r="D121">
        <v>10</v>
      </c>
      <c r="E121">
        <v>4</v>
      </c>
      <c r="F121">
        <v>1</v>
      </c>
      <c r="G121" s="5">
        <v>2.0833333333333334E-6</v>
      </c>
      <c r="H121" s="5">
        <v>4.0474537037037036E-4</v>
      </c>
      <c r="I121" s="5">
        <v>3.0026620370370368E-3</v>
      </c>
      <c r="J121" s="5">
        <v>2.0833333333333334E-6</v>
      </c>
      <c r="P121" s="1"/>
    </row>
    <row r="122" spans="1:16" x14ac:dyDescent="0.25">
      <c r="A122">
        <f ca="1">IF(_372845237[[#This Row],[instance]]&lt;OFFSET(_372845237[[#This Row],[instance]],-1,0), OFFSET(_372845237[[#This Row],[model]],-1,0)+1, OFFSET(_372845237[[#This Row],[model]],-1,0))</f>
        <v>2</v>
      </c>
      <c r="B122">
        <v>8</v>
      </c>
      <c r="C122" s="5">
        <v>5.4398148148148149E-6</v>
      </c>
      <c r="D122">
        <v>12</v>
      </c>
      <c r="E122">
        <v>4</v>
      </c>
      <c r="F122">
        <v>1</v>
      </c>
      <c r="G122" s="5">
        <v>2.0833333333333334E-6</v>
      </c>
      <c r="H122" s="5">
        <v>4.0474537037037036E-4</v>
      </c>
      <c r="I122" s="5">
        <v>3.0026620370370368E-3</v>
      </c>
      <c r="J122" s="5">
        <v>2.0833333333333334E-6</v>
      </c>
      <c r="P122" s="1"/>
    </row>
    <row r="123" spans="1:16" x14ac:dyDescent="0.25">
      <c r="A123">
        <f ca="1">IF(_372845237[[#This Row],[instance]]&lt;OFFSET(_372845237[[#This Row],[instance]],-1,0), OFFSET(_372845237[[#This Row],[model]],-1,0)+1, OFFSET(_372845237[[#This Row],[model]],-1,0))</f>
        <v>2</v>
      </c>
      <c r="B123">
        <v>8</v>
      </c>
      <c r="C123" s="5">
        <v>4.0763888888888886E-4</v>
      </c>
      <c r="D123">
        <v>14</v>
      </c>
      <c r="E123">
        <v>6</v>
      </c>
      <c r="F123">
        <v>2</v>
      </c>
      <c r="G123" s="5">
        <v>2.0833333333333334E-6</v>
      </c>
      <c r="H123" s="5">
        <v>4.0474537037037036E-4</v>
      </c>
      <c r="I123" s="5">
        <v>3.0026620370370368E-3</v>
      </c>
      <c r="J123" s="5">
        <v>2.0833333333333334E-6</v>
      </c>
      <c r="P123" s="1"/>
    </row>
    <row r="124" spans="1:16" x14ac:dyDescent="0.25">
      <c r="A124">
        <f ca="1">IF(_372845237[[#This Row],[instance]]&lt;OFFSET(_372845237[[#This Row],[instance]],-1,0), OFFSET(_372845237[[#This Row],[model]],-1,0)+1, OFFSET(_372845237[[#This Row],[model]],-1,0))</f>
        <v>2</v>
      </c>
      <c r="B124">
        <v>8</v>
      </c>
      <c r="C124" s="5">
        <v>4.0763888888888886E-4</v>
      </c>
      <c r="D124">
        <v>14.5</v>
      </c>
      <c r="E124">
        <v>7</v>
      </c>
      <c r="F124">
        <v>2</v>
      </c>
      <c r="G124" s="5">
        <v>2.0833333333333334E-6</v>
      </c>
      <c r="H124" s="5">
        <v>4.0474537037037036E-4</v>
      </c>
      <c r="I124" s="5">
        <v>3.0026620370370368E-3</v>
      </c>
      <c r="J124" s="5">
        <v>2.0833333333333334E-6</v>
      </c>
      <c r="P124" s="1"/>
    </row>
    <row r="125" spans="1:16" x14ac:dyDescent="0.25">
      <c r="A125">
        <f ca="1">IF(_372845237[[#This Row],[instance]]&lt;OFFSET(_372845237[[#This Row],[instance]],-1,0), OFFSET(_372845237[[#This Row],[model]],-1,0)+1, OFFSET(_372845237[[#This Row],[model]],-1,0))</f>
        <v>2</v>
      </c>
      <c r="B125">
        <v>8</v>
      </c>
      <c r="C125" s="5">
        <v>4.0763888888888886E-4</v>
      </c>
      <c r="D125">
        <v>14.75</v>
      </c>
      <c r="E125">
        <v>7</v>
      </c>
      <c r="F125">
        <v>2</v>
      </c>
      <c r="G125" s="5">
        <v>2.0833333333333334E-6</v>
      </c>
      <c r="H125" s="5">
        <v>4.0474537037037036E-4</v>
      </c>
      <c r="I125" s="5">
        <v>3.0026620370370368E-3</v>
      </c>
      <c r="J125" s="5">
        <v>2.0833333333333334E-6</v>
      </c>
      <c r="P125" s="1"/>
    </row>
    <row r="126" spans="1:16" x14ac:dyDescent="0.25">
      <c r="A126">
        <f ca="1">IF(_372845237[[#This Row],[instance]]&lt;OFFSET(_372845237[[#This Row],[instance]],-1,0), OFFSET(_372845237[[#This Row],[model]],-1,0)+1, OFFSET(_372845237[[#This Row],[model]],-1,0))</f>
        <v>2</v>
      </c>
      <c r="B126">
        <v>8</v>
      </c>
      <c r="C126" s="5">
        <v>4.0763888888888886E-4</v>
      </c>
      <c r="D126">
        <v>15.5</v>
      </c>
      <c r="E126">
        <v>8</v>
      </c>
      <c r="F126">
        <v>2</v>
      </c>
      <c r="G126" s="5">
        <v>2.0833333333333334E-6</v>
      </c>
      <c r="H126" s="5">
        <v>4.0474537037037036E-4</v>
      </c>
      <c r="I126" s="5">
        <v>3.0026620370370368E-3</v>
      </c>
      <c r="J126" s="5">
        <v>2.0833333333333334E-6</v>
      </c>
      <c r="P126" s="1"/>
    </row>
    <row r="127" spans="1:16" x14ac:dyDescent="0.25">
      <c r="A127">
        <f ca="1">IF(_372845237[[#This Row],[instance]]&lt;OFFSET(_372845237[[#This Row],[instance]],-1,0), OFFSET(_372845237[[#This Row],[model]],-1,0)+1, OFFSET(_372845237[[#This Row],[model]],-1,0))</f>
        <v>2</v>
      </c>
      <c r="B127">
        <v>8</v>
      </c>
      <c r="C127" s="5">
        <v>4.0763888888888886E-4</v>
      </c>
      <c r="D127">
        <v>15.875</v>
      </c>
      <c r="E127">
        <v>9</v>
      </c>
      <c r="F127">
        <v>2</v>
      </c>
      <c r="G127" s="5">
        <v>2.0833333333333334E-6</v>
      </c>
      <c r="H127" s="5">
        <v>4.0474537037037036E-4</v>
      </c>
      <c r="I127" s="5">
        <v>3.0026620370370368E-3</v>
      </c>
      <c r="J127" s="5">
        <v>2.0833333333333334E-6</v>
      </c>
      <c r="P127" s="1"/>
    </row>
    <row r="128" spans="1:16" x14ac:dyDescent="0.25">
      <c r="A128">
        <f ca="1">IF(_372845237[[#This Row],[instance]]&lt;OFFSET(_372845237[[#This Row],[instance]],-1,0), OFFSET(_372845237[[#This Row],[model]],-1,0)+1, OFFSET(_372845237[[#This Row],[model]],-1,0))</f>
        <v>2</v>
      </c>
      <c r="B128">
        <v>8</v>
      </c>
      <c r="C128" s="5">
        <v>4.0763888888888886E-4</v>
      </c>
      <c r="D128">
        <v>16.25</v>
      </c>
      <c r="E128">
        <v>9</v>
      </c>
      <c r="F128">
        <v>2</v>
      </c>
      <c r="G128" s="5">
        <v>2.0833333333333334E-6</v>
      </c>
      <c r="H128" s="5">
        <v>4.0474537037037036E-4</v>
      </c>
      <c r="I128" s="5">
        <v>3.0026620370370368E-3</v>
      </c>
      <c r="J128" s="5">
        <v>2.0833333333333334E-6</v>
      </c>
      <c r="P128" s="1"/>
    </row>
    <row r="129" spans="1:16" x14ac:dyDescent="0.25">
      <c r="A129">
        <f ca="1">IF(_372845237[[#This Row],[instance]]&lt;OFFSET(_372845237[[#This Row],[instance]],-1,0), OFFSET(_372845237[[#This Row],[model]],-1,0)+1, OFFSET(_372845237[[#This Row],[model]],-1,0))</f>
        <v>2</v>
      </c>
      <c r="B129">
        <v>8</v>
      </c>
      <c r="C129" s="5">
        <v>4.0763888888888886E-4</v>
      </c>
      <c r="D129">
        <v>16.625</v>
      </c>
      <c r="E129">
        <v>10</v>
      </c>
      <c r="F129">
        <v>2</v>
      </c>
      <c r="G129" s="5">
        <v>2.0833333333333334E-6</v>
      </c>
      <c r="H129" s="5">
        <v>4.0474537037037036E-4</v>
      </c>
      <c r="I129" s="5">
        <v>3.0026620370370368E-3</v>
      </c>
      <c r="J129" s="5">
        <v>2.0833333333333334E-6</v>
      </c>
      <c r="P129" s="1"/>
    </row>
    <row r="130" spans="1:16" x14ac:dyDescent="0.25">
      <c r="A130">
        <f ca="1">IF(_372845237[[#This Row],[instance]]&lt;OFFSET(_372845237[[#This Row],[instance]],-1,0), OFFSET(_372845237[[#This Row],[model]],-1,0)+1, OFFSET(_372845237[[#This Row],[model]],-1,0))</f>
        <v>2</v>
      </c>
      <c r="B130">
        <v>9</v>
      </c>
      <c r="C130" s="5">
        <v>5.2083333333333332E-6</v>
      </c>
      <c r="D130">
        <v>0</v>
      </c>
      <c r="E130">
        <v>0</v>
      </c>
      <c r="F130">
        <v>0</v>
      </c>
      <c r="G130" s="5">
        <v>2.0833333333333334E-6</v>
      </c>
      <c r="H130" s="5">
        <v>6.9445601851851847E-3</v>
      </c>
      <c r="I130" s="5">
        <v>3.0026620370370368E-3</v>
      </c>
      <c r="J130" s="5">
        <v>2.0833333333333334E-6</v>
      </c>
      <c r="P130" s="1"/>
    </row>
    <row r="131" spans="1:16" x14ac:dyDescent="0.25">
      <c r="A131">
        <f ca="1">IF(_372845237[[#This Row],[instance]]&lt;OFFSET(_372845237[[#This Row],[instance]],-1,0), OFFSET(_372845237[[#This Row],[model]],-1,0)+1, OFFSET(_372845237[[#This Row],[model]],-1,0))</f>
        <v>2</v>
      </c>
      <c r="B131">
        <v>9</v>
      </c>
      <c r="C131" s="5">
        <v>5.324074074074074E-6</v>
      </c>
      <c r="D131">
        <v>7</v>
      </c>
      <c r="E131">
        <v>4</v>
      </c>
      <c r="F131">
        <v>1</v>
      </c>
      <c r="G131" s="5">
        <v>2.0833333333333334E-6</v>
      </c>
      <c r="H131" s="5">
        <v>6.9445601851851847E-3</v>
      </c>
      <c r="I131" s="5">
        <v>3.0026620370370368E-3</v>
      </c>
      <c r="J131" s="5">
        <v>2.0833333333333334E-6</v>
      </c>
      <c r="P131" s="1"/>
    </row>
    <row r="132" spans="1:16" x14ac:dyDescent="0.25">
      <c r="A132">
        <f ca="1">IF(_372845237[[#This Row],[instance]]&lt;OFFSET(_372845237[[#This Row],[instance]],-1,0), OFFSET(_372845237[[#This Row],[model]],-1,0)+1, OFFSET(_372845237[[#This Row],[model]],-1,0))</f>
        <v>2</v>
      </c>
      <c r="B132">
        <v>9</v>
      </c>
      <c r="C132" s="5">
        <v>5.324074074074074E-6</v>
      </c>
      <c r="D132">
        <v>8</v>
      </c>
      <c r="E132">
        <v>5</v>
      </c>
      <c r="F132">
        <v>1</v>
      </c>
      <c r="G132" s="5">
        <v>2.0833333333333334E-6</v>
      </c>
      <c r="H132" s="5">
        <v>6.9445601851851847E-3</v>
      </c>
      <c r="I132" s="5">
        <v>3.0026620370370368E-3</v>
      </c>
      <c r="J132" s="5">
        <v>2.0833333333333334E-6</v>
      </c>
      <c r="P132" s="1"/>
    </row>
    <row r="133" spans="1:16" x14ac:dyDescent="0.25">
      <c r="A133">
        <f ca="1">IF(_372845237[[#This Row],[instance]]&lt;OFFSET(_372845237[[#This Row],[instance]],-1,0), OFFSET(_372845237[[#This Row],[model]],-1,0)+1, OFFSET(_372845237[[#This Row],[model]],-1,0))</f>
        <v>2</v>
      </c>
      <c r="B133">
        <v>9</v>
      </c>
      <c r="C133" s="5">
        <v>5.324074074074074E-6</v>
      </c>
      <c r="D133">
        <v>9</v>
      </c>
      <c r="E133">
        <v>6</v>
      </c>
      <c r="F133">
        <v>1</v>
      </c>
      <c r="G133" s="5">
        <v>2.0833333333333334E-6</v>
      </c>
      <c r="H133" s="5">
        <v>6.9445601851851847E-3</v>
      </c>
      <c r="I133" s="5">
        <v>3.0026620370370368E-3</v>
      </c>
      <c r="J133" s="5">
        <v>2.0833333333333334E-6</v>
      </c>
      <c r="P133" s="1"/>
    </row>
    <row r="134" spans="1:16" x14ac:dyDescent="0.25">
      <c r="A134">
        <f ca="1">IF(_372845237[[#This Row],[instance]]&lt;OFFSET(_372845237[[#This Row],[instance]],-1,0), OFFSET(_372845237[[#This Row],[model]],-1,0)+1, OFFSET(_372845237[[#This Row],[model]],-1,0))</f>
        <v>2</v>
      </c>
      <c r="B134">
        <v>10</v>
      </c>
      <c r="C134" s="5">
        <v>5.324074074074074E-6</v>
      </c>
      <c r="D134">
        <v>0</v>
      </c>
      <c r="E134">
        <v>0</v>
      </c>
      <c r="F134">
        <v>0</v>
      </c>
      <c r="G134" s="5">
        <v>2.0833333333333334E-6</v>
      </c>
      <c r="H134" s="5">
        <v>6.9445601851851847E-3</v>
      </c>
      <c r="I134" s="5">
        <v>3.0026620370370368E-3</v>
      </c>
      <c r="J134" s="5">
        <v>2.0833333333333334E-6</v>
      </c>
      <c r="P134" s="1"/>
    </row>
    <row r="135" spans="1:16" x14ac:dyDescent="0.25">
      <c r="A135">
        <f ca="1">IF(_372845237[[#This Row],[instance]]&lt;OFFSET(_372845237[[#This Row],[instance]],-1,0), OFFSET(_372845237[[#This Row],[model]],-1,0)+1, OFFSET(_372845237[[#This Row],[model]],-1,0))</f>
        <v>2</v>
      </c>
      <c r="B135">
        <v>10</v>
      </c>
      <c r="C135" s="5">
        <v>5.324074074074074E-6</v>
      </c>
      <c r="D135">
        <v>7</v>
      </c>
      <c r="E135">
        <v>3</v>
      </c>
      <c r="F135">
        <v>1</v>
      </c>
      <c r="G135" s="5">
        <v>2.0833333333333334E-6</v>
      </c>
      <c r="H135" s="5">
        <v>6.9445601851851847E-3</v>
      </c>
      <c r="I135" s="5">
        <v>3.0026620370370368E-3</v>
      </c>
      <c r="J135" s="5">
        <v>2.0833333333333334E-6</v>
      </c>
      <c r="P135" s="1"/>
    </row>
    <row r="136" spans="1:16" x14ac:dyDescent="0.25">
      <c r="A136">
        <f ca="1">IF(_372845237[[#This Row],[instance]]&lt;OFFSET(_372845237[[#This Row],[instance]],-1,0), OFFSET(_372845237[[#This Row],[model]],-1,0)+1, OFFSET(_372845237[[#This Row],[model]],-1,0))</f>
        <v>2</v>
      </c>
      <c r="B136">
        <v>10</v>
      </c>
      <c r="C136" s="5">
        <v>5.324074074074074E-6</v>
      </c>
      <c r="D136">
        <v>7.75</v>
      </c>
      <c r="E136">
        <v>4</v>
      </c>
      <c r="F136">
        <v>1</v>
      </c>
      <c r="G136" s="5">
        <v>2.0833333333333334E-6</v>
      </c>
      <c r="H136" s="5">
        <v>6.9445601851851847E-3</v>
      </c>
      <c r="I136" s="5">
        <v>3.0026620370370368E-3</v>
      </c>
      <c r="J136" s="5">
        <v>2.0833333333333334E-6</v>
      </c>
      <c r="P136" s="1"/>
    </row>
    <row r="137" spans="1:16" x14ac:dyDescent="0.25">
      <c r="A137">
        <f ca="1">IF(_372845237[[#This Row],[instance]]&lt;OFFSET(_372845237[[#This Row],[instance]],-1,0), OFFSET(_372845237[[#This Row],[model]],-1,0)+1, OFFSET(_372845237[[#This Row],[model]],-1,0))</f>
        <v>2</v>
      </c>
      <c r="B137">
        <v>10</v>
      </c>
      <c r="C137" s="5">
        <v>5.4398148148148149E-6</v>
      </c>
      <c r="D137">
        <v>8.5</v>
      </c>
      <c r="E137">
        <v>5</v>
      </c>
      <c r="F137">
        <v>1</v>
      </c>
      <c r="G137" s="5">
        <v>2.0833333333333334E-6</v>
      </c>
      <c r="H137" s="5">
        <v>6.9445601851851847E-3</v>
      </c>
      <c r="I137" s="5">
        <v>3.0026620370370368E-3</v>
      </c>
      <c r="J137" s="5">
        <v>2.0833333333333334E-6</v>
      </c>
      <c r="P137" s="1"/>
    </row>
    <row r="138" spans="1:16" x14ac:dyDescent="0.25">
      <c r="A138">
        <f ca="1">IF(_372845237[[#This Row],[instance]]&lt;OFFSET(_372845237[[#This Row],[instance]],-1,0), OFFSET(_372845237[[#This Row],[model]],-1,0)+1, OFFSET(_372845237[[#This Row],[model]],-1,0))</f>
        <v>2</v>
      </c>
      <c r="B138">
        <v>10</v>
      </c>
      <c r="C138" s="5">
        <v>7.0023148148148147E-4</v>
      </c>
      <c r="D138">
        <v>8.875</v>
      </c>
      <c r="E138">
        <v>6</v>
      </c>
      <c r="F138">
        <v>1</v>
      </c>
      <c r="G138" s="5">
        <v>2.0833333333333334E-6</v>
      </c>
      <c r="H138" s="5">
        <v>6.9445601851851847E-3</v>
      </c>
      <c r="I138" s="5">
        <v>3.0026620370370368E-3</v>
      </c>
      <c r="J138" s="5">
        <v>2.0833333333333334E-6</v>
      </c>
      <c r="P138" s="1"/>
    </row>
    <row r="139" spans="1:16" x14ac:dyDescent="0.25">
      <c r="A139">
        <f ca="1">IF(_372845237[[#This Row],[instance]]&lt;OFFSET(_372845237[[#This Row],[instance]],-1,0), OFFSET(_372845237[[#This Row],[model]],-1,0)+1, OFFSET(_372845237[[#This Row],[model]],-1,0))</f>
        <v>2</v>
      </c>
      <c r="B139">
        <v>11</v>
      </c>
      <c r="C139" s="5">
        <v>5.324074074074074E-6</v>
      </c>
      <c r="D139">
        <v>0</v>
      </c>
      <c r="E139">
        <v>0</v>
      </c>
      <c r="F139">
        <v>0</v>
      </c>
      <c r="G139" s="5">
        <v>2.1990740740740739E-6</v>
      </c>
      <c r="H139" s="5">
        <v>6.9445601851851847E-3</v>
      </c>
      <c r="I139" s="5">
        <v>3.0026620370370368E-3</v>
      </c>
      <c r="J139" s="5">
        <v>2.0833333333333334E-6</v>
      </c>
      <c r="P139" s="1"/>
    </row>
    <row r="140" spans="1:16" x14ac:dyDescent="0.25">
      <c r="A140">
        <f ca="1">IF(_372845237[[#This Row],[instance]]&lt;OFFSET(_372845237[[#This Row],[instance]],-1,0), OFFSET(_372845237[[#This Row],[model]],-1,0)+1, OFFSET(_372845237[[#This Row],[model]],-1,0))</f>
        <v>2</v>
      </c>
      <c r="B140">
        <v>11</v>
      </c>
      <c r="C140" s="5">
        <v>4.6446759259259255E-4</v>
      </c>
      <c r="D140">
        <v>2.625</v>
      </c>
      <c r="E140">
        <v>4</v>
      </c>
      <c r="F140">
        <v>1</v>
      </c>
      <c r="G140" s="5">
        <v>2.1990740740740739E-6</v>
      </c>
      <c r="H140" s="5">
        <v>6.9445601851851847E-3</v>
      </c>
      <c r="I140" s="5">
        <v>3.0026620370370368E-3</v>
      </c>
      <c r="J140" s="5">
        <v>2.0833333333333334E-6</v>
      </c>
      <c r="P140" s="1"/>
    </row>
    <row r="141" spans="1:16" x14ac:dyDescent="0.25">
      <c r="A141">
        <f ca="1">IF(_372845237[[#This Row],[instance]]&lt;OFFSET(_372845237[[#This Row],[instance]],-1,0), OFFSET(_372845237[[#This Row],[model]],-1,0)+1, OFFSET(_372845237[[#This Row],[model]],-1,0))</f>
        <v>2</v>
      </c>
      <c r="B141">
        <v>11</v>
      </c>
      <c r="C141" s="5">
        <v>4.6932870370370368E-4</v>
      </c>
      <c r="D141">
        <v>3.375</v>
      </c>
      <c r="E141">
        <v>5</v>
      </c>
      <c r="F141">
        <v>1</v>
      </c>
      <c r="G141" s="5">
        <v>2.1990740740740739E-6</v>
      </c>
      <c r="H141" s="5">
        <v>6.9445601851851847E-3</v>
      </c>
      <c r="I141" s="5">
        <v>3.0026620370370368E-3</v>
      </c>
      <c r="J141" s="5">
        <v>2.0833333333333334E-6</v>
      </c>
      <c r="P141" s="1"/>
    </row>
    <row r="142" spans="1:16" x14ac:dyDescent="0.25">
      <c r="A142">
        <f ca="1">IF(_372845237[[#This Row],[instance]]&lt;OFFSET(_372845237[[#This Row],[instance]],-1,0), OFFSET(_372845237[[#This Row],[model]],-1,0)+1, OFFSET(_372845237[[#This Row],[model]],-1,0))</f>
        <v>2</v>
      </c>
      <c r="B142">
        <v>11</v>
      </c>
      <c r="C142" s="5">
        <v>6.359837962962963E-3</v>
      </c>
      <c r="D142">
        <v>3.75</v>
      </c>
      <c r="E142">
        <v>6</v>
      </c>
      <c r="F142">
        <v>1</v>
      </c>
      <c r="G142" s="5">
        <v>2.1990740740740739E-6</v>
      </c>
      <c r="H142" s="5">
        <v>6.9445601851851847E-3</v>
      </c>
      <c r="I142" s="5">
        <v>3.0026620370370368E-3</v>
      </c>
      <c r="J142" s="5">
        <v>2.0833333333333334E-6</v>
      </c>
      <c r="P142" s="1"/>
    </row>
    <row r="143" spans="1:16" x14ac:dyDescent="0.25">
      <c r="A143">
        <f ca="1">IF(_372845237[[#This Row],[instance]]&lt;OFFSET(_372845237[[#This Row],[instance]],-1,0), OFFSET(_372845237[[#This Row],[model]],-1,0)+1, OFFSET(_372845237[[#This Row],[model]],-1,0))</f>
        <v>2</v>
      </c>
      <c r="B143">
        <v>12</v>
      </c>
      <c r="C143" s="5">
        <v>5.2083333333333332E-6</v>
      </c>
      <c r="D143">
        <v>0</v>
      </c>
      <c r="E143">
        <v>0</v>
      </c>
      <c r="F143">
        <v>0</v>
      </c>
      <c r="G143" s="5">
        <v>2.0833333333333334E-6</v>
      </c>
      <c r="H143" s="5">
        <v>2.7535879629629629E-3</v>
      </c>
      <c r="I143" s="5">
        <v>3.0026620370370368E-3</v>
      </c>
      <c r="J143" s="5">
        <v>2.0833333333333334E-6</v>
      </c>
      <c r="P143" s="1"/>
    </row>
    <row r="144" spans="1:16" x14ac:dyDescent="0.25">
      <c r="A144">
        <f ca="1">IF(_372845237[[#This Row],[instance]]&lt;OFFSET(_372845237[[#This Row],[instance]],-1,0), OFFSET(_372845237[[#This Row],[model]],-1,0)+1, OFFSET(_372845237[[#This Row],[model]],-1,0))</f>
        <v>2</v>
      </c>
      <c r="B144">
        <v>12</v>
      </c>
      <c r="C144" s="5">
        <v>5.2083333333333332E-6</v>
      </c>
      <c r="D144">
        <v>3</v>
      </c>
      <c r="E144">
        <v>1</v>
      </c>
      <c r="F144">
        <v>1</v>
      </c>
      <c r="G144" s="5">
        <v>2.0833333333333334E-6</v>
      </c>
      <c r="H144" s="5">
        <v>2.7535879629629629E-3</v>
      </c>
      <c r="I144" s="5">
        <v>3.0026620370370368E-3</v>
      </c>
      <c r="J144" s="5">
        <v>2.0833333333333334E-6</v>
      </c>
      <c r="P144" s="1"/>
    </row>
    <row r="145" spans="1:16" x14ac:dyDescent="0.25">
      <c r="A145">
        <f ca="1">IF(_372845237[[#This Row],[instance]]&lt;OFFSET(_372845237[[#This Row],[instance]],-1,0), OFFSET(_372845237[[#This Row],[model]],-1,0)+1, OFFSET(_372845237[[#This Row],[model]],-1,0))</f>
        <v>2</v>
      </c>
      <c r="B145">
        <v>12</v>
      </c>
      <c r="C145" s="5">
        <v>5.2083333333333332E-6</v>
      </c>
      <c r="D145">
        <v>6</v>
      </c>
      <c r="E145">
        <v>2</v>
      </c>
      <c r="F145">
        <v>2</v>
      </c>
      <c r="G145" s="5">
        <v>2.0833333333333334E-6</v>
      </c>
      <c r="H145" s="5">
        <v>2.7535879629629629E-3</v>
      </c>
      <c r="I145" s="5">
        <v>3.0026620370370368E-3</v>
      </c>
      <c r="J145" s="5">
        <v>2.0833333333333334E-6</v>
      </c>
      <c r="P145" s="1"/>
    </row>
    <row r="146" spans="1:16" x14ac:dyDescent="0.25">
      <c r="A146">
        <f ca="1">IF(_372845237[[#This Row],[instance]]&lt;OFFSET(_372845237[[#This Row],[instance]],-1,0), OFFSET(_372845237[[#This Row],[model]],-1,0)+1, OFFSET(_372845237[[#This Row],[model]],-1,0))</f>
        <v>2</v>
      </c>
      <c r="B146">
        <v>13</v>
      </c>
      <c r="C146" s="5">
        <v>5.2083333333333332E-6</v>
      </c>
      <c r="D146">
        <v>0</v>
      </c>
      <c r="E146">
        <v>0</v>
      </c>
      <c r="F146">
        <v>0</v>
      </c>
      <c r="G146" s="5">
        <v>2.0833333333333334E-6</v>
      </c>
      <c r="H146" s="5">
        <v>2.4305555555555552E-6</v>
      </c>
      <c r="I146" s="5">
        <v>3.0026620370370368E-3</v>
      </c>
      <c r="J146" s="5">
        <v>2.0833333333333334E-6</v>
      </c>
      <c r="P146" s="1"/>
    </row>
    <row r="147" spans="1:16" x14ac:dyDescent="0.25">
      <c r="A147">
        <f ca="1">IF(_372845237[[#This Row],[instance]]&lt;OFFSET(_372845237[[#This Row],[instance]],-1,0), OFFSET(_372845237[[#This Row],[model]],-1,0)+1, OFFSET(_372845237[[#This Row],[model]],-1,0))</f>
        <v>2</v>
      </c>
      <c r="B147">
        <v>14</v>
      </c>
      <c r="C147" s="5">
        <v>5.2083333333333332E-6</v>
      </c>
      <c r="D147">
        <v>0</v>
      </c>
      <c r="E147">
        <v>0</v>
      </c>
      <c r="F147">
        <v>0</v>
      </c>
      <c r="G147" s="5">
        <v>2.0833333333333334E-6</v>
      </c>
      <c r="H147" s="5">
        <v>2.4305555555555552E-6</v>
      </c>
      <c r="I147" s="5">
        <v>3.0026620370370368E-3</v>
      </c>
      <c r="J147" s="5">
        <v>2.0833333333333334E-6</v>
      </c>
      <c r="P147" s="1"/>
    </row>
    <row r="148" spans="1:16" x14ac:dyDescent="0.25">
      <c r="A148">
        <f ca="1">IF(_372845237[[#This Row],[instance]]&lt;OFFSET(_372845237[[#This Row],[instance]],-1,0), OFFSET(_372845237[[#This Row],[model]],-1,0)+1, OFFSET(_372845237[[#This Row],[model]],-1,0))</f>
        <v>2</v>
      </c>
      <c r="B148">
        <v>15</v>
      </c>
      <c r="C148" s="5">
        <v>5.324074074074074E-6</v>
      </c>
      <c r="D148">
        <v>0</v>
      </c>
      <c r="E148">
        <v>0</v>
      </c>
      <c r="F148">
        <v>0</v>
      </c>
      <c r="G148" s="5">
        <v>2.0833333333333334E-6</v>
      </c>
      <c r="H148" s="5">
        <v>1.2662037037037036E-3</v>
      </c>
      <c r="I148" s="5">
        <v>3.0026620370370368E-3</v>
      </c>
      <c r="J148" s="5">
        <v>2.0833333333333334E-6</v>
      </c>
      <c r="P148" s="1"/>
    </row>
    <row r="149" spans="1:16" x14ac:dyDescent="0.25">
      <c r="A149">
        <f ca="1">IF(_372845237[[#This Row],[instance]]&lt;OFFSET(_372845237[[#This Row],[instance]],-1,0), OFFSET(_372845237[[#This Row],[model]],-1,0)+1, OFFSET(_372845237[[#This Row],[model]],-1,0))</f>
        <v>2</v>
      </c>
      <c r="B149">
        <v>15</v>
      </c>
      <c r="C149" s="5">
        <v>2.7824074074074074E-4</v>
      </c>
      <c r="D149">
        <v>4.75</v>
      </c>
      <c r="E149">
        <v>5</v>
      </c>
      <c r="F149">
        <v>1</v>
      </c>
      <c r="G149" s="5">
        <v>2.0833333333333334E-6</v>
      </c>
      <c r="H149" s="5">
        <v>1.2662037037037036E-3</v>
      </c>
      <c r="I149" s="5">
        <v>3.0026620370370368E-3</v>
      </c>
      <c r="J149" s="5">
        <v>2.0833333333333334E-6</v>
      </c>
      <c r="P149" s="1"/>
    </row>
    <row r="150" spans="1:16" x14ac:dyDescent="0.25">
      <c r="A150">
        <f ca="1">IF(_372845237[[#This Row],[instance]]&lt;OFFSET(_372845237[[#This Row],[instance]],-1,0), OFFSET(_372845237[[#This Row],[model]],-1,0)+1, OFFSET(_372845237[[#This Row],[model]],-1,0))</f>
        <v>2</v>
      </c>
      <c r="B150">
        <v>15</v>
      </c>
      <c r="C150" s="5">
        <v>2.7824074074074074E-4</v>
      </c>
      <c r="D150">
        <v>5.125</v>
      </c>
      <c r="E150">
        <v>6</v>
      </c>
      <c r="F150">
        <v>1</v>
      </c>
      <c r="G150" s="5">
        <v>2.0833333333333334E-6</v>
      </c>
      <c r="H150" s="5">
        <v>1.2662037037037036E-3</v>
      </c>
      <c r="I150" s="5">
        <v>3.0026620370370368E-3</v>
      </c>
      <c r="J150" s="5">
        <v>2.0833333333333334E-6</v>
      </c>
      <c r="P150" s="1"/>
    </row>
    <row r="151" spans="1:16" x14ac:dyDescent="0.25">
      <c r="A151">
        <f ca="1">IF(_372845237[[#This Row],[instance]]&lt;OFFSET(_372845237[[#This Row],[instance]],-1,0), OFFSET(_372845237[[#This Row],[model]],-1,0)+1, OFFSET(_372845237[[#This Row],[model]],-1,0))</f>
        <v>3</v>
      </c>
      <c r="B151">
        <v>1</v>
      </c>
      <c r="C151" s="5">
        <v>5.2083333333333332E-6</v>
      </c>
      <c r="D151">
        <v>0</v>
      </c>
      <c r="E151">
        <v>0</v>
      </c>
      <c r="F151">
        <v>0</v>
      </c>
      <c r="G151" s="5">
        <v>1.9675925925925925E-6</v>
      </c>
      <c r="H151" s="5">
        <v>6.9445601851851847E-3</v>
      </c>
      <c r="I151" s="5">
        <v>5.5561342592592589E-3</v>
      </c>
      <c r="J151" s="5">
        <v>1.9675925925925925E-6</v>
      </c>
      <c r="P151" s="1"/>
    </row>
    <row r="152" spans="1:16" x14ac:dyDescent="0.25">
      <c r="A152">
        <f ca="1">IF(_372845237[[#This Row],[instance]]&lt;OFFSET(_372845237[[#This Row],[instance]],-1,0), OFFSET(_372845237[[#This Row],[model]],-1,0)+1, OFFSET(_372845237[[#This Row],[model]],-1,0))</f>
        <v>3</v>
      </c>
      <c r="B152">
        <v>1</v>
      </c>
      <c r="C152" s="5">
        <v>5.2083333333333332E-6</v>
      </c>
      <c r="D152">
        <v>3</v>
      </c>
      <c r="E152">
        <v>1</v>
      </c>
      <c r="F152">
        <v>1</v>
      </c>
      <c r="G152" s="5">
        <v>1.9675925925925925E-6</v>
      </c>
      <c r="H152" s="5">
        <v>6.9445601851851847E-3</v>
      </c>
      <c r="I152" s="5">
        <v>5.5561342592592589E-3</v>
      </c>
      <c r="J152" s="5">
        <v>1.9675925925925925E-6</v>
      </c>
      <c r="P152" s="1"/>
    </row>
    <row r="153" spans="1:16" x14ac:dyDescent="0.25">
      <c r="A153">
        <f ca="1">IF(_372845237[[#This Row],[instance]]&lt;OFFSET(_372845237[[#This Row],[instance]],-1,0), OFFSET(_372845237[[#This Row],[model]],-1,0)+1, OFFSET(_372845237[[#This Row],[model]],-1,0))</f>
        <v>3</v>
      </c>
      <c r="B153">
        <v>1</v>
      </c>
      <c r="C153" s="5">
        <v>6.840277777777777E-5</v>
      </c>
      <c r="D153">
        <v>9</v>
      </c>
      <c r="E153">
        <v>6</v>
      </c>
      <c r="F153">
        <v>1</v>
      </c>
      <c r="G153" s="5">
        <v>1.9675925925925925E-6</v>
      </c>
      <c r="H153" s="5">
        <v>6.9445601851851847E-3</v>
      </c>
      <c r="I153" s="5">
        <v>5.5561342592592589E-3</v>
      </c>
      <c r="J153" s="5">
        <v>1.9675925925925925E-6</v>
      </c>
      <c r="P153" s="1"/>
    </row>
    <row r="154" spans="1:16" x14ac:dyDescent="0.25">
      <c r="A154">
        <f ca="1">IF(_372845237[[#This Row],[instance]]&lt;OFFSET(_372845237[[#This Row],[instance]],-1,0), OFFSET(_372845237[[#This Row],[model]],-1,0)+1, OFFSET(_372845237[[#This Row],[model]],-1,0))</f>
        <v>3</v>
      </c>
      <c r="B154">
        <v>1</v>
      </c>
      <c r="C154" s="5">
        <v>8.298611111111111E-5</v>
      </c>
      <c r="D154">
        <v>9.375</v>
      </c>
      <c r="E154">
        <v>7</v>
      </c>
      <c r="F154">
        <v>1</v>
      </c>
      <c r="G154" s="5">
        <v>1.9675925925925925E-6</v>
      </c>
      <c r="H154" s="5">
        <v>6.9445601851851847E-3</v>
      </c>
      <c r="I154" s="5">
        <v>5.5561342592592589E-3</v>
      </c>
      <c r="J154" s="5">
        <v>1.9675925925925925E-6</v>
      </c>
      <c r="P154" s="1"/>
    </row>
    <row r="155" spans="1:16" x14ac:dyDescent="0.25">
      <c r="A155">
        <f ca="1">IF(_372845237[[#This Row],[instance]]&lt;OFFSET(_372845237[[#This Row],[instance]],-1,0), OFFSET(_372845237[[#This Row],[model]],-1,0)+1, OFFSET(_372845237[[#This Row],[model]],-1,0))</f>
        <v>3</v>
      </c>
      <c r="B155">
        <v>1</v>
      </c>
      <c r="C155" s="5">
        <v>8.298611111111111E-5</v>
      </c>
      <c r="D155">
        <v>9.75</v>
      </c>
      <c r="E155">
        <v>7</v>
      </c>
      <c r="F155">
        <v>1</v>
      </c>
      <c r="G155" s="5">
        <v>1.9675925925925925E-6</v>
      </c>
      <c r="H155" s="5">
        <v>6.9445601851851847E-3</v>
      </c>
      <c r="I155" s="5">
        <v>5.5561342592592589E-3</v>
      </c>
      <c r="J155" s="5">
        <v>1.9675925925925925E-6</v>
      </c>
      <c r="P155" s="1"/>
    </row>
    <row r="156" spans="1:16" x14ac:dyDescent="0.25">
      <c r="A156">
        <f ca="1">IF(_372845237[[#This Row],[instance]]&lt;OFFSET(_372845237[[#This Row],[instance]],-1,0), OFFSET(_372845237[[#This Row],[model]],-1,0)+1, OFFSET(_372845237[[#This Row],[model]],-1,0))</f>
        <v>3</v>
      </c>
      <c r="B156">
        <v>1</v>
      </c>
      <c r="C156" s="5">
        <v>9.6412037037037036E-5</v>
      </c>
      <c r="D156">
        <v>10.125</v>
      </c>
      <c r="E156">
        <v>6</v>
      </c>
      <c r="F156">
        <v>1</v>
      </c>
      <c r="G156" s="5">
        <v>1.9675925925925925E-6</v>
      </c>
      <c r="H156" s="5">
        <v>6.9445601851851847E-3</v>
      </c>
      <c r="I156" s="5">
        <v>5.5561342592592589E-3</v>
      </c>
      <c r="J156" s="5">
        <v>1.9675925925925925E-6</v>
      </c>
      <c r="P156" s="1"/>
    </row>
    <row r="157" spans="1:16" x14ac:dyDescent="0.25">
      <c r="A157">
        <f ca="1">IF(_372845237[[#This Row],[instance]]&lt;OFFSET(_372845237[[#This Row],[instance]],-1,0), OFFSET(_372845237[[#This Row],[model]],-1,0)+1, OFFSET(_372845237[[#This Row],[model]],-1,0))</f>
        <v>3</v>
      </c>
      <c r="B157">
        <v>2</v>
      </c>
      <c r="C157" s="5">
        <v>5.2083333333333332E-6</v>
      </c>
      <c r="D157">
        <v>0</v>
      </c>
      <c r="E157">
        <v>0</v>
      </c>
      <c r="F157">
        <v>0</v>
      </c>
      <c r="G157" s="5">
        <v>1.9675925925925925E-6</v>
      </c>
      <c r="H157" s="5">
        <v>6.9444444444444441E-3</v>
      </c>
      <c r="I157" s="5">
        <v>5.5561342592592589E-3</v>
      </c>
      <c r="J157" s="5">
        <v>1.9675925925925925E-6</v>
      </c>
      <c r="P157" s="1"/>
    </row>
    <row r="158" spans="1:16" x14ac:dyDescent="0.25">
      <c r="A158">
        <f ca="1">IF(_372845237[[#This Row],[instance]]&lt;OFFSET(_372845237[[#This Row],[instance]],-1,0), OFFSET(_372845237[[#This Row],[model]],-1,0)+1, OFFSET(_372845237[[#This Row],[model]],-1,0))</f>
        <v>3</v>
      </c>
      <c r="B158">
        <v>3</v>
      </c>
      <c r="C158" s="5">
        <v>5.0925925925925923E-6</v>
      </c>
      <c r="D158">
        <v>0</v>
      </c>
      <c r="E158">
        <v>0</v>
      </c>
      <c r="F158">
        <v>0</v>
      </c>
      <c r="G158" s="5">
        <v>1.9675925925925925E-6</v>
      </c>
      <c r="H158" s="5">
        <v>2.4305555555555552E-6</v>
      </c>
      <c r="I158" s="5">
        <v>5.5561342592592589E-3</v>
      </c>
      <c r="J158" s="5">
        <v>1.9675925925925925E-6</v>
      </c>
      <c r="P158" s="1"/>
    </row>
    <row r="159" spans="1:16" x14ac:dyDescent="0.25">
      <c r="A159">
        <f ca="1">IF(_372845237[[#This Row],[instance]]&lt;OFFSET(_372845237[[#This Row],[instance]],-1,0), OFFSET(_372845237[[#This Row],[model]],-1,0)+1, OFFSET(_372845237[[#This Row],[model]],-1,0))</f>
        <v>3</v>
      </c>
      <c r="B159">
        <v>3</v>
      </c>
      <c r="C159" s="5">
        <v>5.0925925925925923E-6</v>
      </c>
      <c r="D159">
        <v>4.625</v>
      </c>
      <c r="E159">
        <v>7</v>
      </c>
      <c r="F159">
        <v>1</v>
      </c>
      <c r="G159" s="5">
        <v>1.9675925925925925E-6</v>
      </c>
      <c r="H159" s="5">
        <v>2.4305555555555552E-6</v>
      </c>
      <c r="I159" s="5">
        <v>5.5561342592592589E-3</v>
      </c>
      <c r="J159" s="5">
        <v>1.9675925925925925E-6</v>
      </c>
      <c r="P159" s="1"/>
    </row>
    <row r="160" spans="1:16" x14ac:dyDescent="0.25">
      <c r="A160">
        <f ca="1">IF(_372845237[[#This Row],[instance]]&lt;OFFSET(_372845237[[#This Row],[instance]],-1,0), OFFSET(_372845237[[#This Row],[model]],-1,0)+1, OFFSET(_372845237[[#This Row],[model]],-1,0))</f>
        <v>3</v>
      </c>
      <c r="B160">
        <v>4</v>
      </c>
      <c r="C160" s="5">
        <v>4.9768518518518514E-6</v>
      </c>
      <c r="D160">
        <v>0</v>
      </c>
      <c r="E160">
        <v>0</v>
      </c>
      <c r="F160">
        <v>0</v>
      </c>
      <c r="G160" s="5">
        <v>1.9675925925925925E-6</v>
      </c>
      <c r="H160" s="5">
        <v>6.9445601851851847E-3</v>
      </c>
      <c r="I160" s="5">
        <v>5.5561342592592589E-3</v>
      </c>
      <c r="J160" s="5">
        <v>1.9675925925925925E-6</v>
      </c>
      <c r="P160" s="1"/>
    </row>
    <row r="161" spans="1:16" x14ac:dyDescent="0.25">
      <c r="A161">
        <f ca="1">IF(_372845237[[#This Row],[instance]]&lt;OFFSET(_372845237[[#This Row],[instance]],-1,0), OFFSET(_372845237[[#This Row],[model]],-1,0)+1, OFFSET(_372845237[[#This Row],[model]],-1,0))</f>
        <v>3</v>
      </c>
      <c r="B161">
        <v>4</v>
      </c>
      <c r="C161" s="5">
        <v>4.9768518518518514E-6</v>
      </c>
      <c r="D161">
        <v>3</v>
      </c>
      <c r="E161">
        <v>1</v>
      </c>
      <c r="F161">
        <v>1</v>
      </c>
      <c r="G161" s="5">
        <v>1.9675925925925925E-6</v>
      </c>
      <c r="H161" s="5">
        <v>6.9445601851851847E-3</v>
      </c>
      <c r="I161" s="5">
        <v>5.5561342592592589E-3</v>
      </c>
      <c r="J161" s="5">
        <v>1.9675925925925925E-6</v>
      </c>
      <c r="P161" s="1"/>
    </row>
    <row r="162" spans="1:16" x14ac:dyDescent="0.25">
      <c r="A162">
        <f ca="1">IF(_372845237[[#This Row],[instance]]&lt;OFFSET(_372845237[[#This Row],[instance]],-1,0), OFFSET(_372845237[[#This Row],[model]],-1,0)+1, OFFSET(_372845237[[#This Row],[model]],-1,0))</f>
        <v>3</v>
      </c>
      <c r="B162">
        <v>4</v>
      </c>
      <c r="C162" s="5">
        <v>5.0925925925925923E-6</v>
      </c>
      <c r="D162">
        <v>5</v>
      </c>
      <c r="E162">
        <v>6</v>
      </c>
      <c r="F162">
        <v>1</v>
      </c>
      <c r="G162" s="5">
        <v>1.9675925925925925E-6</v>
      </c>
      <c r="H162" s="5">
        <v>6.9445601851851847E-3</v>
      </c>
      <c r="I162" s="5">
        <v>5.5561342592592589E-3</v>
      </c>
      <c r="J162" s="5">
        <v>1.9675925925925925E-6</v>
      </c>
      <c r="P162" s="1"/>
    </row>
    <row r="163" spans="1:16" x14ac:dyDescent="0.25">
      <c r="A163">
        <f ca="1">IF(_372845237[[#This Row],[instance]]&lt;OFFSET(_372845237[[#This Row],[instance]],-1,0), OFFSET(_372845237[[#This Row],[model]],-1,0)+1, OFFSET(_372845237[[#This Row],[model]],-1,0))</f>
        <v>3</v>
      </c>
      <c r="B163">
        <v>4</v>
      </c>
      <c r="C163" s="5">
        <v>5.324074074074074E-6</v>
      </c>
      <c r="D163">
        <v>6</v>
      </c>
      <c r="E163">
        <v>2</v>
      </c>
      <c r="F163">
        <v>2</v>
      </c>
      <c r="G163" s="5">
        <v>1.9675925925925925E-6</v>
      </c>
      <c r="H163" s="5">
        <v>6.9445601851851847E-3</v>
      </c>
      <c r="I163" s="5">
        <v>5.5561342592592589E-3</v>
      </c>
      <c r="J163" s="5">
        <v>1.9675925925925925E-6</v>
      </c>
      <c r="P163" s="1"/>
    </row>
    <row r="164" spans="1:16" x14ac:dyDescent="0.25">
      <c r="A164">
        <f ca="1">IF(_372845237[[#This Row],[instance]]&lt;OFFSET(_372845237[[#This Row],[instance]],-1,0), OFFSET(_372845237[[#This Row],[model]],-1,0)+1, OFFSET(_372845237[[#This Row],[model]],-1,0))</f>
        <v>3</v>
      </c>
      <c r="B164">
        <v>4</v>
      </c>
      <c r="C164" s="5">
        <v>5.6712962962962959E-6</v>
      </c>
      <c r="D164">
        <v>8</v>
      </c>
      <c r="E164">
        <v>7</v>
      </c>
      <c r="F164">
        <v>2</v>
      </c>
      <c r="G164" s="5">
        <v>1.9675925925925925E-6</v>
      </c>
      <c r="H164" s="5">
        <v>6.9445601851851847E-3</v>
      </c>
      <c r="I164" s="5">
        <v>5.5561342592592589E-3</v>
      </c>
      <c r="J164" s="5">
        <v>1.9675925925925925E-6</v>
      </c>
      <c r="P164" s="1"/>
    </row>
    <row r="165" spans="1:16" x14ac:dyDescent="0.25">
      <c r="A165">
        <f ca="1">IF(_372845237[[#This Row],[instance]]&lt;OFFSET(_372845237[[#This Row],[instance]],-1,0), OFFSET(_372845237[[#This Row],[model]],-1,0)+1, OFFSET(_372845237[[#This Row],[model]],-1,0))</f>
        <v>3</v>
      </c>
      <c r="B165">
        <v>4</v>
      </c>
      <c r="C165" s="5">
        <v>1.2499999999999999E-5</v>
      </c>
      <c r="D165">
        <v>11</v>
      </c>
      <c r="E165">
        <v>8</v>
      </c>
      <c r="F165">
        <v>3</v>
      </c>
      <c r="G165" s="5">
        <v>1.9675925925925925E-6</v>
      </c>
      <c r="H165" s="5">
        <v>6.9445601851851847E-3</v>
      </c>
      <c r="I165" s="5">
        <v>5.5561342592592589E-3</v>
      </c>
      <c r="J165" s="5">
        <v>1.9675925925925925E-6</v>
      </c>
      <c r="P165" s="1"/>
    </row>
    <row r="166" spans="1:16" x14ac:dyDescent="0.25">
      <c r="A166">
        <f ca="1">IF(_372845237[[#This Row],[instance]]&lt;OFFSET(_372845237[[#This Row],[instance]],-1,0), OFFSET(_372845237[[#This Row],[model]],-1,0)+1, OFFSET(_372845237[[#This Row],[model]],-1,0))</f>
        <v>3</v>
      </c>
      <c r="B166">
        <v>5</v>
      </c>
      <c r="C166" s="5">
        <v>5.324074074074074E-6</v>
      </c>
      <c r="D166">
        <v>0</v>
      </c>
      <c r="E166">
        <v>0</v>
      </c>
      <c r="F166">
        <v>0</v>
      </c>
      <c r="G166" s="5">
        <v>2.0833333333333334E-6</v>
      </c>
      <c r="H166" s="5">
        <v>6.9444444444444441E-3</v>
      </c>
      <c r="I166" s="5">
        <v>5.5561342592592589E-3</v>
      </c>
      <c r="J166" s="5">
        <v>1.9675925925925925E-6</v>
      </c>
      <c r="P166" s="1"/>
    </row>
    <row r="167" spans="1:16" x14ac:dyDescent="0.25">
      <c r="A167">
        <f ca="1">IF(_372845237[[#This Row],[instance]]&lt;OFFSET(_372845237[[#This Row],[instance]],-1,0), OFFSET(_372845237[[#This Row],[model]],-1,0)+1, OFFSET(_372845237[[#This Row],[model]],-1,0))</f>
        <v>3</v>
      </c>
      <c r="B167">
        <v>5</v>
      </c>
      <c r="C167" s="5">
        <v>5.324074074074074E-6</v>
      </c>
      <c r="D167">
        <v>2.625</v>
      </c>
      <c r="E167">
        <v>5</v>
      </c>
      <c r="F167">
        <v>1</v>
      </c>
      <c r="G167" s="5">
        <v>2.0833333333333334E-6</v>
      </c>
      <c r="H167" s="5">
        <v>6.9444444444444441E-3</v>
      </c>
      <c r="I167" s="5">
        <v>5.5561342592592589E-3</v>
      </c>
      <c r="J167" s="5">
        <v>1.9675925925925925E-6</v>
      </c>
      <c r="P167" s="1"/>
    </row>
    <row r="168" spans="1:16" x14ac:dyDescent="0.25">
      <c r="A168">
        <f ca="1">IF(_372845237[[#This Row],[instance]]&lt;OFFSET(_372845237[[#This Row],[instance]],-1,0), OFFSET(_372845237[[#This Row],[model]],-1,0)+1, OFFSET(_372845237[[#This Row],[model]],-1,0))</f>
        <v>3</v>
      </c>
      <c r="B168">
        <v>6</v>
      </c>
      <c r="C168" s="5">
        <v>5.2083333333333332E-6</v>
      </c>
      <c r="D168">
        <v>0</v>
      </c>
      <c r="E168">
        <v>0</v>
      </c>
      <c r="F168">
        <v>0</v>
      </c>
      <c r="G168" s="5">
        <v>2.0833333333333334E-6</v>
      </c>
      <c r="H168" s="5">
        <v>6.9445601851851847E-3</v>
      </c>
      <c r="I168" s="5">
        <v>5.5561342592592589E-3</v>
      </c>
      <c r="J168" s="5">
        <v>1.9675925925925925E-6</v>
      </c>
      <c r="P168" s="1"/>
    </row>
    <row r="169" spans="1:16" x14ac:dyDescent="0.25">
      <c r="A169">
        <f ca="1">IF(_372845237[[#This Row],[instance]]&lt;OFFSET(_372845237[[#This Row],[instance]],-1,0), OFFSET(_372845237[[#This Row],[model]],-1,0)+1, OFFSET(_372845237[[#This Row],[model]],-1,0))</f>
        <v>3</v>
      </c>
      <c r="B169">
        <v>6</v>
      </c>
      <c r="C169" s="5">
        <v>5.2083333333333332E-6</v>
      </c>
      <c r="D169">
        <v>4.75</v>
      </c>
      <c r="E169">
        <v>7</v>
      </c>
      <c r="F169">
        <v>1</v>
      </c>
      <c r="G169" s="5">
        <v>2.0833333333333334E-6</v>
      </c>
      <c r="H169" s="5">
        <v>6.9445601851851847E-3</v>
      </c>
      <c r="I169" s="5">
        <v>5.5561342592592589E-3</v>
      </c>
      <c r="J169" s="5">
        <v>1.9675925925925925E-6</v>
      </c>
      <c r="P169" s="1"/>
    </row>
    <row r="170" spans="1:16" x14ac:dyDescent="0.25">
      <c r="A170">
        <f ca="1">IF(_372845237[[#This Row],[instance]]&lt;OFFSET(_372845237[[#This Row],[instance]],-1,0), OFFSET(_372845237[[#This Row],[model]],-1,0)+1, OFFSET(_372845237[[#This Row],[model]],-1,0))</f>
        <v>3</v>
      </c>
      <c r="B170">
        <v>6</v>
      </c>
      <c r="C170" s="5">
        <v>1.7013888888888888E-5</v>
      </c>
      <c r="D170">
        <v>10.375</v>
      </c>
      <c r="E170">
        <v>5</v>
      </c>
      <c r="F170">
        <v>1</v>
      </c>
      <c r="G170" s="5">
        <v>2.0833333333333334E-6</v>
      </c>
      <c r="H170" s="5">
        <v>6.9445601851851847E-3</v>
      </c>
      <c r="I170" s="5">
        <v>5.5561342592592589E-3</v>
      </c>
      <c r="J170" s="5">
        <v>1.9675925925925925E-6</v>
      </c>
      <c r="P170" s="1"/>
    </row>
    <row r="171" spans="1:16" x14ac:dyDescent="0.25">
      <c r="A171">
        <f ca="1">IF(_372845237[[#This Row],[instance]]&lt;OFFSET(_372845237[[#This Row],[instance]],-1,0), OFFSET(_372845237[[#This Row],[model]],-1,0)+1, OFFSET(_372845237[[#This Row],[model]],-1,0))</f>
        <v>3</v>
      </c>
      <c r="B171">
        <v>6</v>
      </c>
      <c r="C171" s="5">
        <v>3.4374999999999995E-5</v>
      </c>
      <c r="D171">
        <v>10.75</v>
      </c>
      <c r="E171">
        <v>6</v>
      </c>
      <c r="F171">
        <v>1</v>
      </c>
      <c r="G171" s="5">
        <v>2.0833333333333334E-6</v>
      </c>
      <c r="H171" s="5">
        <v>6.9445601851851847E-3</v>
      </c>
      <c r="I171" s="5">
        <v>5.5561342592592589E-3</v>
      </c>
      <c r="J171" s="5">
        <v>1.9675925925925925E-6</v>
      </c>
      <c r="P171" s="1"/>
    </row>
    <row r="172" spans="1:16" x14ac:dyDescent="0.25">
      <c r="A172">
        <f ca="1">IF(_372845237[[#This Row],[instance]]&lt;OFFSET(_372845237[[#This Row],[instance]],-1,0), OFFSET(_372845237[[#This Row],[model]],-1,0)+1, OFFSET(_372845237[[#This Row],[model]],-1,0))</f>
        <v>3</v>
      </c>
      <c r="B172">
        <v>7</v>
      </c>
      <c r="C172" s="5">
        <v>4.9768518518518514E-6</v>
      </c>
      <c r="D172">
        <v>0</v>
      </c>
      <c r="E172">
        <v>0</v>
      </c>
      <c r="F172">
        <v>0</v>
      </c>
      <c r="G172" s="5">
        <v>1.9675925925925925E-6</v>
      </c>
      <c r="H172" s="5">
        <v>6.9445601851851847E-3</v>
      </c>
      <c r="I172" s="5">
        <v>5.5561342592592589E-3</v>
      </c>
      <c r="J172" s="5">
        <v>1.9675925925925925E-6</v>
      </c>
      <c r="P172" s="1"/>
    </row>
    <row r="173" spans="1:16" x14ac:dyDescent="0.25">
      <c r="A173">
        <f ca="1">IF(_372845237[[#This Row],[instance]]&lt;OFFSET(_372845237[[#This Row],[instance]],-1,0), OFFSET(_372845237[[#This Row],[model]],-1,0)+1, OFFSET(_372845237[[#This Row],[model]],-1,0))</f>
        <v>3</v>
      </c>
      <c r="B173">
        <v>7</v>
      </c>
      <c r="C173" s="5">
        <v>4.9768518518518514E-6</v>
      </c>
      <c r="D173">
        <v>3</v>
      </c>
      <c r="E173">
        <v>1</v>
      </c>
      <c r="F173">
        <v>1</v>
      </c>
      <c r="G173" s="5">
        <v>1.9675925925925925E-6</v>
      </c>
      <c r="H173" s="5">
        <v>6.9445601851851847E-3</v>
      </c>
      <c r="I173" s="5">
        <v>5.5561342592592589E-3</v>
      </c>
      <c r="J173" s="5">
        <v>1.9675925925925925E-6</v>
      </c>
      <c r="P173" s="1"/>
    </row>
    <row r="174" spans="1:16" x14ac:dyDescent="0.25">
      <c r="A174">
        <f ca="1">IF(_372845237[[#This Row],[instance]]&lt;OFFSET(_372845237[[#This Row],[instance]],-1,0), OFFSET(_372845237[[#This Row],[model]],-1,0)+1, OFFSET(_372845237[[#This Row],[model]],-1,0))</f>
        <v>3</v>
      </c>
      <c r="B174">
        <v>7</v>
      </c>
      <c r="C174" s="5">
        <v>4.0972222222222218E-5</v>
      </c>
      <c r="D174">
        <v>4.5</v>
      </c>
      <c r="E174">
        <v>5</v>
      </c>
      <c r="F174">
        <v>2</v>
      </c>
      <c r="G174" s="5">
        <v>1.9675925925925925E-6</v>
      </c>
      <c r="H174" s="5">
        <v>6.9445601851851847E-3</v>
      </c>
      <c r="I174" s="5">
        <v>5.5561342592592589E-3</v>
      </c>
      <c r="J174" s="5">
        <v>1.9675925925925925E-6</v>
      </c>
      <c r="P174" s="1"/>
    </row>
    <row r="175" spans="1:16" x14ac:dyDescent="0.25">
      <c r="A175">
        <f ca="1">IF(_372845237[[#This Row],[instance]]&lt;OFFSET(_372845237[[#This Row],[instance]],-1,0), OFFSET(_372845237[[#This Row],[model]],-1,0)+1, OFFSET(_372845237[[#This Row],[model]],-1,0))</f>
        <v>3</v>
      </c>
      <c r="B175">
        <v>7</v>
      </c>
      <c r="C175" s="5">
        <v>4.0972222222222218E-5</v>
      </c>
      <c r="D175">
        <v>6</v>
      </c>
      <c r="E175">
        <v>2</v>
      </c>
      <c r="F175">
        <v>2</v>
      </c>
      <c r="G175" s="5">
        <v>1.9675925925925925E-6</v>
      </c>
      <c r="H175" s="5">
        <v>6.9445601851851847E-3</v>
      </c>
      <c r="I175" s="5">
        <v>5.5561342592592589E-3</v>
      </c>
      <c r="J175" s="5">
        <v>1.9675925925925925E-6</v>
      </c>
      <c r="P175" s="1"/>
    </row>
    <row r="176" spans="1:16" x14ac:dyDescent="0.25">
      <c r="A176">
        <f ca="1">IF(_372845237[[#This Row],[instance]]&lt;OFFSET(_372845237[[#This Row],[instance]],-1,0), OFFSET(_372845237[[#This Row],[model]],-1,0)+1, OFFSET(_372845237[[#This Row],[model]],-1,0))</f>
        <v>3</v>
      </c>
      <c r="B176">
        <v>7</v>
      </c>
      <c r="C176" s="5">
        <v>4.9305555555555555E-5</v>
      </c>
      <c r="D176">
        <v>9</v>
      </c>
      <c r="E176">
        <v>3</v>
      </c>
      <c r="F176">
        <v>3</v>
      </c>
      <c r="G176" s="5">
        <v>1.9675925925925925E-6</v>
      </c>
      <c r="H176" s="5">
        <v>6.9445601851851847E-3</v>
      </c>
      <c r="I176" s="5">
        <v>5.5561342592592589E-3</v>
      </c>
      <c r="J176" s="5">
        <v>1.9675925925925925E-6</v>
      </c>
      <c r="P176" s="1"/>
    </row>
    <row r="177" spans="1:16" x14ac:dyDescent="0.25">
      <c r="A177">
        <f ca="1">IF(_372845237[[#This Row],[instance]]&lt;OFFSET(_372845237[[#This Row],[instance]],-1,0), OFFSET(_372845237[[#This Row],[model]],-1,0)+1, OFFSET(_372845237[[#This Row],[model]],-1,0))</f>
        <v>3</v>
      </c>
      <c r="B177">
        <v>7</v>
      </c>
      <c r="C177" s="5">
        <v>6.4351851851851856E-5</v>
      </c>
      <c r="D177">
        <v>10.5</v>
      </c>
      <c r="E177">
        <v>7</v>
      </c>
      <c r="F177">
        <v>4</v>
      </c>
      <c r="G177" s="5">
        <v>1.9675925925925925E-6</v>
      </c>
      <c r="H177" s="5">
        <v>6.9445601851851847E-3</v>
      </c>
      <c r="I177" s="5">
        <v>5.5561342592592589E-3</v>
      </c>
      <c r="J177" s="5">
        <v>1.9675925925925925E-6</v>
      </c>
      <c r="P177" s="1"/>
    </row>
    <row r="178" spans="1:16" x14ac:dyDescent="0.25">
      <c r="A178">
        <f ca="1">IF(_372845237[[#This Row],[instance]]&lt;OFFSET(_372845237[[#This Row],[instance]],-1,0), OFFSET(_372845237[[#This Row],[model]],-1,0)+1, OFFSET(_372845237[[#This Row],[model]],-1,0))</f>
        <v>3</v>
      </c>
      <c r="B178">
        <v>8</v>
      </c>
      <c r="C178" s="5">
        <v>5.0925925925925923E-6</v>
      </c>
      <c r="D178">
        <v>0</v>
      </c>
      <c r="E178">
        <v>0</v>
      </c>
      <c r="F178">
        <v>0</v>
      </c>
      <c r="G178" s="5">
        <v>1.9675925925925925E-6</v>
      </c>
      <c r="H178" s="5">
        <v>6.9445601851851847E-3</v>
      </c>
      <c r="I178" s="5">
        <v>5.5561342592592589E-3</v>
      </c>
      <c r="J178" s="5">
        <v>1.9675925925925925E-6</v>
      </c>
      <c r="P178" s="1"/>
    </row>
    <row r="179" spans="1:16" x14ac:dyDescent="0.25">
      <c r="A179">
        <f ca="1">IF(_372845237[[#This Row],[instance]]&lt;OFFSET(_372845237[[#This Row],[instance]],-1,0), OFFSET(_372845237[[#This Row],[model]],-1,0)+1, OFFSET(_372845237[[#This Row],[model]],-1,0))</f>
        <v>3</v>
      </c>
      <c r="B179">
        <v>8</v>
      </c>
      <c r="C179" s="5">
        <v>6.5972222222222221E-6</v>
      </c>
      <c r="D179">
        <v>10.375</v>
      </c>
      <c r="E179">
        <v>5</v>
      </c>
      <c r="F179">
        <v>1</v>
      </c>
      <c r="G179" s="5">
        <v>1.9675925925925925E-6</v>
      </c>
      <c r="H179" s="5">
        <v>6.9445601851851847E-3</v>
      </c>
      <c r="I179" s="5">
        <v>5.5561342592592589E-3</v>
      </c>
      <c r="J179" s="5">
        <v>1.9675925925925925E-6</v>
      </c>
      <c r="P179" s="1"/>
    </row>
    <row r="180" spans="1:16" x14ac:dyDescent="0.25">
      <c r="A180">
        <f ca="1">IF(_372845237[[#This Row],[instance]]&lt;OFFSET(_372845237[[#This Row],[instance]],-1,0), OFFSET(_372845237[[#This Row],[model]],-1,0)+1, OFFSET(_372845237[[#This Row],[model]],-1,0))</f>
        <v>3</v>
      </c>
      <c r="B180">
        <v>8</v>
      </c>
      <c r="C180" s="5">
        <v>6.5972222222222221E-6</v>
      </c>
      <c r="D180">
        <v>12</v>
      </c>
      <c r="E180">
        <v>4</v>
      </c>
      <c r="F180">
        <v>1</v>
      </c>
      <c r="G180" s="5">
        <v>1.9675925925925925E-6</v>
      </c>
      <c r="H180" s="5">
        <v>6.9445601851851847E-3</v>
      </c>
      <c r="I180" s="5">
        <v>5.5561342592592589E-3</v>
      </c>
      <c r="J180" s="5">
        <v>1.9675925925925925E-6</v>
      </c>
      <c r="P180" s="1"/>
    </row>
    <row r="181" spans="1:16" x14ac:dyDescent="0.25">
      <c r="A181">
        <f ca="1">IF(_372845237[[#This Row],[instance]]&lt;OFFSET(_372845237[[#This Row],[instance]],-1,0), OFFSET(_372845237[[#This Row],[model]],-1,0)+1, OFFSET(_372845237[[#This Row],[model]],-1,0))</f>
        <v>3</v>
      </c>
      <c r="B181">
        <v>9</v>
      </c>
      <c r="C181" s="5">
        <v>5.0925925925925923E-6</v>
      </c>
      <c r="D181">
        <v>0</v>
      </c>
      <c r="E181">
        <v>0</v>
      </c>
      <c r="F181">
        <v>0</v>
      </c>
      <c r="G181" s="5">
        <v>1.9675925925925925E-6</v>
      </c>
      <c r="H181" s="5">
        <v>6.9445601851851847E-3</v>
      </c>
      <c r="I181" s="5">
        <v>5.5561342592592589E-3</v>
      </c>
      <c r="J181" s="5">
        <v>1.9675925925925925E-6</v>
      </c>
      <c r="P181" s="1"/>
    </row>
    <row r="182" spans="1:16" x14ac:dyDescent="0.25">
      <c r="A182">
        <f ca="1">IF(_372845237[[#This Row],[instance]]&lt;OFFSET(_372845237[[#This Row],[instance]],-1,0), OFFSET(_372845237[[#This Row],[model]],-1,0)+1, OFFSET(_372845237[[#This Row],[model]],-1,0))</f>
        <v>3</v>
      </c>
      <c r="B182">
        <v>9</v>
      </c>
      <c r="C182" s="5">
        <v>3.6283564814814815E-3</v>
      </c>
      <c r="D182">
        <v>9</v>
      </c>
      <c r="E182">
        <v>6</v>
      </c>
      <c r="F182">
        <v>1</v>
      </c>
      <c r="G182" s="5">
        <v>1.9675925925925925E-6</v>
      </c>
      <c r="H182" s="5">
        <v>6.9445601851851847E-3</v>
      </c>
      <c r="I182" s="5">
        <v>5.5561342592592589E-3</v>
      </c>
      <c r="J182" s="5">
        <v>1.9675925925925925E-6</v>
      </c>
      <c r="P182" s="1"/>
    </row>
    <row r="183" spans="1:16" x14ac:dyDescent="0.25">
      <c r="A183">
        <f ca="1">IF(_372845237[[#This Row],[instance]]&lt;OFFSET(_372845237[[#This Row],[instance]],-1,0), OFFSET(_372845237[[#This Row],[model]],-1,0)+1, OFFSET(_372845237[[#This Row],[model]],-1,0))</f>
        <v>3</v>
      </c>
      <c r="B183">
        <v>9</v>
      </c>
      <c r="C183" s="5">
        <v>3.6716435185185185E-3</v>
      </c>
      <c r="D183">
        <v>9.375</v>
      </c>
      <c r="E183">
        <v>7</v>
      </c>
      <c r="F183">
        <v>1</v>
      </c>
      <c r="G183" s="5">
        <v>1.9675925925925925E-6</v>
      </c>
      <c r="H183" s="5">
        <v>6.9445601851851847E-3</v>
      </c>
      <c r="I183" s="5">
        <v>5.5561342592592589E-3</v>
      </c>
      <c r="J183" s="5">
        <v>1.9675925925925925E-6</v>
      </c>
      <c r="P183" s="1"/>
    </row>
    <row r="184" spans="1:16" x14ac:dyDescent="0.25">
      <c r="A184">
        <f ca="1">IF(_372845237[[#This Row],[instance]]&lt;OFFSET(_372845237[[#This Row],[instance]],-1,0), OFFSET(_372845237[[#This Row],[model]],-1,0)+1, OFFSET(_372845237[[#This Row],[model]],-1,0))</f>
        <v>3</v>
      </c>
      <c r="B184">
        <v>10</v>
      </c>
      <c r="C184" s="5">
        <v>4.9768518518518514E-6</v>
      </c>
      <c r="D184">
        <v>0</v>
      </c>
      <c r="E184">
        <v>0</v>
      </c>
      <c r="F184">
        <v>0</v>
      </c>
      <c r="G184" s="5">
        <v>1.9675925925925925E-6</v>
      </c>
      <c r="H184" s="5">
        <v>6.9445601851851847E-3</v>
      </c>
      <c r="I184" s="5">
        <v>5.5561342592592589E-3</v>
      </c>
      <c r="J184" s="5">
        <v>1.9675925925925925E-6</v>
      </c>
      <c r="P184" s="1"/>
    </row>
    <row r="185" spans="1:16" x14ac:dyDescent="0.25">
      <c r="A185">
        <f ca="1">IF(_372845237[[#This Row],[instance]]&lt;OFFSET(_372845237[[#This Row],[instance]],-1,0), OFFSET(_372845237[[#This Row],[model]],-1,0)+1, OFFSET(_372845237[[#This Row],[model]],-1,0))</f>
        <v>3</v>
      </c>
      <c r="B185">
        <v>10</v>
      </c>
      <c r="C185" s="5">
        <v>4.9768518518518514E-6</v>
      </c>
      <c r="D185">
        <v>1.125</v>
      </c>
      <c r="E185">
        <v>3</v>
      </c>
      <c r="F185">
        <v>1</v>
      </c>
      <c r="G185" s="5">
        <v>1.9675925925925925E-6</v>
      </c>
      <c r="H185" s="5">
        <v>6.9445601851851847E-3</v>
      </c>
      <c r="I185" s="5">
        <v>5.5561342592592589E-3</v>
      </c>
      <c r="J185" s="5">
        <v>1.9675925925925925E-6</v>
      </c>
      <c r="P185" s="1"/>
    </row>
    <row r="186" spans="1:16" x14ac:dyDescent="0.25">
      <c r="A186">
        <f ca="1">IF(_372845237[[#This Row],[instance]]&lt;OFFSET(_372845237[[#This Row],[instance]],-1,0), OFFSET(_372845237[[#This Row],[model]],-1,0)+1, OFFSET(_372845237[[#This Row],[model]],-1,0))</f>
        <v>3</v>
      </c>
      <c r="B186">
        <v>10</v>
      </c>
      <c r="C186" s="5">
        <v>1.244212962962963E-4</v>
      </c>
      <c r="D186">
        <v>8.5</v>
      </c>
      <c r="E186">
        <v>5</v>
      </c>
      <c r="F186">
        <v>1</v>
      </c>
      <c r="G186" s="5">
        <v>1.9675925925925925E-6</v>
      </c>
      <c r="H186" s="5">
        <v>6.9445601851851847E-3</v>
      </c>
      <c r="I186" s="5">
        <v>5.5561342592592589E-3</v>
      </c>
      <c r="J186" s="5">
        <v>1.9675925925925925E-6</v>
      </c>
      <c r="P186" s="1"/>
    </row>
    <row r="187" spans="1:16" x14ac:dyDescent="0.25">
      <c r="A187">
        <f ca="1">IF(_372845237[[#This Row],[instance]]&lt;OFFSET(_372845237[[#This Row],[instance]],-1,0), OFFSET(_372845237[[#This Row],[model]],-1,0)+1, OFFSET(_372845237[[#This Row],[model]],-1,0))</f>
        <v>3</v>
      </c>
      <c r="B187">
        <v>10</v>
      </c>
      <c r="C187" s="5">
        <v>1.7245370370370369E-4</v>
      </c>
      <c r="D187">
        <v>8.875</v>
      </c>
      <c r="E187">
        <v>6</v>
      </c>
      <c r="F187">
        <v>1</v>
      </c>
      <c r="G187" s="5">
        <v>1.9675925925925925E-6</v>
      </c>
      <c r="H187" s="5">
        <v>6.9445601851851847E-3</v>
      </c>
      <c r="I187" s="5">
        <v>5.5561342592592589E-3</v>
      </c>
      <c r="J187" s="5">
        <v>1.9675925925925925E-6</v>
      </c>
      <c r="P187" s="1"/>
    </row>
    <row r="188" spans="1:16" x14ac:dyDescent="0.25">
      <c r="A188">
        <f ca="1">IF(_372845237[[#This Row],[instance]]&lt;OFFSET(_372845237[[#This Row],[instance]],-1,0), OFFSET(_372845237[[#This Row],[model]],-1,0)+1, OFFSET(_372845237[[#This Row],[model]],-1,0))</f>
        <v>3</v>
      </c>
      <c r="B188">
        <v>10</v>
      </c>
      <c r="C188" s="5">
        <v>1.8078703703703703E-4</v>
      </c>
      <c r="D188">
        <v>9.25</v>
      </c>
      <c r="E188">
        <v>7</v>
      </c>
      <c r="F188">
        <v>1</v>
      </c>
      <c r="G188" s="5">
        <v>1.9675925925925925E-6</v>
      </c>
      <c r="H188" s="5">
        <v>6.9445601851851847E-3</v>
      </c>
      <c r="I188" s="5">
        <v>5.5561342592592589E-3</v>
      </c>
      <c r="J188" s="5">
        <v>1.9675925925925925E-6</v>
      </c>
      <c r="P188" s="1"/>
    </row>
    <row r="189" spans="1:16" x14ac:dyDescent="0.25">
      <c r="A189">
        <f ca="1">IF(_372845237[[#This Row],[instance]]&lt;OFFSET(_372845237[[#This Row],[instance]],-1,0), OFFSET(_372845237[[#This Row],[model]],-1,0)+1, OFFSET(_372845237[[#This Row],[model]],-1,0))</f>
        <v>3</v>
      </c>
      <c r="B189">
        <v>10</v>
      </c>
      <c r="C189" s="5">
        <v>2.1817129629629628E-4</v>
      </c>
      <c r="D189">
        <v>9.625</v>
      </c>
      <c r="E189">
        <v>8</v>
      </c>
      <c r="F189">
        <v>1</v>
      </c>
      <c r="G189" s="5">
        <v>1.9675925925925925E-6</v>
      </c>
      <c r="H189" s="5">
        <v>6.9445601851851847E-3</v>
      </c>
      <c r="I189" s="5">
        <v>5.5561342592592589E-3</v>
      </c>
      <c r="J189" s="5">
        <v>1.9675925925925925E-6</v>
      </c>
      <c r="P189" s="1"/>
    </row>
    <row r="190" spans="1:16" x14ac:dyDescent="0.25">
      <c r="A190">
        <f ca="1">IF(_372845237[[#This Row],[instance]]&lt;OFFSET(_372845237[[#This Row],[instance]],-1,0), OFFSET(_372845237[[#This Row],[model]],-1,0)+1, OFFSET(_372845237[[#This Row],[model]],-1,0))</f>
        <v>3</v>
      </c>
      <c r="B190">
        <v>11</v>
      </c>
      <c r="C190" s="5">
        <v>5.0925925925925923E-6</v>
      </c>
      <c r="D190">
        <v>0</v>
      </c>
      <c r="E190">
        <v>0</v>
      </c>
      <c r="F190">
        <v>0</v>
      </c>
      <c r="G190" s="5">
        <v>1.9675925925925925E-6</v>
      </c>
      <c r="H190" s="5">
        <v>6.9445601851851847E-3</v>
      </c>
      <c r="I190" s="5">
        <v>5.5561342592592589E-3</v>
      </c>
      <c r="J190" s="5">
        <v>1.9675925925925925E-6</v>
      </c>
      <c r="P190" s="1"/>
    </row>
    <row r="191" spans="1:16" x14ac:dyDescent="0.25">
      <c r="A191">
        <f ca="1">IF(_372845237[[#This Row],[instance]]&lt;OFFSET(_372845237[[#This Row],[instance]],-1,0), OFFSET(_372845237[[#This Row],[model]],-1,0)+1, OFFSET(_372845237[[#This Row],[model]],-1,0))</f>
        <v>3</v>
      </c>
      <c r="B191">
        <v>11</v>
      </c>
      <c r="C191" s="5">
        <v>5.0925925925925923E-6</v>
      </c>
      <c r="D191">
        <v>3.75</v>
      </c>
      <c r="E191">
        <v>6</v>
      </c>
      <c r="F191">
        <v>1</v>
      </c>
      <c r="G191" s="5">
        <v>1.9675925925925925E-6</v>
      </c>
      <c r="H191" s="5">
        <v>6.9445601851851847E-3</v>
      </c>
      <c r="I191" s="5">
        <v>5.5561342592592589E-3</v>
      </c>
      <c r="J191" s="5">
        <v>1.9675925925925925E-6</v>
      </c>
      <c r="P191" s="1"/>
    </row>
    <row r="192" spans="1:16" x14ac:dyDescent="0.25">
      <c r="A192">
        <f ca="1">IF(_372845237[[#This Row],[instance]]&lt;OFFSET(_372845237[[#This Row],[instance]],-1,0), OFFSET(_372845237[[#This Row],[model]],-1,0)+1, OFFSET(_372845237[[#This Row],[model]],-1,0))</f>
        <v>3</v>
      </c>
      <c r="B192">
        <v>12</v>
      </c>
      <c r="C192" s="5">
        <v>4.9768518518518514E-6</v>
      </c>
      <c r="D192">
        <v>0</v>
      </c>
      <c r="E192">
        <v>0</v>
      </c>
      <c r="F192">
        <v>0</v>
      </c>
      <c r="G192" s="5">
        <v>1.9675925925925925E-6</v>
      </c>
      <c r="H192" s="5">
        <v>6.9445601851851847E-3</v>
      </c>
      <c r="I192" s="5">
        <v>5.5561342592592589E-3</v>
      </c>
      <c r="J192" s="5">
        <v>1.9675925925925925E-6</v>
      </c>
      <c r="P192" s="1"/>
    </row>
    <row r="193" spans="1:16" x14ac:dyDescent="0.25">
      <c r="A193">
        <f ca="1">IF(_372845237[[#This Row],[instance]]&lt;OFFSET(_372845237[[#This Row],[instance]],-1,0), OFFSET(_372845237[[#This Row],[model]],-1,0)+1, OFFSET(_372845237[[#This Row],[model]],-1,0))</f>
        <v>3</v>
      </c>
      <c r="B193">
        <v>12</v>
      </c>
      <c r="C193" s="5">
        <v>4.9768518518518514E-6</v>
      </c>
      <c r="D193">
        <v>3</v>
      </c>
      <c r="E193">
        <v>1</v>
      </c>
      <c r="F193">
        <v>1</v>
      </c>
      <c r="G193" s="5">
        <v>1.9675925925925925E-6</v>
      </c>
      <c r="H193" s="5">
        <v>6.9445601851851847E-3</v>
      </c>
      <c r="I193" s="5">
        <v>5.5561342592592589E-3</v>
      </c>
      <c r="J193" s="5">
        <v>1.9675925925925925E-6</v>
      </c>
      <c r="P193" s="1"/>
    </row>
    <row r="194" spans="1:16" x14ac:dyDescent="0.25">
      <c r="A194">
        <f ca="1">IF(_372845237[[#This Row],[instance]]&lt;OFFSET(_372845237[[#This Row],[instance]],-1,0), OFFSET(_372845237[[#This Row],[model]],-1,0)+1, OFFSET(_372845237[[#This Row],[model]],-1,0))</f>
        <v>3</v>
      </c>
      <c r="B194">
        <v>12</v>
      </c>
      <c r="C194" s="5">
        <v>5.9027777777777776E-6</v>
      </c>
      <c r="D194">
        <v>6</v>
      </c>
      <c r="E194">
        <v>2</v>
      </c>
      <c r="F194">
        <v>2</v>
      </c>
      <c r="G194" s="5">
        <v>1.9675925925925925E-6</v>
      </c>
      <c r="H194" s="5">
        <v>6.9445601851851847E-3</v>
      </c>
      <c r="I194" s="5">
        <v>5.5561342592592589E-3</v>
      </c>
      <c r="J194" s="5">
        <v>1.9675925925925925E-6</v>
      </c>
      <c r="P194" s="1"/>
    </row>
    <row r="195" spans="1:16" x14ac:dyDescent="0.25">
      <c r="A195">
        <f ca="1">IF(_372845237[[#This Row],[instance]]&lt;OFFSET(_372845237[[#This Row],[instance]],-1,0), OFFSET(_372845237[[#This Row],[model]],-1,0)+1, OFFSET(_372845237[[#This Row],[model]],-1,0))</f>
        <v>3</v>
      </c>
      <c r="B195">
        <v>13</v>
      </c>
      <c r="C195" s="5">
        <v>5.0925925925925923E-6</v>
      </c>
      <c r="D195">
        <v>0</v>
      </c>
      <c r="E195">
        <v>0</v>
      </c>
      <c r="F195">
        <v>0</v>
      </c>
      <c r="G195" s="5">
        <v>1.9675925925925925E-6</v>
      </c>
      <c r="H195" s="5">
        <v>2.4305555555555552E-6</v>
      </c>
      <c r="I195" s="5">
        <v>5.5561342592592589E-3</v>
      </c>
      <c r="J195" s="5">
        <v>1.9675925925925925E-6</v>
      </c>
      <c r="P195" s="1"/>
    </row>
    <row r="196" spans="1:16" x14ac:dyDescent="0.25">
      <c r="A196">
        <f ca="1">IF(_372845237[[#This Row],[instance]]&lt;OFFSET(_372845237[[#This Row],[instance]],-1,0), OFFSET(_372845237[[#This Row],[model]],-1,0)+1, OFFSET(_372845237[[#This Row],[model]],-1,0))</f>
        <v>3</v>
      </c>
      <c r="B196">
        <v>14</v>
      </c>
      <c r="C196" s="5">
        <v>4.9768518518518514E-6</v>
      </c>
      <c r="D196">
        <v>0</v>
      </c>
      <c r="E196">
        <v>0</v>
      </c>
      <c r="F196">
        <v>0</v>
      </c>
      <c r="G196" s="5">
        <v>1.9675925925925925E-6</v>
      </c>
      <c r="H196" s="5">
        <v>2.3148148148148148E-6</v>
      </c>
      <c r="I196" s="5">
        <v>5.5561342592592589E-3</v>
      </c>
      <c r="J196" s="5">
        <v>1.9675925925925925E-6</v>
      </c>
      <c r="P196" s="1"/>
    </row>
    <row r="197" spans="1:16" x14ac:dyDescent="0.25">
      <c r="A197">
        <f ca="1">IF(_372845237[[#This Row],[instance]]&lt;OFFSET(_372845237[[#This Row],[instance]],-1,0), OFFSET(_372845237[[#This Row],[model]],-1,0)+1, OFFSET(_372845237[[#This Row],[model]],-1,0))</f>
        <v>3</v>
      </c>
      <c r="B197">
        <v>15</v>
      </c>
      <c r="C197" s="5">
        <v>5.0925925925925923E-6</v>
      </c>
      <c r="D197">
        <v>0</v>
      </c>
      <c r="E197">
        <v>0</v>
      </c>
      <c r="F197">
        <v>0</v>
      </c>
      <c r="G197" s="5">
        <v>2.0833333333333334E-6</v>
      </c>
      <c r="H197" s="5">
        <v>6.9445601851851847E-3</v>
      </c>
      <c r="I197" s="5">
        <v>5.5561342592592589E-3</v>
      </c>
      <c r="J197" s="5">
        <v>1.9675925925925925E-6</v>
      </c>
      <c r="P197" s="1"/>
    </row>
    <row r="198" spans="1:16" x14ac:dyDescent="0.25">
      <c r="A198">
        <f ca="1">IF(_372845237[[#This Row],[instance]]&lt;OFFSET(_372845237[[#This Row],[instance]],-1,0), OFFSET(_372845237[[#This Row],[model]],-1,0)+1, OFFSET(_372845237[[#This Row],[model]],-1,0))</f>
        <v>3</v>
      </c>
      <c r="B198">
        <v>15</v>
      </c>
      <c r="C198" s="5">
        <v>5.2083333333333332E-6</v>
      </c>
      <c r="D198">
        <v>5.125</v>
      </c>
      <c r="E198">
        <v>6</v>
      </c>
      <c r="F198">
        <v>1</v>
      </c>
      <c r="G198" s="5">
        <v>2.0833333333333334E-6</v>
      </c>
      <c r="H198" s="5">
        <v>6.9445601851851847E-3</v>
      </c>
      <c r="I198" s="5">
        <v>5.5561342592592589E-3</v>
      </c>
      <c r="J198" s="5">
        <v>1.9675925925925925E-6</v>
      </c>
      <c r="P198" s="1"/>
    </row>
    <row r="199" spans="1:16" x14ac:dyDescent="0.25">
      <c r="A199">
        <f ca="1">IF(_372845237[[#This Row],[instance]]&lt;OFFSET(_372845237[[#This Row],[instance]],-1,0), OFFSET(_372845237[[#This Row],[model]],-1,0)+1, OFFSET(_372845237[[#This Row],[model]],-1,0))</f>
        <v>4</v>
      </c>
      <c r="B199">
        <v>1</v>
      </c>
      <c r="C199" s="5">
        <v>7.1759259259259257E-6</v>
      </c>
      <c r="D199">
        <v>0</v>
      </c>
      <c r="E199">
        <v>0</v>
      </c>
      <c r="F199">
        <v>0</v>
      </c>
      <c r="G199" s="5">
        <v>3.2407407407407406E-6</v>
      </c>
      <c r="H199" s="5">
        <v>6.944791666666666E-3</v>
      </c>
      <c r="I199" s="5">
        <v>5.5564814814814808E-3</v>
      </c>
      <c r="J199" s="5">
        <v>3.2407407407407406E-6</v>
      </c>
      <c r="P199" s="1"/>
    </row>
    <row r="200" spans="1:16" x14ac:dyDescent="0.25">
      <c r="A200">
        <f ca="1">IF(_372845237[[#This Row],[instance]]&lt;OFFSET(_372845237[[#This Row],[instance]],-1,0), OFFSET(_372845237[[#This Row],[model]],-1,0)+1, OFFSET(_372845237[[#This Row],[model]],-1,0))</f>
        <v>4</v>
      </c>
      <c r="B200">
        <v>1</v>
      </c>
      <c r="C200" s="5">
        <v>3.6921296296296297E-5</v>
      </c>
      <c r="D200">
        <v>3</v>
      </c>
      <c r="E200">
        <v>1</v>
      </c>
      <c r="F200">
        <v>1</v>
      </c>
      <c r="G200" s="5">
        <v>3.2407407407407406E-6</v>
      </c>
      <c r="H200" s="5">
        <v>6.944791666666666E-3</v>
      </c>
      <c r="I200" s="5">
        <v>5.5564814814814808E-3</v>
      </c>
      <c r="J200" s="5">
        <v>3.2407407407407406E-6</v>
      </c>
      <c r="P200" s="1"/>
    </row>
    <row r="201" spans="1:16" x14ac:dyDescent="0.25">
      <c r="A201">
        <f ca="1">IF(_372845237[[#This Row],[instance]]&lt;OFFSET(_372845237[[#This Row],[instance]],-1,0), OFFSET(_372845237[[#This Row],[model]],-1,0)+1, OFFSET(_372845237[[#This Row],[model]],-1,0))</f>
        <v>4</v>
      </c>
      <c r="B201">
        <v>1</v>
      </c>
      <c r="C201" s="5">
        <v>2.5439814814814813E-4</v>
      </c>
      <c r="D201">
        <v>6.75</v>
      </c>
      <c r="E201">
        <v>7</v>
      </c>
      <c r="F201">
        <v>1</v>
      </c>
      <c r="G201" s="5">
        <v>3.2407407407407406E-6</v>
      </c>
      <c r="H201" s="5">
        <v>6.944791666666666E-3</v>
      </c>
      <c r="I201" s="5">
        <v>5.5564814814814808E-3</v>
      </c>
      <c r="J201" s="5">
        <v>3.2407407407407406E-6</v>
      </c>
      <c r="P201" s="1"/>
    </row>
    <row r="202" spans="1:16" x14ac:dyDescent="0.25">
      <c r="A202">
        <f ca="1">IF(_372845237[[#This Row],[instance]]&lt;OFFSET(_372845237[[#This Row],[instance]],-1,0), OFFSET(_372845237[[#This Row],[model]],-1,0)+1, OFFSET(_372845237[[#This Row],[model]],-1,0))</f>
        <v>4</v>
      </c>
      <c r="B202">
        <v>1</v>
      </c>
      <c r="C202" s="5">
        <v>7.6817129629629631E-4</v>
      </c>
      <c r="D202">
        <v>7.125</v>
      </c>
      <c r="E202">
        <v>7</v>
      </c>
      <c r="F202">
        <v>1</v>
      </c>
      <c r="G202" s="5">
        <v>3.2407407407407406E-6</v>
      </c>
      <c r="H202" s="5">
        <v>6.944791666666666E-3</v>
      </c>
      <c r="I202" s="5">
        <v>5.5564814814814808E-3</v>
      </c>
      <c r="J202" s="5">
        <v>3.2407407407407406E-6</v>
      </c>
      <c r="P202" s="1"/>
    </row>
    <row r="203" spans="1:16" x14ac:dyDescent="0.25">
      <c r="A203">
        <f ca="1">IF(_372845237[[#This Row],[instance]]&lt;OFFSET(_372845237[[#This Row],[instance]],-1,0), OFFSET(_372845237[[#This Row],[model]],-1,0)+1, OFFSET(_372845237[[#This Row],[model]],-1,0))</f>
        <v>4</v>
      </c>
      <c r="B203">
        <v>1</v>
      </c>
      <c r="C203" s="5">
        <v>7.7303240740740739E-4</v>
      </c>
      <c r="D203">
        <v>7.5</v>
      </c>
      <c r="E203">
        <v>8</v>
      </c>
      <c r="F203">
        <v>1</v>
      </c>
      <c r="G203" s="5">
        <v>3.2407407407407406E-6</v>
      </c>
      <c r="H203" s="5">
        <v>6.944791666666666E-3</v>
      </c>
      <c r="I203" s="5">
        <v>5.5564814814814808E-3</v>
      </c>
      <c r="J203" s="5">
        <v>3.2407407407407406E-6</v>
      </c>
      <c r="P203" s="1"/>
    </row>
    <row r="204" spans="1:16" x14ac:dyDescent="0.25">
      <c r="A204">
        <f ca="1">IF(_372845237[[#This Row],[instance]]&lt;OFFSET(_372845237[[#This Row],[instance]],-1,0), OFFSET(_372845237[[#This Row],[model]],-1,0)+1, OFFSET(_372845237[[#This Row],[model]],-1,0))</f>
        <v>4</v>
      </c>
      <c r="B204">
        <v>1</v>
      </c>
      <c r="C204" s="5">
        <v>4.3627314814814813E-3</v>
      </c>
      <c r="D204">
        <v>7.875</v>
      </c>
      <c r="E204">
        <v>6</v>
      </c>
      <c r="F204">
        <v>1</v>
      </c>
      <c r="G204" s="5">
        <v>3.2407407407407406E-6</v>
      </c>
      <c r="H204" s="5">
        <v>6.944791666666666E-3</v>
      </c>
      <c r="I204" s="5">
        <v>5.5564814814814808E-3</v>
      </c>
      <c r="J204" s="5">
        <v>3.2407407407407406E-6</v>
      </c>
      <c r="P204" s="1"/>
    </row>
    <row r="205" spans="1:16" x14ac:dyDescent="0.25">
      <c r="A205">
        <f ca="1">IF(_372845237[[#This Row],[instance]]&lt;OFFSET(_372845237[[#This Row],[instance]],-1,0), OFFSET(_372845237[[#This Row],[model]],-1,0)+1, OFFSET(_372845237[[#This Row],[model]],-1,0))</f>
        <v>4</v>
      </c>
      <c r="B205">
        <v>2</v>
      </c>
      <c r="C205" s="5">
        <v>1.4814814814814815E-5</v>
      </c>
      <c r="D205">
        <v>0</v>
      </c>
      <c r="E205">
        <v>0</v>
      </c>
      <c r="F205">
        <v>0</v>
      </c>
      <c r="G205" s="5">
        <v>3.2407407407407406E-6</v>
      </c>
      <c r="H205" s="5">
        <v>6.9445601851851847E-3</v>
      </c>
      <c r="I205" s="5">
        <v>5.5564814814814808E-3</v>
      </c>
      <c r="J205" s="5">
        <v>3.2407407407407406E-6</v>
      </c>
      <c r="P205" s="1"/>
    </row>
    <row r="206" spans="1:16" x14ac:dyDescent="0.25">
      <c r="A206">
        <f ca="1">IF(_372845237[[#This Row],[instance]]&lt;OFFSET(_372845237[[#This Row],[instance]],-1,0), OFFSET(_372845237[[#This Row],[model]],-1,0)+1, OFFSET(_372845237[[#This Row],[model]],-1,0))</f>
        <v>4</v>
      </c>
      <c r="B206">
        <v>2</v>
      </c>
      <c r="C206" s="5">
        <v>1.4814814814814815E-5</v>
      </c>
      <c r="D206">
        <v>1.5</v>
      </c>
      <c r="E206">
        <v>3</v>
      </c>
      <c r="F206">
        <v>1</v>
      </c>
      <c r="G206" s="5">
        <v>3.2407407407407406E-6</v>
      </c>
      <c r="H206" s="5">
        <v>6.9445601851851847E-3</v>
      </c>
      <c r="I206" s="5">
        <v>5.5564814814814808E-3</v>
      </c>
      <c r="J206" s="5">
        <v>3.2407407407407406E-6</v>
      </c>
      <c r="P206" s="1"/>
    </row>
    <row r="207" spans="1:16" x14ac:dyDescent="0.25">
      <c r="A207">
        <f ca="1">IF(_372845237[[#This Row],[instance]]&lt;OFFSET(_372845237[[#This Row],[instance]],-1,0), OFFSET(_372845237[[#This Row],[model]],-1,0)+1, OFFSET(_372845237[[#This Row],[model]],-1,0))</f>
        <v>4</v>
      </c>
      <c r="B207">
        <v>2</v>
      </c>
      <c r="C207" s="5">
        <v>1.4814814814814815E-5</v>
      </c>
      <c r="D207">
        <v>1.875</v>
      </c>
      <c r="E207">
        <v>3</v>
      </c>
      <c r="F207">
        <v>1</v>
      </c>
      <c r="G207" s="5">
        <v>3.2407407407407406E-6</v>
      </c>
      <c r="H207" s="5">
        <v>6.9445601851851847E-3</v>
      </c>
      <c r="I207" s="5">
        <v>5.5564814814814808E-3</v>
      </c>
      <c r="J207" s="5">
        <v>3.2407407407407406E-6</v>
      </c>
      <c r="P207" s="1"/>
    </row>
    <row r="208" spans="1:16" x14ac:dyDescent="0.25">
      <c r="A208">
        <f ca="1">IF(_372845237[[#This Row],[instance]]&lt;OFFSET(_372845237[[#This Row],[instance]],-1,0), OFFSET(_372845237[[#This Row],[model]],-1,0)+1, OFFSET(_372845237[[#This Row],[model]],-1,0))</f>
        <v>4</v>
      </c>
      <c r="B208">
        <v>2</v>
      </c>
      <c r="C208" s="5">
        <v>1.4814814814814815E-5</v>
      </c>
      <c r="D208">
        <v>2.25</v>
      </c>
      <c r="E208">
        <v>4</v>
      </c>
      <c r="F208">
        <v>1</v>
      </c>
      <c r="G208" s="5">
        <v>3.2407407407407406E-6</v>
      </c>
      <c r="H208" s="5">
        <v>6.9445601851851847E-3</v>
      </c>
      <c r="I208" s="5">
        <v>5.5564814814814808E-3</v>
      </c>
      <c r="J208" s="5">
        <v>3.2407407407407406E-6</v>
      </c>
      <c r="P208" s="1"/>
    </row>
    <row r="209" spans="1:16" x14ac:dyDescent="0.25">
      <c r="A209">
        <f ca="1">IF(_372845237[[#This Row],[instance]]&lt;OFFSET(_372845237[[#This Row],[instance]],-1,0), OFFSET(_372845237[[#This Row],[model]],-1,0)+1, OFFSET(_372845237[[#This Row],[model]],-1,0))</f>
        <v>4</v>
      </c>
      <c r="B209">
        <v>2</v>
      </c>
      <c r="C209" s="5">
        <v>1.4814814814814815E-5</v>
      </c>
      <c r="D209">
        <v>2.625</v>
      </c>
      <c r="E209">
        <v>4</v>
      </c>
      <c r="F209">
        <v>1</v>
      </c>
      <c r="G209" s="5">
        <v>3.2407407407407406E-6</v>
      </c>
      <c r="H209" s="5">
        <v>6.9445601851851847E-3</v>
      </c>
      <c r="I209" s="5">
        <v>5.5564814814814808E-3</v>
      </c>
      <c r="J209" s="5">
        <v>3.2407407407407406E-6</v>
      </c>
      <c r="P209" s="1"/>
    </row>
    <row r="210" spans="1:16" x14ac:dyDescent="0.25">
      <c r="A210">
        <f ca="1">IF(_372845237[[#This Row],[instance]]&lt;OFFSET(_372845237[[#This Row],[instance]],-1,0), OFFSET(_372845237[[#This Row],[model]],-1,0)+1, OFFSET(_372845237[[#This Row],[model]],-1,0))</f>
        <v>4</v>
      </c>
      <c r="B210">
        <v>2</v>
      </c>
      <c r="C210" s="5">
        <v>1.4814814814814815E-5</v>
      </c>
      <c r="D210">
        <v>3</v>
      </c>
      <c r="E210">
        <v>5</v>
      </c>
      <c r="F210">
        <v>1</v>
      </c>
      <c r="G210" s="5">
        <v>3.2407407407407406E-6</v>
      </c>
      <c r="H210" s="5">
        <v>6.9445601851851847E-3</v>
      </c>
      <c r="I210" s="5">
        <v>5.5564814814814808E-3</v>
      </c>
      <c r="J210" s="5">
        <v>3.2407407407407406E-6</v>
      </c>
      <c r="P210" s="1"/>
    </row>
    <row r="211" spans="1:16" x14ac:dyDescent="0.25">
      <c r="A211">
        <f ca="1">IF(_372845237[[#This Row],[instance]]&lt;OFFSET(_372845237[[#This Row],[instance]],-1,0), OFFSET(_372845237[[#This Row],[model]],-1,0)+1, OFFSET(_372845237[[#This Row],[model]],-1,0))</f>
        <v>4</v>
      </c>
      <c r="B211">
        <v>2</v>
      </c>
      <c r="C211" s="5">
        <v>1.4930555555555555E-5</v>
      </c>
      <c r="D211">
        <v>3.25</v>
      </c>
      <c r="E211">
        <v>5</v>
      </c>
      <c r="F211">
        <v>1</v>
      </c>
      <c r="G211" s="5">
        <v>3.2407407407407406E-6</v>
      </c>
      <c r="H211" s="5">
        <v>6.9445601851851847E-3</v>
      </c>
      <c r="I211" s="5">
        <v>5.5564814814814808E-3</v>
      </c>
      <c r="J211" s="5">
        <v>3.2407407407407406E-6</v>
      </c>
      <c r="P211" s="1"/>
    </row>
    <row r="212" spans="1:16" x14ac:dyDescent="0.25">
      <c r="A212">
        <f ca="1">IF(_372845237[[#This Row],[instance]]&lt;OFFSET(_372845237[[#This Row],[instance]],-1,0), OFFSET(_372845237[[#This Row],[model]],-1,0)+1, OFFSET(_372845237[[#This Row],[model]],-1,0))</f>
        <v>4</v>
      </c>
      <c r="B212">
        <v>2</v>
      </c>
      <c r="C212" s="5">
        <v>2.0833333333333333E-5</v>
      </c>
      <c r="D212">
        <v>3.625</v>
      </c>
      <c r="E212">
        <v>5</v>
      </c>
      <c r="F212">
        <v>2</v>
      </c>
      <c r="G212" s="5">
        <v>3.2407407407407406E-6</v>
      </c>
      <c r="H212" s="5">
        <v>6.9445601851851847E-3</v>
      </c>
      <c r="I212" s="5">
        <v>5.5564814814814808E-3</v>
      </c>
      <c r="J212" s="5">
        <v>3.2407407407407406E-6</v>
      </c>
      <c r="P212" s="1"/>
    </row>
    <row r="213" spans="1:16" x14ac:dyDescent="0.25">
      <c r="A213">
        <f ca="1">IF(_372845237[[#This Row],[instance]]&lt;OFFSET(_372845237[[#This Row],[instance]],-1,0), OFFSET(_372845237[[#This Row],[model]],-1,0)+1, OFFSET(_372845237[[#This Row],[model]],-1,0))</f>
        <v>4</v>
      </c>
      <c r="B213">
        <v>3</v>
      </c>
      <c r="C213" s="5">
        <v>6.9444444444444439E-6</v>
      </c>
      <c r="D213">
        <v>0</v>
      </c>
      <c r="E213">
        <v>0</v>
      </c>
      <c r="F213">
        <v>0</v>
      </c>
      <c r="G213" s="5">
        <v>3.2407407407407406E-6</v>
      </c>
      <c r="H213" s="5">
        <v>3.9351851851851851E-6</v>
      </c>
      <c r="I213" s="5">
        <v>5.5564814814814808E-3</v>
      </c>
      <c r="J213" s="5">
        <v>3.2407407407407406E-6</v>
      </c>
      <c r="P213" s="1"/>
    </row>
    <row r="214" spans="1:16" x14ac:dyDescent="0.25">
      <c r="A214">
        <f ca="1">IF(_372845237[[#This Row],[instance]]&lt;OFFSET(_372845237[[#This Row],[instance]],-1,0), OFFSET(_372845237[[#This Row],[model]],-1,0)+1, OFFSET(_372845237[[#This Row],[model]],-1,0))</f>
        <v>4</v>
      </c>
      <c r="B214">
        <v>3</v>
      </c>
      <c r="C214" s="5">
        <v>7.0601851851851848E-6</v>
      </c>
      <c r="D214">
        <v>2.625</v>
      </c>
      <c r="E214">
        <v>5</v>
      </c>
      <c r="F214">
        <v>1</v>
      </c>
      <c r="G214" s="5">
        <v>3.2407407407407406E-6</v>
      </c>
      <c r="H214" s="5">
        <v>3.9351851851851851E-6</v>
      </c>
      <c r="I214" s="5">
        <v>5.5564814814814808E-3</v>
      </c>
      <c r="J214" s="5">
        <v>3.2407407407407406E-6</v>
      </c>
      <c r="P214" s="1"/>
    </row>
    <row r="215" spans="1:16" x14ac:dyDescent="0.25">
      <c r="A215">
        <f ca="1">IF(_372845237[[#This Row],[instance]]&lt;OFFSET(_372845237[[#This Row],[instance]],-1,0), OFFSET(_372845237[[#This Row],[model]],-1,0)+1, OFFSET(_372845237[[#This Row],[model]],-1,0))</f>
        <v>4</v>
      </c>
      <c r="B215">
        <v>3</v>
      </c>
      <c r="C215" s="5">
        <v>7.2916666666666666E-6</v>
      </c>
      <c r="D215">
        <v>4.625</v>
      </c>
      <c r="E215">
        <v>7</v>
      </c>
      <c r="F215">
        <v>1</v>
      </c>
      <c r="G215" s="5">
        <v>3.2407407407407406E-6</v>
      </c>
      <c r="H215" s="5">
        <v>3.9351851851851851E-6</v>
      </c>
      <c r="I215" s="5">
        <v>5.5564814814814808E-3</v>
      </c>
      <c r="J215" s="5">
        <v>3.2407407407407406E-6</v>
      </c>
      <c r="P215" s="1"/>
    </row>
    <row r="216" spans="1:16" x14ac:dyDescent="0.25">
      <c r="A216">
        <f ca="1">IF(_372845237[[#This Row],[instance]]&lt;OFFSET(_372845237[[#This Row],[instance]],-1,0), OFFSET(_372845237[[#This Row],[model]],-1,0)+1, OFFSET(_372845237[[#This Row],[model]],-1,0))</f>
        <v>4</v>
      </c>
      <c r="B216">
        <v>4</v>
      </c>
      <c r="C216" s="5">
        <v>7.0601851851851848E-6</v>
      </c>
      <c r="D216">
        <v>0</v>
      </c>
      <c r="E216">
        <v>0</v>
      </c>
      <c r="F216">
        <v>0</v>
      </c>
      <c r="G216" s="5">
        <v>3.2407407407407406E-6</v>
      </c>
      <c r="H216" s="5">
        <v>6.944791666666666E-3</v>
      </c>
      <c r="I216" s="5">
        <v>5.5564814814814808E-3</v>
      </c>
      <c r="J216" s="5">
        <v>3.2407407407407406E-6</v>
      </c>
      <c r="P216" s="1"/>
    </row>
    <row r="217" spans="1:16" x14ac:dyDescent="0.25">
      <c r="A217">
        <f ca="1">IF(_372845237[[#This Row],[instance]]&lt;OFFSET(_372845237[[#This Row],[instance]],-1,0), OFFSET(_372845237[[#This Row],[model]],-1,0)+1, OFFSET(_372845237[[#This Row],[model]],-1,0))</f>
        <v>4</v>
      </c>
      <c r="B217">
        <v>4</v>
      </c>
      <c r="C217" s="5">
        <v>1.0965277777777776E-3</v>
      </c>
      <c r="D217">
        <v>5</v>
      </c>
      <c r="E217">
        <v>6</v>
      </c>
      <c r="F217">
        <v>1</v>
      </c>
      <c r="G217" s="5">
        <v>3.2407407407407406E-6</v>
      </c>
      <c r="H217" s="5">
        <v>6.944791666666666E-3</v>
      </c>
      <c r="I217" s="5">
        <v>5.5564814814814808E-3</v>
      </c>
      <c r="J217" s="5">
        <v>3.2407407407407406E-6</v>
      </c>
      <c r="P217" s="1"/>
    </row>
    <row r="218" spans="1:16" x14ac:dyDescent="0.25">
      <c r="A218">
        <f ca="1">IF(_372845237[[#This Row],[instance]]&lt;OFFSET(_372845237[[#This Row],[instance]],-1,0), OFFSET(_372845237[[#This Row],[model]],-1,0)+1, OFFSET(_372845237[[#This Row],[model]],-1,0))</f>
        <v>4</v>
      </c>
      <c r="B218">
        <v>5</v>
      </c>
      <c r="C218" s="5">
        <v>7.1759259259259257E-6</v>
      </c>
      <c r="D218">
        <v>0</v>
      </c>
      <c r="E218">
        <v>0</v>
      </c>
      <c r="F218">
        <v>0</v>
      </c>
      <c r="G218" s="5">
        <v>3.2407407407407406E-6</v>
      </c>
      <c r="H218" s="5">
        <v>6.944791666666666E-3</v>
      </c>
      <c r="I218" s="5">
        <v>5.5564814814814808E-3</v>
      </c>
      <c r="J218" s="5">
        <v>3.2407407407407406E-6</v>
      </c>
      <c r="P218" s="1"/>
    </row>
    <row r="219" spans="1:16" x14ac:dyDescent="0.25">
      <c r="A219">
        <f ca="1">IF(_372845237[[#This Row],[instance]]&lt;OFFSET(_372845237[[#This Row],[instance]],-1,0), OFFSET(_372845237[[#This Row],[model]],-1,0)+1, OFFSET(_372845237[[#This Row],[model]],-1,0))</f>
        <v>4</v>
      </c>
      <c r="B219">
        <v>5</v>
      </c>
      <c r="C219" s="5">
        <v>4.4409722222222219E-4</v>
      </c>
      <c r="D219">
        <v>2.625</v>
      </c>
      <c r="E219">
        <v>5</v>
      </c>
      <c r="F219">
        <v>1</v>
      </c>
      <c r="G219" s="5">
        <v>3.2407407407407406E-6</v>
      </c>
      <c r="H219" s="5">
        <v>6.944791666666666E-3</v>
      </c>
      <c r="I219" s="5">
        <v>5.5564814814814808E-3</v>
      </c>
      <c r="J219" s="5">
        <v>3.2407407407407406E-6</v>
      </c>
      <c r="P219" s="1"/>
    </row>
    <row r="220" spans="1:16" x14ac:dyDescent="0.25">
      <c r="A220">
        <f ca="1">IF(_372845237[[#This Row],[instance]]&lt;OFFSET(_372845237[[#This Row],[instance]],-1,0), OFFSET(_372845237[[#This Row],[model]],-1,0)+1, OFFSET(_372845237[[#This Row],[model]],-1,0))</f>
        <v>4</v>
      </c>
      <c r="B220">
        <v>6</v>
      </c>
      <c r="C220" s="5">
        <v>7.1759259259259257E-6</v>
      </c>
      <c r="D220">
        <v>0</v>
      </c>
      <c r="E220">
        <v>0</v>
      </c>
      <c r="F220">
        <v>0</v>
      </c>
      <c r="G220" s="5">
        <v>3.2407407407407406E-6</v>
      </c>
      <c r="H220" s="5">
        <v>6.944791666666666E-3</v>
      </c>
      <c r="I220" s="5">
        <v>5.5564814814814808E-3</v>
      </c>
      <c r="J220" s="5">
        <v>3.2407407407407406E-6</v>
      </c>
      <c r="P220" s="1"/>
    </row>
    <row r="221" spans="1:16" x14ac:dyDescent="0.25">
      <c r="A221">
        <f ca="1">IF(_372845237[[#This Row],[instance]]&lt;OFFSET(_372845237[[#This Row],[instance]],-1,0), OFFSET(_372845237[[#This Row],[model]],-1,0)+1, OFFSET(_372845237[[#This Row],[model]],-1,0))</f>
        <v>4</v>
      </c>
      <c r="B221">
        <v>6</v>
      </c>
      <c r="C221" s="5">
        <v>7.1759259259259257E-6</v>
      </c>
      <c r="D221">
        <v>4.75</v>
      </c>
      <c r="E221">
        <v>7</v>
      </c>
      <c r="F221">
        <v>1</v>
      </c>
      <c r="G221" s="5">
        <v>3.2407407407407406E-6</v>
      </c>
      <c r="H221" s="5">
        <v>6.944791666666666E-3</v>
      </c>
      <c r="I221" s="5">
        <v>5.5564814814814808E-3</v>
      </c>
      <c r="J221" s="5">
        <v>3.2407407407407406E-6</v>
      </c>
      <c r="P221" s="1"/>
    </row>
    <row r="222" spans="1:16" x14ac:dyDescent="0.25">
      <c r="A222">
        <f ca="1">IF(_372845237[[#This Row],[instance]]&lt;OFFSET(_372845237[[#This Row],[instance]],-1,0), OFFSET(_372845237[[#This Row],[model]],-1,0)+1, OFFSET(_372845237[[#This Row],[model]],-1,0))</f>
        <v>4</v>
      </c>
      <c r="B222">
        <v>6</v>
      </c>
      <c r="C222" s="5">
        <v>7.4074074074074075E-6</v>
      </c>
      <c r="D222">
        <v>6.625</v>
      </c>
      <c r="E222">
        <v>6</v>
      </c>
      <c r="F222">
        <v>1</v>
      </c>
      <c r="G222" s="5">
        <v>3.2407407407407406E-6</v>
      </c>
      <c r="H222" s="5">
        <v>6.944791666666666E-3</v>
      </c>
      <c r="I222" s="5">
        <v>5.5564814814814808E-3</v>
      </c>
      <c r="J222" s="5">
        <v>3.2407407407407406E-6</v>
      </c>
      <c r="P222" s="1"/>
    </row>
    <row r="223" spans="1:16" x14ac:dyDescent="0.25">
      <c r="A223">
        <f ca="1">IF(_372845237[[#This Row],[instance]]&lt;OFFSET(_372845237[[#This Row],[instance]],-1,0), OFFSET(_372845237[[#This Row],[model]],-1,0)+1, OFFSET(_372845237[[#This Row],[model]],-1,0))</f>
        <v>4</v>
      </c>
      <c r="B223">
        <v>6</v>
      </c>
      <c r="C223" s="5">
        <v>7.4074074074074075E-6</v>
      </c>
      <c r="D223">
        <v>6.75</v>
      </c>
      <c r="E223">
        <v>7</v>
      </c>
      <c r="F223">
        <v>1</v>
      </c>
      <c r="G223" s="5">
        <v>3.2407407407407406E-6</v>
      </c>
      <c r="H223" s="5">
        <v>6.944791666666666E-3</v>
      </c>
      <c r="I223" s="5">
        <v>5.5564814814814808E-3</v>
      </c>
      <c r="J223" s="5">
        <v>3.2407407407407406E-6</v>
      </c>
      <c r="P223" s="1"/>
    </row>
    <row r="224" spans="1:16" x14ac:dyDescent="0.25">
      <c r="A224">
        <f ca="1">IF(_372845237[[#This Row],[instance]]&lt;OFFSET(_372845237[[#This Row],[instance]],-1,0), OFFSET(_372845237[[#This Row],[model]],-1,0)+1, OFFSET(_372845237[[#This Row],[model]],-1,0))</f>
        <v>4</v>
      </c>
      <c r="B224">
        <v>6</v>
      </c>
      <c r="C224" s="5">
        <v>7.4074074074074075E-6</v>
      </c>
      <c r="D224">
        <v>7</v>
      </c>
      <c r="E224">
        <v>7</v>
      </c>
      <c r="F224">
        <v>1</v>
      </c>
      <c r="G224" s="5">
        <v>3.2407407407407406E-6</v>
      </c>
      <c r="H224" s="5">
        <v>6.944791666666666E-3</v>
      </c>
      <c r="I224" s="5">
        <v>5.5564814814814808E-3</v>
      </c>
      <c r="J224" s="5">
        <v>3.2407407407407406E-6</v>
      </c>
      <c r="P224" s="1"/>
    </row>
    <row r="225" spans="1:16" x14ac:dyDescent="0.25">
      <c r="A225">
        <f ca="1">IF(_372845237[[#This Row],[instance]]&lt;OFFSET(_372845237[[#This Row],[instance]],-1,0), OFFSET(_372845237[[#This Row],[model]],-1,0)+1, OFFSET(_372845237[[#This Row],[model]],-1,0))</f>
        <v>4</v>
      </c>
      <c r="B225">
        <v>6</v>
      </c>
      <c r="C225" s="5">
        <v>7.5231481481481475E-6</v>
      </c>
      <c r="D225">
        <v>7.375</v>
      </c>
      <c r="E225">
        <v>7</v>
      </c>
      <c r="F225">
        <v>1</v>
      </c>
      <c r="G225" s="5">
        <v>3.2407407407407406E-6</v>
      </c>
      <c r="H225" s="5">
        <v>6.944791666666666E-3</v>
      </c>
      <c r="I225" s="5">
        <v>5.5564814814814808E-3</v>
      </c>
      <c r="J225" s="5">
        <v>3.2407407407407406E-6</v>
      </c>
      <c r="P225" s="1"/>
    </row>
    <row r="226" spans="1:16" x14ac:dyDescent="0.25">
      <c r="A226">
        <f ca="1">IF(_372845237[[#This Row],[instance]]&lt;OFFSET(_372845237[[#This Row],[instance]],-1,0), OFFSET(_372845237[[#This Row],[model]],-1,0)+1, OFFSET(_372845237[[#This Row],[model]],-1,0))</f>
        <v>4</v>
      </c>
      <c r="B226">
        <v>6</v>
      </c>
      <c r="C226" s="5">
        <v>7.5231481481481475E-6</v>
      </c>
      <c r="D226">
        <v>7.75</v>
      </c>
      <c r="E226">
        <v>8</v>
      </c>
      <c r="F226">
        <v>1</v>
      </c>
      <c r="G226" s="5">
        <v>3.2407407407407406E-6</v>
      </c>
      <c r="H226" s="5">
        <v>6.944791666666666E-3</v>
      </c>
      <c r="I226" s="5">
        <v>5.5564814814814808E-3</v>
      </c>
      <c r="J226" s="5">
        <v>3.2407407407407406E-6</v>
      </c>
      <c r="P226" s="1"/>
    </row>
    <row r="227" spans="1:16" x14ac:dyDescent="0.25">
      <c r="A227">
        <f ca="1">IF(_372845237[[#This Row],[instance]]&lt;OFFSET(_372845237[[#This Row],[instance]],-1,0), OFFSET(_372845237[[#This Row],[model]],-1,0)+1, OFFSET(_372845237[[#This Row],[model]],-1,0))</f>
        <v>4</v>
      </c>
      <c r="B227">
        <v>6</v>
      </c>
      <c r="C227" s="5">
        <v>7.5231481481481475E-6</v>
      </c>
      <c r="D227">
        <v>7.875</v>
      </c>
      <c r="E227">
        <v>5</v>
      </c>
      <c r="F227">
        <v>1</v>
      </c>
      <c r="G227" s="5">
        <v>3.2407407407407406E-6</v>
      </c>
      <c r="H227" s="5">
        <v>6.944791666666666E-3</v>
      </c>
      <c r="I227" s="5">
        <v>5.5564814814814808E-3</v>
      </c>
      <c r="J227" s="5">
        <v>3.2407407407407406E-6</v>
      </c>
      <c r="P227" s="1"/>
    </row>
    <row r="228" spans="1:16" x14ac:dyDescent="0.25">
      <c r="A228">
        <f ca="1">IF(_372845237[[#This Row],[instance]]&lt;OFFSET(_372845237[[#This Row],[instance]],-1,0), OFFSET(_372845237[[#This Row],[model]],-1,0)+1, OFFSET(_372845237[[#This Row],[model]],-1,0))</f>
        <v>4</v>
      </c>
      <c r="B228">
        <v>6</v>
      </c>
      <c r="C228" s="5">
        <v>7.5231481481481475E-6</v>
      </c>
      <c r="D228">
        <v>8.125</v>
      </c>
      <c r="E228">
        <v>5</v>
      </c>
      <c r="F228">
        <v>1</v>
      </c>
      <c r="G228" s="5">
        <v>3.2407407407407406E-6</v>
      </c>
      <c r="H228" s="5">
        <v>6.944791666666666E-3</v>
      </c>
      <c r="I228" s="5">
        <v>5.5564814814814808E-3</v>
      </c>
      <c r="J228" s="5">
        <v>3.2407407407407406E-6</v>
      </c>
      <c r="P228" s="1"/>
    </row>
    <row r="229" spans="1:16" x14ac:dyDescent="0.25">
      <c r="A229">
        <f ca="1">IF(_372845237[[#This Row],[instance]]&lt;OFFSET(_372845237[[#This Row],[instance]],-1,0), OFFSET(_372845237[[#This Row],[model]],-1,0)+1, OFFSET(_372845237[[#This Row],[model]],-1,0))</f>
        <v>4</v>
      </c>
      <c r="B229">
        <v>6</v>
      </c>
      <c r="C229" s="5">
        <v>7.5231481481481475E-6</v>
      </c>
      <c r="D229">
        <v>8.25</v>
      </c>
      <c r="E229">
        <v>6</v>
      </c>
      <c r="F229">
        <v>1</v>
      </c>
      <c r="G229" s="5">
        <v>3.2407407407407406E-6</v>
      </c>
      <c r="H229" s="5">
        <v>6.944791666666666E-3</v>
      </c>
      <c r="I229" s="5">
        <v>5.5564814814814808E-3</v>
      </c>
      <c r="J229" s="5">
        <v>3.2407407407407406E-6</v>
      </c>
      <c r="P229" s="1"/>
    </row>
    <row r="230" spans="1:16" x14ac:dyDescent="0.25">
      <c r="A230">
        <f ca="1">IF(_372845237[[#This Row],[instance]]&lt;OFFSET(_372845237[[#This Row],[instance]],-1,0), OFFSET(_372845237[[#This Row],[model]],-1,0)+1, OFFSET(_372845237[[#This Row],[model]],-1,0))</f>
        <v>4</v>
      </c>
      <c r="B230">
        <v>6</v>
      </c>
      <c r="C230" s="5">
        <v>7.5231481481481475E-6</v>
      </c>
      <c r="D230">
        <v>8.5</v>
      </c>
      <c r="E230">
        <v>6</v>
      </c>
      <c r="F230">
        <v>1</v>
      </c>
      <c r="G230" s="5">
        <v>3.2407407407407406E-6</v>
      </c>
      <c r="H230" s="5">
        <v>6.944791666666666E-3</v>
      </c>
      <c r="I230" s="5">
        <v>5.5564814814814808E-3</v>
      </c>
      <c r="J230" s="5">
        <v>3.2407407407407406E-6</v>
      </c>
      <c r="P230" s="1"/>
    </row>
    <row r="231" spans="1:16" x14ac:dyDescent="0.25">
      <c r="A231">
        <f ca="1">IF(_372845237[[#This Row],[instance]]&lt;OFFSET(_372845237[[#This Row],[instance]],-1,0), OFFSET(_372845237[[#This Row],[model]],-1,0)+1, OFFSET(_372845237[[#This Row],[model]],-1,0))</f>
        <v>4</v>
      </c>
      <c r="B231">
        <v>6</v>
      </c>
      <c r="C231" s="5">
        <v>8.5648148148148138E-6</v>
      </c>
      <c r="D231">
        <v>8.625</v>
      </c>
      <c r="E231">
        <v>6</v>
      </c>
      <c r="F231">
        <v>1</v>
      </c>
      <c r="G231" s="5">
        <v>3.2407407407407406E-6</v>
      </c>
      <c r="H231" s="5">
        <v>6.944791666666666E-3</v>
      </c>
      <c r="I231" s="5">
        <v>5.5564814814814808E-3</v>
      </c>
      <c r="J231" s="5">
        <v>3.2407407407407406E-6</v>
      </c>
      <c r="P231" s="1"/>
    </row>
    <row r="232" spans="1:16" x14ac:dyDescent="0.25">
      <c r="A232">
        <f ca="1">IF(_372845237[[#This Row],[instance]]&lt;OFFSET(_372845237[[#This Row],[instance]],-1,0), OFFSET(_372845237[[#This Row],[model]],-1,0)+1, OFFSET(_372845237[[#This Row],[model]],-1,0))</f>
        <v>4</v>
      </c>
      <c r="B232">
        <v>6</v>
      </c>
      <c r="C232" s="5">
        <v>8.5648148148148138E-6</v>
      </c>
      <c r="D232">
        <v>8.875</v>
      </c>
      <c r="E232">
        <v>6</v>
      </c>
      <c r="F232">
        <v>1</v>
      </c>
      <c r="G232" s="5">
        <v>3.2407407407407406E-6</v>
      </c>
      <c r="H232" s="5">
        <v>6.944791666666666E-3</v>
      </c>
      <c r="I232" s="5">
        <v>5.5564814814814808E-3</v>
      </c>
      <c r="J232" s="5">
        <v>3.2407407407407406E-6</v>
      </c>
      <c r="P232" s="1"/>
    </row>
    <row r="233" spans="1:16" x14ac:dyDescent="0.25">
      <c r="A233">
        <f ca="1">IF(_372845237[[#This Row],[instance]]&lt;OFFSET(_372845237[[#This Row],[instance]],-1,0), OFFSET(_372845237[[#This Row],[model]],-1,0)+1, OFFSET(_372845237[[#This Row],[model]],-1,0))</f>
        <v>4</v>
      </c>
      <c r="B233">
        <v>6</v>
      </c>
      <c r="C233" s="5">
        <v>9.1435185185185174E-6</v>
      </c>
      <c r="D233">
        <v>9</v>
      </c>
      <c r="E233">
        <v>7</v>
      </c>
      <c r="F233">
        <v>1</v>
      </c>
      <c r="G233" s="5">
        <v>3.2407407407407406E-6</v>
      </c>
      <c r="H233" s="5">
        <v>6.944791666666666E-3</v>
      </c>
      <c r="I233" s="5">
        <v>5.5564814814814808E-3</v>
      </c>
      <c r="J233" s="5">
        <v>3.2407407407407406E-6</v>
      </c>
      <c r="P233" s="1"/>
    </row>
    <row r="234" spans="1:16" x14ac:dyDescent="0.25">
      <c r="A234">
        <f ca="1">IF(_372845237[[#This Row],[instance]]&lt;OFFSET(_372845237[[#This Row],[instance]],-1,0), OFFSET(_372845237[[#This Row],[model]],-1,0)+1, OFFSET(_372845237[[#This Row],[model]],-1,0))</f>
        <v>4</v>
      </c>
      <c r="B234">
        <v>6</v>
      </c>
      <c r="C234" s="5">
        <v>9.1435185185185174E-6</v>
      </c>
      <c r="D234">
        <v>9.25</v>
      </c>
      <c r="E234">
        <v>7</v>
      </c>
      <c r="F234">
        <v>1</v>
      </c>
      <c r="G234" s="5">
        <v>3.2407407407407406E-6</v>
      </c>
      <c r="H234" s="5">
        <v>6.944791666666666E-3</v>
      </c>
      <c r="I234" s="5">
        <v>5.5564814814814808E-3</v>
      </c>
      <c r="J234" s="5">
        <v>3.2407407407407406E-6</v>
      </c>
      <c r="P234" s="1"/>
    </row>
    <row r="235" spans="1:16" x14ac:dyDescent="0.25">
      <c r="A235">
        <f ca="1">IF(_372845237[[#This Row],[instance]]&lt;OFFSET(_372845237[[#This Row],[instance]],-1,0), OFFSET(_372845237[[#This Row],[model]],-1,0)+1, OFFSET(_372845237[[#This Row],[model]],-1,0))</f>
        <v>4</v>
      </c>
      <c r="B235">
        <v>7</v>
      </c>
      <c r="C235" s="5">
        <v>7.1759259259259257E-6</v>
      </c>
      <c r="D235">
        <v>0</v>
      </c>
      <c r="E235">
        <v>0</v>
      </c>
      <c r="F235">
        <v>0</v>
      </c>
      <c r="G235" s="5">
        <v>3.2407407407407406E-6</v>
      </c>
      <c r="H235" s="5">
        <v>6.944791666666666E-3</v>
      </c>
      <c r="I235" s="5">
        <v>5.5564814814814808E-3</v>
      </c>
      <c r="J235" s="5">
        <v>3.2407407407407406E-6</v>
      </c>
      <c r="P235" s="1"/>
    </row>
    <row r="236" spans="1:16" x14ac:dyDescent="0.25">
      <c r="A236">
        <f ca="1">IF(_372845237[[#This Row],[instance]]&lt;OFFSET(_372845237[[#This Row],[instance]],-1,0), OFFSET(_372845237[[#This Row],[model]],-1,0)+1, OFFSET(_372845237[[#This Row],[model]],-1,0))</f>
        <v>4</v>
      </c>
      <c r="B236">
        <v>7</v>
      </c>
      <c r="C236" s="5">
        <v>7.1759259259259257E-6</v>
      </c>
      <c r="D236">
        <v>1.125</v>
      </c>
      <c r="E236">
        <v>3</v>
      </c>
      <c r="F236">
        <v>1</v>
      </c>
      <c r="G236" s="5">
        <v>3.2407407407407406E-6</v>
      </c>
      <c r="H236" s="5">
        <v>6.944791666666666E-3</v>
      </c>
      <c r="I236" s="5">
        <v>5.5564814814814808E-3</v>
      </c>
      <c r="J236" s="5">
        <v>3.2407407407407406E-6</v>
      </c>
      <c r="P236" s="1"/>
    </row>
    <row r="237" spans="1:16" x14ac:dyDescent="0.25">
      <c r="A237">
        <f ca="1">IF(_372845237[[#This Row],[instance]]&lt;OFFSET(_372845237[[#This Row],[instance]],-1,0), OFFSET(_372845237[[#This Row],[model]],-1,0)+1, OFFSET(_372845237[[#This Row],[model]],-1,0))</f>
        <v>4</v>
      </c>
      <c r="B237">
        <v>7</v>
      </c>
      <c r="C237" s="5">
        <v>7.1759259259259257E-6</v>
      </c>
      <c r="D237">
        <v>1.5</v>
      </c>
      <c r="E237">
        <v>4</v>
      </c>
      <c r="F237">
        <v>1</v>
      </c>
      <c r="G237" s="5">
        <v>3.2407407407407406E-6</v>
      </c>
      <c r="H237" s="5">
        <v>6.944791666666666E-3</v>
      </c>
      <c r="I237" s="5">
        <v>5.5564814814814808E-3</v>
      </c>
      <c r="J237" s="5">
        <v>3.2407407407407406E-6</v>
      </c>
      <c r="P237" s="1"/>
    </row>
    <row r="238" spans="1:16" x14ac:dyDescent="0.25">
      <c r="A238">
        <f ca="1">IF(_372845237[[#This Row],[instance]]&lt;OFFSET(_372845237[[#This Row],[instance]],-1,0), OFFSET(_372845237[[#This Row],[model]],-1,0)+1, OFFSET(_372845237[[#This Row],[model]],-1,0))</f>
        <v>4</v>
      </c>
      <c r="B238">
        <v>7</v>
      </c>
      <c r="C238" s="5">
        <v>1.8993055555555554E-4</v>
      </c>
      <c r="D238">
        <v>3</v>
      </c>
      <c r="E238">
        <v>1</v>
      </c>
      <c r="F238">
        <v>1</v>
      </c>
      <c r="G238" s="5">
        <v>3.2407407407407406E-6</v>
      </c>
      <c r="H238" s="5">
        <v>6.944791666666666E-3</v>
      </c>
      <c r="I238" s="5">
        <v>5.5564814814814808E-3</v>
      </c>
      <c r="J238" s="5">
        <v>3.2407407407407406E-6</v>
      </c>
      <c r="P238" s="1"/>
    </row>
    <row r="239" spans="1:16" x14ac:dyDescent="0.25">
      <c r="A239">
        <f ca="1">IF(_372845237[[#This Row],[instance]]&lt;OFFSET(_372845237[[#This Row],[instance]],-1,0), OFFSET(_372845237[[#This Row],[model]],-1,0)+1, OFFSET(_372845237[[#This Row],[model]],-1,0))</f>
        <v>4</v>
      </c>
      <c r="B239">
        <v>7</v>
      </c>
      <c r="C239" s="5">
        <v>2.7384259259259256E-4</v>
      </c>
      <c r="D239">
        <v>4.125</v>
      </c>
      <c r="E239">
        <v>4</v>
      </c>
      <c r="F239">
        <v>2</v>
      </c>
      <c r="G239" s="5">
        <v>3.2407407407407406E-6</v>
      </c>
      <c r="H239" s="5">
        <v>6.944791666666666E-3</v>
      </c>
      <c r="I239" s="5">
        <v>5.5564814814814808E-3</v>
      </c>
      <c r="J239" s="5">
        <v>3.2407407407407406E-6</v>
      </c>
      <c r="P239" s="1"/>
    </row>
    <row r="240" spans="1:16" x14ac:dyDescent="0.25">
      <c r="A240">
        <f ca="1">IF(_372845237[[#This Row],[instance]]&lt;OFFSET(_372845237[[#This Row],[instance]],-1,0), OFFSET(_372845237[[#This Row],[model]],-1,0)+1, OFFSET(_372845237[[#This Row],[model]],-1,0))</f>
        <v>4</v>
      </c>
      <c r="B240">
        <v>7</v>
      </c>
      <c r="C240" s="5">
        <v>3.2569444444444443E-4</v>
      </c>
      <c r="D240">
        <v>4.5</v>
      </c>
      <c r="E240">
        <v>5</v>
      </c>
      <c r="F240">
        <v>2</v>
      </c>
      <c r="G240" s="5">
        <v>3.2407407407407406E-6</v>
      </c>
      <c r="H240" s="5">
        <v>6.944791666666666E-3</v>
      </c>
      <c r="I240" s="5">
        <v>5.5564814814814808E-3</v>
      </c>
      <c r="J240" s="5">
        <v>3.2407407407407406E-6</v>
      </c>
      <c r="P240" s="1"/>
    </row>
    <row r="241" spans="1:16" x14ac:dyDescent="0.25">
      <c r="A241">
        <f ca="1">IF(_372845237[[#This Row],[instance]]&lt;OFFSET(_372845237[[#This Row],[instance]],-1,0), OFFSET(_372845237[[#This Row],[model]],-1,0)+1, OFFSET(_372845237[[#This Row],[model]],-1,0))</f>
        <v>4</v>
      </c>
      <c r="B241">
        <v>7</v>
      </c>
      <c r="C241" s="5">
        <v>3.2569444444444443E-4</v>
      </c>
      <c r="D241">
        <v>6</v>
      </c>
      <c r="E241">
        <v>2</v>
      </c>
      <c r="F241">
        <v>2</v>
      </c>
      <c r="G241" s="5">
        <v>3.2407407407407406E-6</v>
      </c>
      <c r="H241" s="5">
        <v>6.944791666666666E-3</v>
      </c>
      <c r="I241" s="5">
        <v>5.5564814814814808E-3</v>
      </c>
      <c r="J241" s="5">
        <v>3.2407407407407406E-6</v>
      </c>
      <c r="P241" s="1"/>
    </row>
    <row r="242" spans="1:16" x14ac:dyDescent="0.25">
      <c r="A242">
        <f ca="1">IF(_372845237[[#This Row],[instance]]&lt;OFFSET(_372845237[[#This Row],[instance]],-1,0), OFFSET(_372845237[[#This Row],[model]],-1,0)+1, OFFSET(_372845237[[#This Row],[model]],-1,0))</f>
        <v>4</v>
      </c>
      <c r="B242">
        <v>7</v>
      </c>
      <c r="C242" s="5">
        <v>5.0312499999999999E-4</v>
      </c>
      <c r="D242">
        <v>7.125</v>
      </c>
      <c r="E242">
        <v>5</v>
      </c>
      <c r="F242">
        <v>3</v>
      </c>
      <c r="G242" s="5">
        <v>3.2407407407407406E-6</v>
      </c>
      <c r="H242" s="5">
        <v>6.944791666666666E-3</v>
      </c>
      <c r="I242" s="5">
        <v>5.5564814814814808E-3</v>
      </c>
      <c r="J242" s="5">
        <v>3.2407407407407406E-6</v>
      </c>
      <c r="P242" s="1"/>
    </row>
    <row r="243" spans="1:16" x14ac:dyDescent="0.25">
      <c r="A243">
        <f ca="1">IF(_372845237[[#This Row],[instance]]&lt;OFFSET(_372845237[[#This Row],[instance]],-1,0), OFFSET(_372845237[[#This Row],[model]],-1,0)+1, OFFSET(_372845237[[#This Row],[model]],-1,0))</f>
        <v>4</v>
      </c>
      <c r="B243">
        <v>7</v>
      </c>
      <c r="C243" s="5">
        <v>5.1203703703703697E-4</v>
      </c>
      <c r="D243">
        <v>7.5</v>
      </c>
      <c r="E243">
        <v>6</v>
      </c>
      <c r="F243">
        <v>3</v>
      </c>
      <c r="G243" s="5">
        <v>3.2407407407407406E-6</v>
      </c>
      <c r="H243" s="5">
        <v>6.944791666666666E-3</v>
      </c>
      <c r="I243" s="5">
        <v>5.5564814814814808E-3</v>
      </c>
      <c r="J243" s="5">
        <v>3.2407407407407406E-6</v>
      </c>
      <c r="P243" s="1"/>
    </row>
    <row r="244" spans="1:16" x14ac:dyDescent="0.25">
      <c r="A244">
        <f ca="1">IF(_372845237[[#This Row],[instance]]&lt;OFFSET(_372845237[[#This Row],[instance]],-1,0), OFFSET(_372845237[[#This Row],[model]],-1,0)+1, OFFSET(_372845237[[#This Row],[model]],-1,0))</f>
        <v>4</v>
      </c>
      <c r="B244">
        <v>8</v>
      </c>
      <c r="C244" s="5">
        <v>7.1759259259259257E-6</v>
      </c>
      <c r="D244">
        <v>0</v>
      </c>
      <c r="E244">
        <v>0</v>
      </c>
      <c r="F244">
        <v>0</v>
      </c>
      <c r="G244" s="5">
        <v>3.2407407407407406E-6</v>
      </c>
      <c r="H244" s="5">
        <v>6.944791666666666E-3</v>
      </c>
      <c r="I244" s="5">
        <v>5.5564814814814808E-3</v>
      </c>
      <c r="J244" s="5">
        <v>3.2407407407407406E-6</v>
      </c>
      <c r="P244" s="1"/>
    </row>
    <row r="245" spans="1:16" x14ac:dyDescent="0.25">
      <c r="A245">
        <f ca="1">IF(_372845237[[#This Row],[instance]]&lt;OFFSET(_372845237[[#This Row],[instance]],-1,0), OFFSET(_372845237[[#This Row],[model]],-1,0)+1, OFFSET(_372845237[[#This Row],[model]],-1,0))</f>
        <v>4</v>
      </c>
      <c r="B245">
        <v>8</v>
      </c>
      <c r="C245" s="5">
        <v>8.3333333333333337E-6</v>
      </c>
      <c r="D245">
        <v>6.625</v>
      </c>
      <c r="E245">
        <v>6</v>
      </c>
      <c r="F245">
        <v>1</v>
      </c>
      <c r="G245" s="5">
        <v>3.2407407407407406E-6</v>
      </c>
      <c r="H245" s="5">
        <v>6.944791666666666E-3</v>
      </c>
      <c r="I245" s="5">
        <v>5.5564814814814808E-3</v>
      </c>
      <c r="J245" s="5">
        <v>3.2407407407407406E-6</v>
      </c>
      <c r="P245" s="1"/>
    </row>
    <row r="246" spans="1:16" x14ac:dyDescent="0.25">
      <c r="A246">
        <f ca="1">IF(_372845237[[#This Row],[instance]]&lt;OFFSET(_372845237[[#This Row],[instance]],-1,0), OFFSET(_372845237[[#This Row],[model]],-1,0)+1, OFFSET(_372845237[[#This Row],[model]],-1,0))</f>
        <v>4</v>
      </c>
      <c r="B246">
        <v>8</v>
      </c>
      <c r="C246" s="5">
        <v>8.3333333333333337E-6</v>
      </c>
      <c r="D246">
        <v>6.875</v>
      </c>
      <c r="E246">
        <v>6</v>
      </c>
      <c r="F246">
        <v>1</v>
      </c>
      <c r="G246" s="5">
        <v>3.2407407407407406E-6</v>
      </c>
      <c r="H246" s="5">
        <v>6.944791666666666E-3</v>
      </c>
      <c r="I246" s="5">
        <v>5.5564814814814808E-3</v>
      </c>
      <c r="J246" s="5">
        <v>3.2407407407407406E-6</v>
      </c>
      <c r="P246" s="1"/>
    </row>
    <row r="247" spans="1:16" x14ac:dyDescent="0.25">
      <c r="A247">
        <f ca="1">IF(_372845237[[#This Row],[instance]]&lt;OFFSET(_372845237[[#This Row],[instance]],-1,0), OFFSET(_372845237[[#This Row],[model]],-1,0)+1, OFFSET(_372845237[[#This Row],[model]],-1,0))</f>
        <v>4</v>
      </c>
      <c r="B247">
        <v>8</v>
      </c>
      <c r="C247" s="5">
        <v>8.3333333333333337E-6</v>
      </c>
      <c r="D247">
        <v>7.25</v>
      </c>
      <c r="E247">
        <v>6</v>
      </c>
      <c r="F247">
        <v>1</v>
      </c>
      <c r="G247" s="5">
        <v>3.2407407407407406E-6</v>
      </c>
      <c r="H247" s="5">
        <v>6.944791666666666E-3</v>
      </c>
      <c r="I247" s="5">
        <v>5.5564814814814808E-3</v>
      </c>
      <c r="J247" s="5">
        <v>3.2407407407407406E-6</v>
      </c>
      <c r="P247" s="1"/>
    </row>
    <row r="248" spans="1:16" x14ac:dyDescent="0.25">
      <c r="A248">
        <f ca="1">IF(_372845237[[#This Row],[instance]]&lt;OFFSET(_372845237[[#This Row],[instance]],-1,0), OFFSET(_372845237[[#This Row],[model]],-1,0)+1, OFFSET(_372845237[[#This Row],[model]],-1,0))</f>
        <v>4</v>
      </c>
      <c r="B248">
        <v>8</v>
      </c>
      <c r="C248" s="5">
        <v>8.3333333333333337E-6</v>
      </c>
      <c r="D248">
        <v>7.625</v>
      </c>
      <c r="E248">
        <v>7</v>
      </c>
      <c r="F248">
        <v>1</v>
      </c>
      <c r="G248" s="5">
        <v>3.2407407407407406E-6</v>
      </c>
      <c r="H248" s="5">
        <v>6.944791666666666E-3</v>
      </c>
      <c r="I248" s="5">
        <v>5.5564814814814808E-3</v>
      </c>
      <c r="J248" s="5">
        <v>3.2407407407407406E-6</v>
      </c>
      <c r="P248" s="1"/>
    </row>
    <row r="249" spans="1:16" x14ac:dyDescent="0.25">
      <c r="A249">
        <f ca="1">IF(_372845237[[#This Row],[instance]]&lt;OFFSET(_372845237[[#This Row],[instance]],-1,0), OFFSET(_372845237[[#This Row],[model]],-1,0)+1, OFFSET(_372845237[[#This Row],[model]],-1,0))</f>
        <v>4</v>
      </c>
      <c r="B249">
        <v>8</v>
      </c>
      <c r="C249" s="5">
        <v>8.4490740740740738E-6</v>
      </c>
      <c r="D249">
        <v>7.875</v>
      </c>
      <c r="E249">
        <v>5</v>
      </c>
      <c r="F249">
        <v>1</v>
      </c>
      <c r="G249" s="5">
        <v>3.2407407407407406E-6</v>
      </c>
      <c r="H249" s="5">
        <v>6.944791666666666E-3</v>
      </c>
      <c r="I249" s="5">
        <v>5.5564814814814808E-3</v>
      </c>
      <c r="J249" s="5">
        <v>3.2407407407407406E-6</v>
      </c>
      <c r="P249" s="1"/>
    </row>
    <row r="250" spans="1:16" x14ac:dyDescent="0.25">
      <c r="A250">
        <f ca="1">IF(_372845237[[#This Row],[instance]]&lt;OFFSET(_372845237[[#This Row],[instance]],-1,0), OFFSET(_372845237[[#This Row],[model]],-1,0)+1, OFFSET(_372845237[[#This Row],[model]],-1,0))</f>
        <v>4</v>
      </c>
      <c r="B250">
        <v>8</v>
      </c>
      <c r="C250" s="5">
        <v>8.5648148148148138E-6</v>
      </c>
      <c r="D250">
        <v>8.25</v>
      </c>
      <c r="E250">
        <v>5</v>
      </c>
      <c r="F250">
        <v>1</v>
      </c>
      <c r="G250" s="5">
        <v>3.2407407407407406E-6</v>
      </c>
      <c r="H250" s="5">
        <v>6.944791666666666E-3</v>
      </c>
      <c r="I250" s="5">
        <v>5.5564814814814808E-3</v>
      </c>
      <c r="J250" s="5">
        <v>3.2407407407407406E-6</v>
      </c>
      <c r="P250" s="1"/>
    </row>
    <row r="251" spans="1:16" x14ac:dyDescent="0.25">
      <c r="A251">
        <f ca="1">IF(_372845237[[#This Row],[instance]]&lt;OFFSET(_372845237[[#This Row],[instance]],-1,0), OFFSET(_372845237[[#This Row],[model]],-1,0)+1, OFFSET(_372845237[[#This Row],[model]],-1,0))</f>
        <v>4</v>
      </c>
      <c r="B251">
        <v>8</v>
      </c>
      <c r="C251" s="5">
        <v>8.6805555555555555E-6</v>
      </c>
      <c r="D251">
        <v>8.625</v>
      </c>
      <c r="E251">
        <v>6</v>
      </c>
      <c r="F251">
        <v>1</v>
      </c>
      <c r="G251" s="5">
        <v>3.2407407407407406E-6</v>
      </c>
      <c r="H251" s="5">
        <v>6.944791666666666E-3</v>
      </c>
      <c r="I251" s="5">
        <v>5.5564814814814808E-3</v>
      </c>
      <c r="J251" s="5">
        <v>3.2407407407407406E-6</v>
      </c>
      <c r="P251" s="1"/>
    </row>
    <row r="252" spans="1:16" x14ac:dyDescent="0.25">
      <c r="A252">
        <f ca="1">IF(_372845237[[#This Row],[instance]]&lt;OFFSET(_372845237[[#This Row],[instance]],-1,0), OFFSET(_372845237[[#This Row],[model]],-1,0)+1, OFFSET(_372845237[[#This Row],[model]],-1,0))</f>
        <v>4</v>
      </c>
      <c r="B252">
        <v>8</v>
      </c>
      <c r="C252" s="5">
        <v>8.6805555555555555E-6</v>
      </c>
      <c r="D252">
        <v>8.875</v>
      </c>
      <c r="E252">
        <v>6</v>
      </c>
      <c r="F252">
        <v>1</v>
      </c>
      <c r="G252" s="5">
        <v>3.2407407407407406E-6</v>
      </c>
      <c r="H252" s="5">
        <v>6.944791666666666E-3</v>
      </c>
      <c r="I252" s="5">
        <v>5.5564814814814808E-3</v>
      </c>
      <c r="J252" s="5">
        <v>3.2407407407407406E-6</v>
      </c>
      <c r="P252" s="1"/>
    </row>
    <row r="253" spans="1:16" x14ac:dyDescent="0.25">
      <c r="A253">
        <f ca="1">IF(_372845237[[#This Row],[instance]]&lt;OFFSET(_372845237[[#This Row],[instance]],-1,0), OFFSET(_372845237[[#This Row],[model]],-1,0)+1, OFFSET(_372845237[[#This Row],[model]],-1,0))</f>
        <v>4</v>
      </c>
      <c r="B253">
        <v>9</v>
      </c>
      <c r="C253" s="5">
        <v>7.0601851851851848E-6</v>
      </c>
      <c r="D253">
        <v>0</v>
      </c>
      <c r="E253">
        <v>0</v>
      </c>
      <c r="F253">
        <v>0</v>
      </c>
      <c r="G253" s="5">
        <v>3.1249999999999997E-6</v>
      </c>
      <c r="H253" s="5">
        <v>6.944791666666666E-3</v>
      </c>
      <c r="I253" s="5">
        <v>5.5564814814814808E-3</v>
      </c>
      <c r="J253" s="5">
        <v>3.2407407407407406E-6</v>
      </c>
      <c r="P253" s="1"/>
    </row>
    <row r="254" spans="1:16" x14ac:dyDescent="0.25">
      <c r="A254">
        <f ca="1">IF(_372845237[[#This Row],[instance]]&lt;OFFSET(_372845237[[#This Row],[instance]],-1,0), OFFSET(_372845237[[#This Row],[model]],-1,0)+1, OFFSET(_372845237[[#This Row],[model]],-1,0))</f>
        <v>4</v>
      </c>
      <c r="B254">
        <v>9</v>
      </c>
      <c r="C254" s="5">
        <v>8.217592592592592E-6</v>
      </c>
      <c r="D254">
        <v>6.625</v>
      </c>
      <c r="E254">
        <v>7</v>
      </c>
      <c r="F254">
        <v>1</v>
      </c>
      <c r="G254" s="5">
        <v>3.1249999999999997E-6</v>
      </c>
      <c r="H254" s="5">
        <v>6.944791666666666E-3</v>
      </c>
      <c r="I254" s="5">
        <v>5.5564814814814808E-3</v>
      </c>
      <c r="J254" s="5">
        <v>3.2407407407407406E-6</v>
      </c>
      <c r="P254" s="1"/>
    </row>
    <row r="255" spans="1:16" x14ac:dyDescent="0.25">
      <c r="A255">
        <f ca="1">IF(_372845237[[#This Row],[instance]]&lt;OFFSET(_372845237[[#This Row],[instance]],-1,0), OFFSET(_372845237[[#This Row],[model]],-1,0)+1, OFFSET(_372845237[[#This Row],[model]],-1,0))</f>
        <v>4</v>
      </c>
      <c r="B255">
        <v>9</v>
      </c>
      <c r="C255" s="5">
        <v>8.217592592592592E-6</v>
      </c>
      <c r="D255">
        <v>7</v>
      </c>
      <c r="E255">
        <v>7</v>
      </c>
      <c r="F255">
        <v>1</v>
      </c>
      <c r="G255" s="5">
        <v>3.1249999999999997E-6</v>
      </c>
      <c r="H255" s="5">
        <v>6.944791666666666E-3</v>
      </c>
      <c r="I255" s="5">
        <v>5.5564814814814808E-3</v>
      </c>
      <c r="J255" s="5">
        <v>3.2407407407407406E-6</v>
      </c>
      <c r="P255" s="1"/>
    </row>
    <row r="256" spans="1:16" x14ac:dyDescent="0.25">
      <c r="A256">
        <f ca="1">IF(_372845237[[#This Row],[instance]]&lt;OFFSET(_372845237[[#This Row],[instance]],-1,0), OFFSET(_372845237[[#This Row],[model]],-1,0)+1, OFFSET(_372845237[[#This Row],[model]],-1,0))</f>
        <v>4</v>
      </c>
      <c r="B256">
        <v>9</v>
      </c>
      <c r="C256" s="5">
        <v>8.217592592592592E-6</v>
      </c>
      <c r="D256">
        <v>7.375</v>
      </c>
      <c r="E256">
        <v>8</v>
      </c>
      <c r="F256">
        <v>1</v>
      </c>
      <c r="G256" s="5">
        <v>3.1249999999999997E-6</v>
      </c>
      <c r="H256" s="5">
        <v>6.944791666666666E-3</v>
      </c>
      <c r="I256" s="5">
        <v>5.5564814814814808E-3</v>
      </c>
      <c r="J256" s="5">
        <v>3.2407407407407406E-6</v>
      </c>
      <c r="P256" s="1"/>
    </row>
    <row r="257" spans="1:16" x14ac:dyDescent="0.25">
      <c r="A257">
        <f ca="1">IF(_372845237[[#This Row],[instance]]&lt;OFFSET(_372845237[[#This Row],[instance]],-1,0), OFFSET(_372845237[[#This Row],[model]],-1,0)+1, OFFSET(_372845237[[#This Row],[model]],-1,0))</f>
        <v>4</v>
      </c>
      <c r="B257">
        <v>9</v>
      </c>
      <c r="C257" s="5">
        <v>8.217592592592592E-6</v>
      </c>
      <c r="D257">
        <v>7.5</v>
      </c>
      <c r="E257">
        <v>7</v>
      </c>
      <c r="F257">
        <v>1</v>
      </c>
      <c r="G257" s="5">
        <v>3.1249999999999997E-6</v>
      </c>
      <c r="H257" s="5">
        <v>6.944791666666666E-3</v>
      </c>
      <c r="I257" s="5">
        <v>5.5564814814814808E-3</v>
      </c>
      <c r="J257" s="5">
        <v>3.2407407407407406E-6</v>
      </c>
      <c r="P257" s="1"/>
    </row>
    <row r="258" spans="1:16" x14ac:dyDescent="0.25">
      <c r="A258">
        <f ca="1">IF(_372845237[[#This Row],[instance]]&lt;OFFSET(_372845237[[#This Row],[instance]],-1,0), OFFSET(_372845237[[#This Row],[model]],-1,0)+1, OFFSET(_372845237[[#This Row],[model]],-1,0))</f>
        <v>4</v>
      </c>
      <c r="B258">
        <v>9</v>
      </c>
      <c r="C258" s="5">
        <v>8.217592592592592E-6</v>
      </c>
      <c r="D258">
        <v>7.875</v>
      </c>
      <c r="E258">
        <v>8</v>
      </c>
      <c r="F258">
        <v>1</v>
      </c>
      <c r="G258" s="5">
        <v>3.1249999999999997E-6</v>
      </c>
      <c r="H258" s="5">
        <v>6.944791666666666E-3</v>
      </c>
      <c r="I258" s="5">
        <v>5.5564814814814808E-3</v>
      </c>
      <c r="J258" s="5">
        <v>3.2407407407407406E-6</v>
      </c>
      <c r="P258" s="1"/>
    </row>
    <row r="259" spans="1:16" x14ac:dyDescent="0.25">
      <c r="A259">
        <f ca="1">IF(_372845237[[#This Row],[instance]]&lt;OFFSET(_372845237[[#This Row],[instance]],-1,0), OFFSET(_372845237[[#This Row],[model]],-1,0)+1, OFFSET(_372845237[[#This Row],[model]],-1,0))</f>
        <v>4</v>
      </c>
      <c r="B259">
        <v>9</v>
      </c>
      <c r="C259" s="5">
        <v>8.217592592592592E-6</v>
      </c>
      <c r="D259">
        <v>8.125</v>
      </c>
      <c r="E259">
        <v>8</v>
      </c>
      <c r="F259">
        <v>1</v>
      </c>
      <c r="G259" s="5">
        <v>3.1249999999999997E-6</v>
      </c>
      <c r="H259" s="5">
        <v>6.944791666666666E-3</v>
      </c>
      <c r="I259" s="5">
        <v>5.5564814814814808E-3</v>
      </c>
      <c r="J259" s="5">
        <v>3.2407407407407406E-6</v>
      </c>
      <c r="P259" s="1"/>
    </row>
    <row r="260" spans="1:16" x14ac:dyDescent="0.25">
      <c r="A260">
        <f ca="1">IF(_372845237[[#This Row],[instance]]&lt;OFFSET(_372845237[[#This Row],[instance]],-1,0), OFFSET(_372845237[[#This Row],[model]],-1,0)+1, OFFSET(_372845237[[#This Row],[model]],-1,0))</f>
        <v>4</v>
      </c>
      <c r="B260">
        <v>9</v>
      </c>
      <c r="C260" s="5">
        <v>8.217592592592592E-6</v>
      </c>
      <c r="D260">
        <v>8.5</v>
      </c>
      <c r="E260">
        <v>8</v>
      </c>
      <c r="F260">
        <v>1</v>
      </c>
      <c r="G260" s="5">
        <v>3.1249999999999997E-6</v>
      </c>
      <c r="H260" s="5">
        <v>6.944791666666666E-3</v>
      </c>
      <c r="I260" s="5">
        <v>5.5564814814814808E-3</v>
      </c>
      <c r="J260" s="5">
        <v>3.2407407407407406E-6</v>
      </c>
      <c r="P260" s="1"/>
    </row>
    <row r="261" spans="1:16" x14ac:dyDescent="0.25">
      <c r="A261">
        <f ca="1">IF(_372845237[[#This Row],[instance]]&lt;OFFSET(_372845237[[#This Row],[instance]],-1,0), OFFSET(_372845237[[#This Row],[model]],-1,0)+1, OFFSET(_372845237[[#This Row],[model]],-1,0))</f>
        <v>4</v>
      </c>
      <c r="B261">
        <v>9</v>
      </c>
      <c r="C261" s="5">
        <v>8.3333333333333337E-6</v>
      </c>
      <c r="D261">
        <v>8.875</v>
      </c>
      <c r="E261">
        <v>9</v>
      </c>
      <c r="F261">
        <v>1</v>
      </c>
      <c r="G261" s="5">
        <v>3.1249999999999997E-6</v>
      </c>
      <c r="H261" s="5">
        <v>6.944791666666666E-3</v>
      </c>
      <c r="I261" s="5">
        <v>5.5564814814814808E-3</v>
      </c>
      <c r="J261" s="5">
        <v>3.2407407407407406E-6</v>
      </c>
      <c r="P261" s="1"/>
    </row>
    <row r="262" spans="1:16" x14ac:dyDescent="0.25">
      <c r="A262">
        <f ca="1">IF(_372845237[[#This Row],[instance]]&lt;OFFSET(_372845237[[#This Row],[instance]],-1,0), OFFSET(_372845237[[#This Row],[model]],-1,0)+1, OFFSET(_372845237[[#This Row],[model]],-1,0))</f>
        <v>4</v>
      </c>
      <c r="B262">
        <v>10</v>
      </c>
      <c r="C262" s="5">
        <v>7.1759259259259257E-6</v>
      </c>
      <c r="D262">
        <v>0</v>
      </c>
      <c r="E262">
        <v>0</v>
      </c>
      <c r="F262">
        <v>0</v>
      </c>
      <c r="G262" s="5">
        <v>3.2407407407407406E-6</v>
      </c>
      <c r="H262" s="5">
        <v>6.944791666666666E-3</v>
      </c>
      <c r="I262" s="5">
        <v>5.5564814814814808E-3</v>
      </c>
      <c r="J262" s="5">
        <v>3.2407407407407406E-6</v>
      </c>
      <c r="P262" s="1"/>
    </row>
    <row r="263" spans="1:16" x14ac:dyDescent="0.25">
      <c r="A263">
        <f ca="1">IF(_372845237[[#This Row],[instance]]&lt;OFFSET(_372845237[[#This Row],[instance]],-1,0), OFFSET(_372845237[[#This Row],[model]],-1,0)+1, OFFSET(_372845237[[#This Row],[model]],-1,0))</f>
        <v>4</v>
      </c>
      <c r="B263">
        <v>10</v>
      </c>
      <c r="C263" s="5">
        <v>7.1759259259259257E-6</v>
      </c>
      <c r="D263">
        <v>1.125</v>
      </c>
      <c r="E263">
        <v>3</v>
      </c>
      <c r="F263">
        <v>1</v>
      </c>
      <c r="G263" s="5">
        <v>3.2407407407407406E-6</v>
      </c>
      <c r="H263" s="5">
        <v>6.944791666666666E-3</v>
      </c>
      <c r="I263" s="5">
        <v>5.5564814814814808E-3</v>
      </c>
      <c r="J263" s="5">
        <v>3.2407407407407406E-6</v>
      </c>
      <c r="P263" s="1"/>
    </row>
    <row r="264" spans="1:16" x14ac:dyDescent="0.25">
      <c r="A264">
        <f ca="1">IF(_372845237[[#This Row],[instance]]&lt;OFFSET(_372845237[[#This Row],[instance]],-1,0), OFFSET(_372845237[[#This Row],[model]],-1,0)+1, OFFSET(_372845237[[#This Row],[model]],-1,0))</f>
        <v>4</v>
      </c>
      <c r="B264">
        <v>10</v>
      </c>
      <c r="C264" s="5">
        <v>8.9120370370370373E-6</v>
      </c>
      <c r="D264">
        <v>6.75</v>
      </c>
      <c r="E264">
        <v>7</v>
      </c>
      <c r="F264">
        <v>1</v>
      </c>
      <c r="G264" s="5">
        <v>3.2407407407407406E-6</v>
      </c>
      <c r="H264" s="5">
        <v>6.944791666666666E-3</v>
      </c>
      <c r="I264" s="5">
        <v>5.5564814814814808E-3</v>
      </c>
      <c r="J264" s="5">
        <v>3.2407407407407406E-6</v>
      </c>
      <c r="P264" s="1"/>
    </row>
    <row r="265" spans="1:16" x14ac:dyDescent="0.25">
      <c r="A265">
        <f ca="1">IF(_372845237[[#This Row],[instance]]&lt;OFFSET(_372845237[[#This Row],[instance]],-1,0), OFFSET(_372845237[[#This Row],[model]],-1,0)+1, OFFSET(_372845237[[#This Row],[model]],-1,0))</f>
        <v>4</v>
      </c>
      <c r="B265">
        <v>10</v>
      </c>
      <c r="C265" s="5">
        <v>8.9120370370370373E-6</v>
      </c>
      <c r="D265">
        <v>7.125</v>
      </c>
      <c r="E265">
        <v>8</v>
      </c>
      <c r="F265">
        <v>1</v>
      </c>
      <c r="G265" s="5">
        <v>3.2407407407407406E-6</v>
      </c>
      <c r="H265" s="5">
        <v>6.944791666666666E-3</v>
      </c>
      <c r="I265" s="5">
        <v>5.5564814814814808E-3</v>
      </c>
      <c r="J265" s="5">
        <v>3.2407407407407406E-6</v>
      </c>
      <c r="P265" s="1"/>
    </row>
    <row r="266" spans="1:16" x14ac:dyDescent="0.25">
      <c r="A266">
        <f ca="1">IF(_372845237[[#This Row],[instance]]&lt;OFFSET(_372845237[[#This Row],[instance]],-1,0), OFFSET(_372845237[[#This Row],[model]],-1,0)+1, OFFSET(_372845237[[#This Row],[model]],-1,0))</f>
        <v>4</v>
      </c>
      <c r="B266">
        <v>10</v>
      </c>
      <c r="C266" s="5">
        <v>9.0277777777777774E-6</v>
      </c>
      <c r="D266">
        <v>7.375</v>
      </c>
      <c r="E266">
        <v>8</v>
      </c>
      <c r="F266">
        <v>1</v>
      </c>
      <c r="G266" s="5">
        <v>3.2407407407407406E-6</v>
      </c>
      <c r="H266" s="5">
        <v>6.944791666666666E-3</v>
      </c>
      <c r="I266" s="5">
        <v>5.5564814814814808E-3</v>
      </c>
      <c r="J266" s="5">
        <v>3.2407407407407406E-6</v>
      </c>
      <c r="P266" s="1"/>
    </row>
    <row r="267" spans="1:16" x14ac:dyDescent="0.25">
      <c r="A267">
        <f ca="1">IF(_372845237[[#This Row],[instance]]&lt;OFFSET(_372845237[[#This Row],[instance]],-1,0), OFFSET(_372845237[[#This Row],[model]],-1,0)+1, OFFSET(_372845237[[#This Row],[model]],-1,0))</f>
        <v>4</v>
      </c>
      <c r="B267">
        <v>10</v>
      </c>
      <c r="C267" s="5">
        <v>9.0277777777777774E-6</v>
      </c>
      <c r="D267">
        <v>7.75</v>
      </c>
      <c r="E267">
        <v>8</v>
      </c>
      <c r="F267">
        <v>1</v>
      </c>
      <c r="G267" s="5">
        <v>3.2407407407407406E-6</v>
      </c>
      <c r="H267" s="5">
        <v>6.944791666666666E-3</v>
      </c>
      <c r="I267" s="5">
        <v>5.5564814814814808E-3</v>
      </c>
      <c r="J267" s="5">
        <v>3.2407407407407406E-6</v>
      </c>
      <c r="P267" s="1"/>
    </row>
    <row r="268" spans="1:16" x14ac:dyDescent="0.25">
      <c r="A268">
        <f ca="1">IF(_372845237[[#This Row],[instance]]&lt;OFFSET(_372845237[[#This Row],[instance]],-1,0), OFFSET(_372845237[[#This Row],[model]],-1,0)+1, OFFSET(_372845237[[#This Row],[model]],-1,0))</f>
        <v>4</v>
      </c>
      <c r="B268">
        <v>10</v>
      </c>
      <c r="C268" s="5">
        <v>9.0277777777777774E-6</v>
      </c>
      <c r="D268">
        <v>8.125</v>
      </c>
      <c r="E268">
        <v>9</v>
      </c>
      <c r="F268">
        <v>2</v>
      </c>
      <c r="G268" s="5">
        <v>3.2407407407407406E-6</v>
      </c>
      <c r="H268" s="5">
        <v>6.944791666666666E-3</v>
      </c>
      <c r="I268" s="5">
        <v>5.5564814814814808E-3</v>
      </c>
      <c r="J268" s="5">
        <v>3.2407407407407406E-6</v>
      </c>
      <c r="P268" s="1"/>
    </row>
    <row r="269" spans="1:16" x14ac:dyDescent="0.25">
      <c r="A269">
        <f ca="1">IF(_372845237[[#This Row],[instance]]&lt;OFFSET(_372845237[[#This Row],[instance]],-1,0), OFFSET(_372845237[[#This Row],[model]],-1,0)+1, OFFSET(_372845237[[#This Row],[model]],-1,0))</f>
        <v>4</v>
      </c>
      <c r="B269">
        <v>10</v>
      </c>
      <c r="C269" s="5">
        <v>2.2453703703703703E-5</v>
      </c>
      <c r="D269">
        <v>8.125</v>
      </c>
      <c r="E269">
        <v>9</v>
      </c>
      <c r="F269">
        <v>1</v>
      </c>
      <c r="G269" s="5">
        <v>3.2407407407407406E-6</v>
      </c>
      <c r="H269" s="5">
        <v>6.944791666666666E-3</v>
      </c>
      <c r="I269" s="5">
        <v>5.5564814814814808E-3</v>
      </c>
      <c r="J269" s="5">
        <v>3.2407407407407406E-6</v>
      </c>
      <c r="P269" s="1"/>
    </row>
    <row r="270" spans="1:16" x14ac:dyDescent="0.25">
      <c r="A270">
        <f ca="1">IF(_372845237[[#This Row],[instance]]&lt;OFFSET(_372845237[[#This Row],[instance]],-1,0), OFFSET(_372845237[[#This Row],[model]],-1,0)+1, OFFSET(_372845237[[#This Row],[model]],-1,0))</f>
        <v>4</v>
      </c>
      <c r="B270">
        <v>11</v>
      </c>
      <c r="C270" s="5">
        <v>7.1759259259259257E-6</v>
      </c>
      <c r="D270">
        <v>0</v>
      </c>
      <c r="E270">
        <v>0</v>
      </c>
      <c r="F270">
        <v>0</v>
      </c>
      <c r="G270" s="5">
        <v>3.2407407407407406E-6</v>
      </c>
      <c r="H270" s="5">
        <v>6.944791666666666E-3</v>
      </c>
      <c r="I270" s="5">
        <v>5.5564814814814808E-3</v>
      </c>
      <c r="J270" s="5">
        <v>3.2407407407407406E-6</v>
      </c>
      <c r="P270" s="1"/>
    </row>
    <row r="271" spans="1:16" x14ac:dyDescent="0.25">
      <c r="A271">
        <f ca="1">IF(_372845237[[#This Row],[instance]]&lt;OFFSET(_372845237[[#This Row],[instance]],-1,0), OFFSET(_372845237[[#This Row],[model]],-1,0)+1, OFFSET(_372845237[[#This Row],[model]],-1,0))</f>
        <v>4</v>
      </c>
      <c r="B271">
        <v>11</v>
      </c>
      <c r="C271" s="5">
        <v>1.0532407407407406E-5</v>
      </c>
      <c r="D271">
        <v>2.625</v>
      </c>
      <c r="E271">
        <v>4</v>
      </c>
      <c r="F271">
        <v>1</v>
      </c>
      <c r="G271" s="5">
        <v>3.2407407407407406E-6</v>
      </c>
      <c r="H271" s="5">
        <v>6.944791666666666E-3</v>
      </c>
      <c r="I271" s="5">
        <v>5.5564814814814808E-3</v>
      </c>
      <c r="J271" s="5">
        <v>3.2407407407407406E-6</v>
      </c>
      <c r="P271" s="1"/>
    </row>
    <row r="272" spans="1:16" x14ac:dyDescent="0.25">
      <c r="A272">
        <f ca="1">IF(_372845237[[#This Row],[instance]]&lt;OFFSET(_372845237[[#This Row],[instance]],-1,0), OFFSET(_372845237[[#This Row],[model]],-1,0)+1, OFFSET(_372845237[[#This Row],[model]],-1,0))</f>
        <v>4</v>
      </c>
      <c r="B272">
        <v>11</v>
      </c>
      <c r="C272" s="5">
        <v>1.0532407407407406E-5</v>
      </c>
      <c r="D272">
        <v>3</v>
      </c>
      <c r="E272">
        <v>5</v>
      </c>
      <c r="F272">
        <v>1</v>
      </c>
      <c r="G272" s="5">
        <v>3.2407407407407406E-6</v>
      </c>
      <c r="H272" s="5">
        <v>6.944791666666666E-3</v>
      </c>
      <c r="I272" s="5">
        <v>5.5564814814814808E-3</v>
      </c>
      <c r="J272" s="5">
        <v>3.2407407407407406E-6</v>
      </c>
      <c r="P272" s="1"/>
    </row>
    <row r="273" spans="1:16" x14ac:dyDescent="0.25">
      <c r="A273">
        <f ca="1">IF(_372845237[[#This Row],[instance]]&lt;OFFSET(_372845237[[#This Row],[instance]],-1,0), OFFSET(_372845237[[#This Row],[model]],-1,0)+1, OFFSET(_372845237[[#This Row],[model]],-1,0))</f>
        <v>4</v>
      </c>
      <c r="B273">
        <v>11</v>
      </c>
      <c r="C273" s="5">
        <v>1.0532407407407406E-5</v>
      </c>
      <c r="D273">
        <v>3.375</v>
      </c>
      <c r="E273">
        <v>5</v>
      </c>
      <c r="F273">
        <v>1</v>
      </c>
      <c r="G273" s="5">
        <v>3.2407407407407406E-6</v>
      </c>
      <c r="H273" s="5">
        <v>6.944791666666666E-3</v>
      </c>
      <c r="I273" s="5">
        <v>5.5564814814814808E-3</v>
      </c>
      <c r="J273" s="5">
        <v>3.2407407407407406E-6</v>
      </c>
      <c r="P273" s="1"/>
    </row>
    <row r="274" spans="1:16" x14ac:dyDescent="0.25">
      <c r="A274">
        <f ca="1">IF(_372845237[[#This Row],[instance]]&lt;OFFSET(_372845237[[#This Row],[instance]],-1,0), OFFSET(_372845237[[#This Row],[model]],-1,0)+1, OFFSET(_372845237[[#This Row],[model]],-1,0))</f>
        <v>4</v>
      </c>
      <c r="B274">
        <v>11</v>
      </c>
      <c r="C274" s="5">
        <v>1.0763888888888888E-5</v>
      </c>
      <c r="D274">
        <v>3.75</v>
      </c>
      <c r="E274">
        <v>6</v>
      </c>
      <c r="F274">
        <v>1</v>
      </c>
      <c r="G274" s="5">
        <v>3.2407407407407406E-6</v>
      </c>
      <c r="H274" s="5">
        <v>6.944791666666666E-3</v>
      </c>
      <c r="I274" s="5">
        <v>5.5564814814814808E-3</v>
      </c>
      <c r="J274" s="5">
        <v>3.2407407407407406E-6</v>
      </c>
      <c r="P274" s="1"/>
    </row>
    <row r="275" spans="1:16" x14ac:dyDescent="0.25">
      <c r="A275">
        <f ca="1">IF(_372845237[[#This Row],[instance]]&lt;OFFSET(_372845237[[#This Row],[instance]],-1,0), OFFSET(_372845237[[#This Row],[model]],-1,0)+1, OFFSET(_372845237[[#This Row],[model]],-1,0))</f>
        <v>4</v>
      </c>
      <c r="B275">
        <v>12</v>
      </c>
      <c r="C275" s="5">
        <v>2.2569444444444443E-5</v>
      </c>
      <c r="D275">
        <v>0</v>
      </c>
      <c r="E275">
        <v>0</v>
      </c>
      <c r="F275">
        <v>0</v>
      </c>
      <c r="G275" s="5">
        <v>3.1249999999999997E-6</v>
      </c>
      <c r="H275" s="5">
        <v>6.9445601851851847E-3</v>
      </c>
      <c r="I275" s="5">
        <v>5.5564814814814808E-3</v>
      </c>
      <c r="J275" s="5">
        <v>3.2407407407407406E-6</v>
      </c>
      <c r="P275" s="1"/>
    </row>
    <row r="276" spans="1:16" x14ac:dyDescent="0.25">
      <c r="A276">
        <f ca="1">IF(_372845237[[#This Row],[instance]]&lt;OFFSET(_372845237[[#This Row],[instance]],-1,0), OFFSET(_372845237[[#This Row],[model]],-1,0)+1, OFFSET(_372845237[[#This Row],[model]],-1,0))</f>
        <v>4</v>
      </c>
      <c r="B276">
        <v>13</v>
      </c>
      <c r="C276" s="5">
        <v>6.828703703703703E-6</v>
      </c>
      <c r="D276">
        <v>0</v>
      </c>
      <c r="E276">
        <v>0</v>
      </c>
      <c r="F276">
        <v>0</v>
      </c>
      <c r="G276" s="5">
        <v>3.2407407407407406E-6</v>
      </c>
      <c r="H276" s="5">
        <v>3.7037037037037037E-6</v>
      </c>
      <c r="I276" s="5">
        <v>5.5564814814814808E-3</v>
      </c>
      <c r="J276" s="5">
        <v>3.2407407407407406E-6</v>
      </c>
      <c r="P276" s="1"/>
    </row>
    <row r="277" spans="1:16" x14ac:dyDescent="0.25">
      <c r="A277">
        <f ca="1">IF(_372845237[[#This Row],[instance]]&lt;OFFSET(_372845237[[#This Row],[instance]],-1,0), OFFSET(_372845237[[#This Row],[model]],-1,0)+1, OFFSET(_372845237[[#This Row],[model]],-1,0))</f>
        <v>4</v>
      </c>
      <c r="B277">
        <v>14</v>
      </c>
      <c r="C277" s="5">
        <v>6.712962962962963E-6</v>
      </c>
      <c r="D277">
        <v>0</v>
      </c>
      <c r="E277">
        <v>0</v>
      </c>
      <c r="F277">
        <v>0</v>
      </c>
      <c r="G277" s="5">
        <v>3.1249999999999997E-6</v>
      </c>
      <c r="H277" s="5">
        <v>3.5879629629629629E-6</v>
      </c>
      <c r="I277" s="5">
        <v>5.5564814814814808E-3</v>
      </c>
      <c r="J277" s="5">
        <v>3.2407407407407406E-6</v>
      </c>
      <c r="P277" s="1"/>
    </row>
    <row r="278" spans="1:16" x14ac:dyDescent="0.25">
      <c r="A278">
        <f ca="1">IF(_372845237[[#This Row],[instance]]&lt;OFFSET(_372845237[[#This Row],[instance]],-1,0), OFFSET(_372845237[[#This Row],[model]],-1,0)+1, OFFSET(_372845237[[#This Row],[model]],-1,0))</f>
        <v>4</v>
      </c>
      <c r="B278">
        <v>15</v>
      </c>
      <c r="C278" s="5">
        <v>7.1759259259259257E-6</v>
      </c>
      <c r="D278">
        <v>0</v>
      </c>
      <c r="E278">
        <v>0</v>
      </c>
      <c r="F278">
        <v>0</v>
      </c>
      <c r="G278" s="5">
        <v>3.2407407407407406E-6</v>
      </c>
      <c r="H278" s="5">
        <v>6.944791666666666E-3</v>
      </c>
      <c r="I278" s="5">
        <v>5.5564814814814808E-3</v>
      </c>
      <c r="J278" s="5">
        <v>3.2407407407407406E-6</v>
      </c>
      <c r="P278" s="1"/>
    </row>
    <row r="279" spans="1:16" x14ac:dyDescent="0.25">
      <c r="A279">
        <f ca="1">IF(_372845237[[#This Row],[instance]]&lt;OFFSET(_372845237[[#This Row],[instance]],-1,0), OFFSET(_372845237[[#This Row],[model]],-1,0)+1, OFFSET(_372845237[[#This Row],[model]],-1,0))</f>
        <v>4</v>
      </c>
      <c r="B279">
        <v>15</v>
      </c>
      <c r="C279" s="5">
        <v>3.1365740740740741E-5</v>
      </c>
      <c r="D279">
        <v>4.75</v>
      </c>
      <c r="E279">
        <v>5</v>
      </c>
      <c r="F279">
        <v>1</v>
      </c>
      <c r="G279" s="5">
        <v>3.2407407407407406E-6</v>
      </c>
      <c r="H279" s="5">
        <v>6.944791666666666E-3</v>
      </c>
      <c r="I279" s="5">
        <v>5.5564814814814808E-3</v>
      </c>
      <c r="J279" s="5">
        <v>3.2407407407407406E-6</v>
      </c>
      <c r="P279" s="1"/>
    </row>
    <row r="280" spans="1:16" x14ac:dyDescent="0.25">
      <c r="A280">
        <f ca="1">IF(_372845237[[#This Row],[instance]]&lt;OFFSET(_372845237[[#This Row],[instance]],-1,0), OFFSET(_372845237[[#This Row],[model]],-1,0)+1, OFFSET(_372845237[[#This Row],[model]],-1,0))</f>
        <v>4</v>
      </c>
      <c r="B280">
        <v>15</v>
      </c>
      <c r="C280" s="5">
        <v>4.001157407407407E-4</v>
      </c>
      <c r="D280">
        <v>5.125</v>
      </c>
      <c r="E280">
        <v>6</v>
      </c>
      <c r="F280">
        <v>1</v>
      </c>
      <c r="G280" s="5">
        <v>3.2407407407407406E-6</v>
      </c>
      <c r="H280" s="5">
        <v>6.944791666666666E-3</v>
      </c>
      <c r="I280" s="5">
        <v>5.5564814814814808E-3</v>
      </c>
      <c r="J280" s="5">
        <v>3.2407407407407406E-6</v>
      </c>
      <c r="P280" s="1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47E9-82B8-4AFD-8ED7-22A44ED6BB9D}">
  <dimension ref="A1:AC485"/>
  <sheetViews>
    <sheetView topLeftCell="D1" zoomScale="60" zoomScaleNormal="60" workbookViewId="0">
      <selection activeCell="M35" sqref="M35"/>
    </sheetView>
  </sheetViews>
  <sheetFormatPr defaultRowHeight="15" x14ac:dyDescent="0.25"/>
  <cols>
    <col min="1" max="1" width="13.28515625" bestFit="1" customWidth="1"/>
    <col min="2" max="2" width="16.140625" bestFit="1" customWidth="1"/>
    <col min="3" max="3" width="11.140625" style="5" bestFit="1" customWidth="1"/>
    <col min="4" max="4" width="11.140625" bestFit="1" customWidth="1"/>
    <col min="5" max="5" width="14.42578125" bestFit="1" customWidth="1"/>
    <col min="6" max="6" width="13" bestFit="1" customWidth="1"/>
    <col min="7" max="7" width="24" style="5" bestFit="1" customWidth="1"/>
    <col min="8" max="8" width="17.5703125" style="5" bestFit="1" customWidth="1"/>
    <col min="9" max="9" width="21.5703125" style="5" bestFit="1" customWidth="1"/>
    <col min="10" max="10" width="28" style="5" bestFit="1" customWidth="1"/>
    <col min="11" max="11" width="9.7109375" style="5" customWidth="1"/>
    <col min="12" max="12" width="13.28515625" style="5" bestFit="1" customWidth="1"/>
    <col min="13" max="13" width="16.140625" style="5" bestFit="1" customWidth="1"/>
    <col min="14" max="14" width="17" style="5" bestFit="1" customWidth="1"/>
    <col min="15" max="15" width="11.140625" style="5" bestFit="1" customWidth="1"/>
    <col min="16" max="16" width="10.28515625" customWidth="1"/>
    <col min="17" max="17" width="9.85546875" bestFit="1" customWidth="1"/>
    <col min="18" max="18" width="7.7109375" style="2" bestFit="1" customWidth="1"/>
    <col min="19" max="19" width="6.28515625" bestFit="1" customWidth="1"/>
    <col min="20" max="20" width="6.85546875" bestFit="1" customWidth="1"/>
    <col min="21" max="21" width="6.28515625" bestFit="1" customWidth="1"/>
    <col min="22" max="22" width="6.85546875" bestFit="1" customWidth="1"/>
    <col min="23" max="23" width="6.28515625" bestFit="1" customWidth="1"/>
    <col min="24" max="24" width="8.7109375" bestFit="1" customWidth="1"/>
  </cols>
  <sheetData>
    <row r="1" spans="1:24" x14ac:dyDescent="0.25">
      <c r="A1" s="5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L1" s="7" t="s">
        <v>9</v>
      </c>
      <c r="M1" s="7" t="s">
        <v>0</v>
      </c>
      <c r="N1" s="7" t="s">
        <v>10</v>
      </c>
      <c r="O1" s="7" t="s">
        <v>11</v>
      </c>
      <c r="Q1" t="s">
        <v>0</v>
      </c>
      <c r="R1" s="2" t="s">
        <v>9</v>
      </c>
      <c r="S1" s="3">
        <f>TIME(0,0,10)</f>
        <v>1.1574074074074075E-4</v>
      </c>
      <c r="T1" s="3">
        <f>TIME(0,0,30)</f>
        <v>3.4722222222222224E-4</v>
      </c>
      <c r="U1" s="3">
        <f>TIME(0,1,0)</f>
        <v>6.9444444444444447E-4</v>
      </c>
      <c r="V1" s="3">
        <f>TIME(0,5,0)</f>
        <v>3.472222222222222E-3</v>
      </c>
      <c r="W1" s="3">
        <f>TIME(0,10,0)</f>
        <v>6.9444444444444441E-3</v>
      </c>
      <c r="X1" s="8" t="s">
        <v>11</v>
      </c>
    </row>
    <row r="2" spans="1:24" x14ac:dyDescent="0.25">
      <c r="A2">
        <v>1</v>
      </c>
      <c r="B2">
        <v>1</v>
      </c>
      <c r="C2" s="5">
        <v>6.0185185185185185E-6</v>
      </c>
      <c r="D2">
        <v>0</v>
      </c>
      <c r="E2">
        <v>0</v>
      </c>
      <c r="F2">
        <v>0</v>
      </c>
      <c r="G2" s="5">
        <v>2.4305555555555552E-6</v>
      </c>
      <c r="H2" s="5">
        <v>3.6921296296296297E-5</v>
      </c>
      <c r="I2" s="5">
        <v>4.6686342592592587E-3</v>
      </c>
      <c r="J2" s="5">
        <v>2.3148148148148148E-6</v>
      </c>
      <c r="L2" s="6">
        <v>1</v>
      </c>
      <c r="M2" s="6">
        <v>1</v>
      </c>
      <c r="N2">
        <v>6</v>
      </c>
      <c r="O2" s="6" t="b">
        <v>1</v>
      </c>
      <c r="P2" s="1"/>
      <c r="Q2">
        <v>1</v>
      </c>
    </row>
    <row r="3" spans="1:24" x14ac:dyDescent="0.25">
      <c r="A3">
        <f ca="1">IF(_34445073613[[#This Row],[instance]]&lt;OFFSET(_34445073613[[#This Row],[instance]],-1,0), OFFSET(_34445073613[[#This Row],[model]],-1,0)+1, OFFSET(_34445073613[[#This Row],[model]],-1,0))</f>
        <v>1</v>
      </c>
      <c r="B3">
        <v>1</v>
      </c>
      <c r="C3" s="5">
        <v>6.0185185185185185E-6</v>
      </c>
      <c r="D3">
        <v>3</v>
      </c>
      <c r="E3">
        <v>1</v>
      </c>
      <c r="F3">
        <v>1</v>
      </c>
      <c r="G3" s="5">
        <v>2.4305555555555552E-6</v>
      </c>
      <c r="H3" s="5">
        <v>3.6921296296296297E-5</v>
      </c>
      <c r="I3" s="5">
        <v>4.6686342592592587E-3</v>
      </c>
      <c r="J3" s="5">
        <v>2.3148148148148148E-6</v>
      </c>
      <c r="L3" s="6">
        <v>1</v>
      </c>
      <c r="M3" s="6">
        <v>5</v>
      </c>
      <c r="N3">
        <v>7.75</v>
      </c>
      <c r="O3" s="6" t="b">
        <v>1</v>
      </c>
      <c r="P3" s="1"/>
      <c r="R3" s="2">
        <v>1</v>
      </c>
      <c r="S3" cm="1">
        <f t="array" aca="1" ref="S3" ca="1">_xlfn.MAXIFS(COL(bench,"wine"), COL(bench,"model"), $R3, COL(bench,"instance"), INDEX($Q:$Q, ROW()-$R3), COL(bench,"time"),"&lt;="&amp;S$1)</f>
        <v>6</v>
      </c>
      <c r="T3" cm="1">
        <f t="array" aca="1" ref="T3" ca="1">_xlfn.MAXIFS(COL(bench,"wine"), COL(bench,"model"), $R3, COL(bench,"instance"), INDEX($Q:$Q, ROW()-$R3), COL(bench,"time"),"&lt;="&amp;T$1)-SUM($S3:S3)</f>
        <v>0</v>
      </c>
      <c r="U3" cm="1">
        <f t="array" aca="1" ref="U3" ca="1">_xlfn.MAXIFS(COL(bench,"wine"), COL(bench,"model"), $R3, COL(bench,"instance"), INDEX($Q:$Q, ROW()-$R3), COL(bench,"time"),"&lt;="&amp;U$1)-SUM($S3:T3)</f>
        <v>0</v>
      </c>
      <c r="V3" cm="1">
        <f t="array" aca="1" ref="V3" ca="1">_xlfn.MAXIFS(COL(bench,"wine"), COL(bench,"model"), $R3, COL(bench,"instance"), INDEX($Q:$Q, ROW()-$R3), COL(bench,"time"),"&lt;="&amp;V$1)-SUM($S3:U3)</f>
        <v>0</v>
      </c>
      <c r="W3" cm="1">
        <f t="array" aca="1" ref="W3" ca="1">_xlfn.MAXIFS(COL(bench,"wine"), COL(bench,"model"), $R3, COL(bench,"instance"), INDEX($Q:$Q, ROW()-$R3), COL(bench,"time"),"&lt;="&amp;W$1)-SUM($S3:V3)</f>
        <v>0</v>
      </c>
      <c r="X3" cm="1">
        <f t="array" ref="X3" xml:space="preserve"> _xlfn.LET(
  _xlpm.idx, _xlfn.XMATCH(1,
      (COL(summary,"model")=$R3)*(COL(summary,"instance")=INDEX($Q:$Q, ROW()-$R3))),
  IFERROR(INDEX(COL(summary,"objective"), _xlpm.idx), #N/A)
)</f>
        <v>6</v>
      </c>
    </row>
    <row r="4" spans="1:24" x14ac:dyDescent="0.25">
      <c r="A4">
        <f ca="1">IF(_34445073613[[#This Row],[instance]]&lt;OFFSET(_34445073613[[#This Row],[instance]],-1,0), OFFSET(_34445073613[[#This Row],[model]],-1,0)+1, OFFSET(_34445073613[[#This Row],[model]],-1,0))</f>
        <v>1</v>
      </c>
      <c r="B4">
        <v>1</v>
      </c>
      <c r="C4" s="5">
        <v>6.0185185185185185E-6</v>
      </c>
      <c r="D4">
        <v>6</v>
      </c>
      <c r="E4">
        <v>2</v>
      </c>
      <c r="F4">
        <v>2</v>
      </c>
      <c r="G4" s="5">
        <v>2.4305555555555552E-6</v>
      </c>
      <c r="H4" s="5">
        <v>3.6921296296296297E-5</v>
      </c>
      <c r="I4" s="5">
        <v>4.6686342592592587E-3</v>
      </c>
      <c r="J4" s="5">
        <v>2.3148148148148148E-6</v>
      </c>
      <c r="L4" s="6">
        <v>1</v>
      </c>
      <c r="M4" s="6">
        <v>9</v>
      </c>
      <c r="N4">
        <v>0</v>
      </c>
      <c r="O4" s="6" t="b">
        <v>1</v>
      </c>
      <c r="P4" s="1"/>
      <c r="R4" s="2">
        <v>2</v>
      </c>
      <c r="S4" cm="1">
        <f t="array" aca="1" ref="S4" ca="1">_xlfn.MAXIFS(COL(bench,"wine"), COL(bench,"model"), $R4, COL(bench,"instance"), INDEX($Q:$Q, ROW()-$R4), COL(bench,"time"),"&lt;="&amp;S$1)</f>
        <v>6</v>
      </c>
      <c r="T4" cm="1">
        <f t="array" aca="1" ref="T4" ca="1">_xlfn.MAXIFS(COL(bench,"wine"), COL(bench,"model"), $R4, COL(bench,"instance"), INDEX($Q:$Q, ROW()-$R4), COL(bench,"time"),"&lt;="&amp;T$1)-SUM($S4:S4)</f>
        <v>0</v>
      </c>
      <c r="U4" cm="1">
        <f t="array" aca="1" ref="U4" ca="1">_xlfn.MAXIFS(COL(bench,"wine"), COL(bench,"model"), $R4, COL(bench,"instance"), INDEX($Q:$Q, ROW()-$R4), COL(bench,"time"),"&lt;="&amp;U$1)-SUM($S4:T4)</f>
        <v>0</v>
      </c>
      <c r="V4" cm="1">
        <f t="array" aca="1" ref="V4" ca="1">_xlfn.MAXIFS(COL(bench,"wine"), COL(bench,"model"), $R4, COL(bench,"instance"), INDEX($Q:$Q, ROW()-$R4), COL(bench,"time"),"&lt;="&amp;V$1)-SUM($S4:U4)</f>
        <v>0</v>
      </c>
      <c r="W4" cm="1">
        <f t="array" aca="1" ref="W4" ca="1">_xlfn.MAXIFS(COL(bench,"wine"), COL(bench,"model"), $R4, COL(bench,"instance"), INDEX($Q:$Q, ROW()-$R4), COL(bench,"time"),"&lt;="&amp;W$1)-SUM($S4:V4)</f>
        <v>0</v>
      </c>
      <c r="X4" t="e" cm="1">
        <f t="array" ref="X4" xml:space="preserve"> _xlfn.LET(
  _xlpm.idx, _xlfn.XMATCH(1,
      (COL(summary,"model")=$R4)*(COL(summary,"instance")=INDEX($Q:$Q, ROW()-$R4))),
  IFERROR(INDEX(COL(summary,"objective"), _xlpm.idx), #N/A)
)</f>
        <v>#N/A</v>
      </c>
    </row>
    <row r="5" spans="1:24" x14ac:dyDescent="0.25">
      <c r="A5">
        <f ca="1">IF(_34445073613[[#This Row],[instance]]&lt;OFFSET(_34445073613[[#This Row],[instance]],-1,0), OFFSET(_34445073613[[#This Row],[model]],-1,0)+1, OFFSET(_34445073613[[#This Row],[model]],-1,0))</f>
        <v>1</v>
      </c>
      <c r="B5">
        <v>2</v>
      </c>
      <c r="C5" s="5">
        <v>5.9027777777777776E-6</v>
      </c>
      <c r="D5">
        <v>0</v>
      </c>
      <c r="E5">
        <v>0</v>
      </c>
      <c r="F5">
        <v>0</v>
      </c>
      <c r="G5" s="5">
        <v>2.3148148148148148E-6</v>
      </c>
      <c r="H5" s="5">
        <v>6.9446759259259253E-3</v>
      </c>
      <c r="I5" s="5">
        <v>4.6686342592592587E-3</v>
      </c>
      <c r="J5" s="5">
        <v>2.3148148148148148E-6</v>
      </c>
      <c r="L5" s="6">
        <v>1</v>
      </c>
      <c r="M5" s="6">
        <v>10</v>
      </c>
      <c r="N5">
        <v>5</v>
      </c>
      <c r="O5" s="6" t="b">
        <v>1</v>
      </c>
      <c r="P5" s="1"/>
      <c r="R5" s="2">
        <v>3</v>
      </c>
      <c r="S5" cm="1">
        <f t="array" aca="1" ref="S5" ca="1">_xlfn.MAXIFS(COL(bench,"wine"), COL(bench,"model"), $R5, COL(bench,"instance"), INDEX($Q:$Q, ROW()-$R5), COL(bench,"time"),"&lt;="&amp;S$1)</f>
        <v>6</v>
      </c>
      <c r="T5" cm="1">
        <f t="array" aca="1" ref="T5" ca="1">_xlfn.MAXIFS(COL(bench,"wine"), COL(bench,"model"), $R5, COL(bench,"instance"), INDEX($Q:$Q, ROW()-$R5), COL(bench,"time"),"&lt;="&amp;T$1)-SUM($S5:S5)</f>
        <v>0</v>
      </c>
      <c r="U5" cm="1">
        <f t="array" aca="1" ref="U5" ca="1">_xlfn.MAXIFS(COL(bench,"wine"), COL(bench,"model"), $R5, COL(bench,"instance"), INDEX($Q:$Q, ROW()-$R5), COL(bench,"time"),"&lt;="&amp;U$1)-SUM($S5:T5)</f>
        <v>0</v>
      </c>
      <c r="V5" cm="1">
        <f t="array" aca="1" ref="V5" ca="1">_xlfn.MAXIFS(COL(bench,"wine"), COL(bench,"model"), $R5, COL(bench,"instance"), INDEX($Q:$Q, ROW()-$R5), COL(bench,"time"),"&lt;="&amp;V$1)-SUM($S5:U5)</f>
        <v>0</v>
      </c>
      <c r="W5" cm="1">
        <f t="array" aca="1" ref="W5" ca="1">_xlfn.MAXIFS(COL(bench,"wine"), COL(bench,"model"), $R5, COL(bench,"instance"), INDEX($Q:$Q, ROW()-$R5), COL(bench,"time"),"&lt;="&amp;W$1)-SUM($S5:V5)</f>
        <v>0</v>
      </c>
      <c r="X5" t="e" cm="1">
        <f t="array" ref="X5" xml:space="preserve"> _xlfn.LET(
  _xlpm.idx, _xlfn.XMATCH(1,
      (COL(summary,"model")=$R5)*(COL(summary,"instance")=INDEX($Q:$Q, ROW()-$R5))),
  IFERROR(INDEX(COL(summary,"objective"), _xlpm.idx), #N/A)
)</f>
        <v>#N/A</v>
      </c>
    </row>
    <row r="6" spans="1:24" x14ac:dyDescent="0.25">
      <c r="A6">
        <f ca="1">IF(_34445073613[[#This Row],[instance]]&lt;OFFSET(_34445073613[[#This Row],[instance]],-1,0), OFFSET(_34445073613[[#This Row],[model]],-1,0)+1, OFFSET(_34445073613[[#This Row],[model]],-1,0))</f>
        <v>1</v>
      </c>
      <c r="B6">
        <v>2</v>
      </c>
      <c r="C6" s="5">
        <v>5.9027777777777776E-6</v>
      </c>
      <c r="D6">
        <v>9</v>
      </c>
      <c r="E6">
        <v>3</v>
      </c>
      <c r="F6">
        <v>1</v>
      </c>
      <c r="G6" s="5">
        <v>2.3148148148148148E-6</v>
      </c>
      <c r="H6" s="5">
        <v>6.9446759259259253E-3</v>
      </c>
      <c r="I6" s="5">
        <v>4.6686342592592587E-3</v>
      </c>
      <c r="J6" s="5">
        <v>2.3148148148148148E-6</v>
      </c>
      <c r="L6" s="6">
        <v>1</v>
      </c>
      <c r="M6" s="6">
        <v>11</v>
      </c>
      <c r="N6">
        <v>17.625</v>
      </c>
      <c r="O6" s="6" t="b">
        <v>1</v>
      </c>
      <c r="P6" s="1"/>
      <c r="R6" s="2">
        <v>4</v>
      </c>
      <c r="S6" cm="1">
        <f t="array" aca="1" ref="S6" ca="1">_xlfn.MAXIFS(COL(bench,"wine"), COL(bench,"model"), $R6, COL(bench,"instance"), INDEX($Q:$Q, ROW()-$R6), COL(bench,"time"),"&lt;="&amp;S$1)</f>
        <v>0</v>
      </c>
      <c r="T6" cm="1">
        <f t="array" aca="1" ref="T6" ca="1">_xlfn.MAXIFS(COL(bench,"wine"), COL(bench,"model"), $R6, COL(bench,"instance"), INDEX($Q:$Q, ROW()-$R6), COL(bench,"time"),"&lt;="&amp;T$1)-SUM($S6:S6)</f>
        <v>0</v>
      </c>
      <c r="U6" cm="1">
        <f t="array" aca="1" ref="U6" ca="1">_xlfn.MAXIFS(COL(bench,"wine"), COL(bench,"model"), $R6, COL(bench,"instance"), INDEX($Q:$Q, ROW()-$R6), COL(bench,"time"),"&lt;="&amp;U$1)-SUM($S6:T6)</f>
        <v>0</v>
      </c>
      <c r="V6" cm="1">
        <f t="array" aca="1" ref="V6" ca="1">_xlfn.MAXIFS(COL(bench,"wine"), COL(bench,"model"), $R6, COL(bench,"instance"), INDEX($Q:$Q, ROW()-$R6), COL(bench,"time"),"&lt;="&amp;V$1)-SUM($S6:U6)</f>
        <v>0</v>
      </c>
      <c r="W6" cm="1">
        <f t="array" aca="1" ref="W6" ca="1">_xlfn.MAXIFS(COL(bench,"wine"), COL(bench,"model"), $R6, COL(bench,"instance"), INDEX($Q:$Q, ROW()-$R6), COL(bench,"time"),"&lt;="&amp;W$1)-SUM($S6:V6)</f>
        <v>0</v>
      </c>
      <c r="X6" t="e" cm="1">
        <f t="array" ref="X6" xml:space="preserve"> _xlfn.LET(
  _xlpm.idx, _xlfn.XMATCH(1,
      (COL(summary,"model")=$R6)*(COL(summary,"instance")=INDEX($Q:$Q, ROW()-$R6))),
  IFERROR(INDEX(COL(summary,"objective"), _xlpm.idx), #N/A)
)</f>
        <v>#N/A</v>
      </c>
    </row>
    <row r="7" spans="1:24" x14ac:dyDescent="0.25">
      <c r="A7">
        <f ca="1">IF(_34445073613[[#This Row],[instance]]&lt;OFFSET(_34445073613[[#This Row],[instance]],-1,0), OFFSET(_34445073613[[#This Row],[model]],-1,0)+1, OFFSET(_34445073613[[#This Row],[model]],-1,0))</f>
        <v>1</v>
      </c>
      <c r="B7">
        <v>2</v>
      </c>
      <c r="C7" s="5">
        <v>5.9027777777777776E-6</v>
      </c>
      <c r="D7">
        <v>12</v>
      </c>
      <c r="E7">
        <v>4</v>
      </c>
      <c r="F7">
        <v>1</v>
      </c>
      <c r="G7" s="5">
        <v>2.3148148148148148E-6</v>
      </c>
      <c r="H7" s="5">
        <v>6.9446759259259253E-3</v>
      </c>
      <c r="I7" s="5">
        <v>4.6686342592592587E-3</v>
      </c>
      <c r="J7" s="5">
        <v>2.3148148148148148E-6</v>
      </c>
      <c r="L7" s="6">
        <v>2</v>
      </c>
      <c r="M7" s="6">
        <v>3</v>
      </c>
      <c r="N7">
        <v>9.625</v>
      </c>
      <c r="O7" s="6" t="b">
        <v>1</v>
      </c>
      <c r="P7" s="1"/>
    </row>
    <row r="8" spans="1:24" x14ac:dyDescent="0.25">
      <c r="A8">
        <f ca="1">IF(_34445073613[[#This Row],[instance]]&lt;OFFSET(_34445073613[[#This Row],[instance]],-1,0), OFFSET(_34445073613[[#This Row],[model]],-1,0)+1, OFFSET(_34445073613[[#This Row],[model]],-1,0))</f>
        <v>1</v>
      </c>
      <c r="B8">
        <v>2</v>
      </c>
      <c r="C8" s="5">
        <v>8.5219907407407401E-4</v>
      </c>
      <c r="D8">
        <v>16</v>
      </c>
      <c r="E8">
        <v>6</v>
      </c>
      <c r="F8">
        <v>2</v>
      </c>
      <c r="G8" s="5">
        <v>2.3148148148148148E-6</v>
      </c>
      <c r="H8" s="5">
        <v>6.9446759259259253E-3</v>
      </c>
      <c r="I8" s="5">
        <v>4.6686342592592587E-3</v>
      </c>
      <c r="J8" s="5">
        <v>2.3148148148148148E-6</v>
      </c>
      <c r="L8" s="6">
        <v>2</v>
      </c>
      <c r="M8" s="6">
        <v>5</v>
      </c>
      <c r="N8">
        <v>7.75</v>
      </c>
      <c r="O8" s="6" t="b">
        <v>1</v>
      </c>
      <c r="P8" s="1"/>
      <c r="Q8">
        <v>2</v>
      </c>
    </row>
    <row r="9" spans="1:24" x14ac:dyDescent="0.25">
      <c r="A9">
        <f ca="1">IF(_34445073613[[#This Row],[instance]]&lt;OFFSET(_34445073613[[#This Row],[instance]],-1,0), OFFSET(_34445073613[[#This Row],[model]],-1,0)+1, OFFSET(_34445073613[[#This Row],[model]],-1,0))</f>
        <v>1</v>
      </c>
      <c r="B9">
        <v>2</v>
      </c>
      <c r="C9" s="5">
        <v>8.5243055555555549E-4</v>
      </c>
      <c r="D9">
        <v>16.5</v>
      </c>
      <c r="E9">
        <v>6</v>
      </c>
      <c r="F9">
        <v>2</v>
      </c>
      <c r="G9" s="5">
        <v>2.3148148148148148E-6</v>
      </c>
      <c r="H9" s="5">
        <v>6.9446759259259253E-3</v>
      </c>
      <c r="I9" s="5">
        <v>4.6686342592592587E-3</v>
      </c>
      <c r="J9" s="5">
        <v>2.3148148148148148E-6</v>
      </c>
      <c r="L9" s="6">
        <v>2</v>
      </c>
      <c r="M9" s="6">
        <v>6</v>
      </c>
      <c r="N9">
        <v>17.625</v>
      </c>
      <c r="O9" s="6" t="b">
        <v>1</v>
      </c>
      <c r="P9" s="1"/>
      <c r="R9" s="2">
        <v>1</v>
      </c>
      <c r="S9" cm="1">
        <f t="array" aca="1" ref="S9" ca="1">_xlfn.MAXIFS(COL(bench,"wine"), COL(bench,"model"), $R9, COL(bench,"instance"), INDEX($Q:$Q, ROW()-$R9), COL(bench,"time"),"&lt;="&amp;S$1)</f>
        <v>12</v>
      </c>
      <c r="T9" cm="1">
        <f t="array" aca="1" ref="T9" ca="1">_xlfn.MAXIFS(COL(bench,"wine"), COL(bench,"model"), $R9, COL(bench,"instance"), INDEX($Q:$Q, ROW()-$R9), COL(bench,"time"),"&lt;="&amp;T$1)-SUM($S9:S9)</f>
        <v>0</v>
      </c>
      <c r="U9" cm="1">
        <f t="array" aca="1" ref="U9" ca="1">_xlfn.MAXIFS(COL(bench,"wine"), COL(bench,"model"), $R9, COL(bench,"instance"), INDEX($Q:$Q, ROW()-$R9), COL(bench,"time"),"&lt;="&amp;U$1)-SUM($S9:T9)</f>
        <v>0</v>
      </c>
      <c r="V9" cm="1">
        <f t="array" aca="1" ref="V9" ca="1">_xlfn.MAXIFS(COL(bench,"wine"), COL(bench,"model"), $R9, COL(bench,"instance"), INDEX($Q:$Q, ROW()-$R9), COL(bench,"time"),"&lt;="&amp;V$1)-SUM($S9:U9)</f>
        <v>7</v>
      </c>
      <c r="W9" cm="1">
        <f t="array" aca="1" ref="W9" ca="1">_xlfn.MAXIFS(COL(bench,"wine"), COL(bench,"model"), $R9, COL(bench,"instance"), INDEX($Q:$Q, ROW()-$R9), COL(bench,"time"),"&lt;="&amp;W$1)-SUM($S9:V9)</f>
        <v>0</v>
      </c>
      <c r="X9" t="e" cm="1">
        <f t="array" ref="X9" xml:space="preserve"> _xlfn.LET(
  _xlpm.idx, _xlfn.XMATCH(1,
      (COL(summary,"model")=$R9)*(COL(summary,"instance")=INDEX($Q:$Q, ROW()-$R9))),
  IFERROR(INDEX(COL(summary,"objective"), _xlpm.idx), #N/A)
)</f>
        <v>#N/A</v>
      </c>
    </row>
    <row r="10" spans="1:24" x14ac:dyDescent="0.25">
      <c r="A10">
        <f ca="1">IF(_34445073613[[#This Row],[instance]]&lt;OFFSET(_34445073613[[#This Row],[instance]],-1,0), OFFSET(_34445073613[[#This Row],[model]],-1,0)+1, OFFSET(_34445073613[[#This Row],[model]],-1,0))</f>
        <v>1</v>
      </c>
      <c r="B10">
        <v>2</v>
      </c>
      <c r="C10" s="5">
        <v>8.5486111111111103E-4</v>
      </c>
      <c r="D10">
        <v>16.875</v>
      </c>
      <c r="E10">
        <v>7</v>
      </c>
      <c r="F10">
        <v>2</v>
      </c>
      <c r="G10" s="5">
        <v>2.3148148148148148E-6</v>
      </c>
      <c r="H10" s="5">
        <v>6.9446759259259253E-3</v>
      </c>
      <c r="I10" s="5">
        <v>4.6686342592592587E-3</v>
      </c>
      <c r="J10" s="5">
        <v>2.3148148148148148E-6</v>
      </c>
      <c r="L10" s="6">
        <v>2</v>
      </c>
      <c r="M10" s="6">
        <v>9</v>
      </c>
      <c r="N10">
        <v>0</v>
      </c>
      <c r="O10" s="6" t="b">
        <v>1</v>
      </c>
      <c r="P10" s="1"/>
      <c r="R10" s="2">
        <v>2</v>
      </c>
      <c r="S10" cm="1">
        <f t="array" aca="1" ref="S10" ca="1">_xlfn.MAXIFS(COL(bench,"wine"), COL(bench,"model"), $R10, COL(bench,"instance"), INDEX($Q:$Q, ROW()-$R10), COL(bench,"time"),"&lt;="&amp;S$1)</f>
        <v>12</v>
      </c>
      <c r="T10" cm="1">
        <f t="array" aca="1" ref="T10" ca="1">_xlfn.MAXIFS(COL(bench,"wine"), COL(bench,"model"), $R10, COL(bench,"instance"), INDEX($Q:$Q, ROW()-$R10), COL(bench,"time"),"&lt;="&amp;T$1)-SUM($S10:S10)</f>
        <v>6.25</v>
      </c>
      <c r="U10" cm="1">
        <f t="array" aca="1" ref="U10" ca="1">_xlfn.MAXIFS(COL(bench,"wine"), COL(bench,"model"), $R10, COL(bench,"instance"), INDEX($Q:$Q, ROW()-$R10), COL(bench,"time"),"&lt;="&amp;U$1)-SUM($S10:T10)</f>
        <v>0.375</v>
      </c>
      <c r="V10" cm="1">
        <f t="array" aca="1" ref="V10" ca="1">_xlfn.MAXIFS(COL(bench,"wine"), COL(bench,"model"), $R10, COL(bench,"instance"), INDEX($Q:$Q, ROW()-$R10), COL(bench,"time"),"&lt;="&amp;V$1)-SUM($S10:U10)</f>
        <v>0</v>
      </c>
      <c r="W10" cm="1">
        <f t="array" aca="1" ref="W10" ca="1">_xlfn.MAXIFS(COL(bench,"wine"), COL(bench,"model"), $R10, COL(bench,"instance"), INDEX($Q:$Q, ROW()-$R10), COL(bench,"time"),"&lt;="&amp;W$1)-SUM($S10:V10)</f>
        <v>0</v>
      </c>
      <c r="X10" t="e" cm="1">
        <f t="array" ref="X10" xml:space="preserve"> _xlfn.LET(
  _xlpm.idx, _xlfn.XMATCH(1,
      (COL(summary,"model")=$R10)*(COL(summary,"instance")=INDEX($Q:$Q, ROW()-$R10))),
  IFERROR(INDEX(COL(summary,"objective"), _xlpm.idx), #N/A)
)</f>
        <v>#N/A</v>
      </c>
    </row>
    <row r="11" spans="1:24" x14ac:dyDescent="0.25">
      <c r="A11">
        <f ca="1">IF(_34445073613[[#This Row],[instance]]&lt;OFFSET(_34445073613[[#This Row],[instance]],-1,0), OFFSET(_34445073613[[#This Row],[model]],-1,0)+1, OFFSET(_34445073613[[#This Row],[model]],-1,0))</f>
        <v>1</v>
      </c>
      <c r="B11">
        <v>2</v>
      </c>
      <c r="C11" s="5">
        <v>8.5486111111111103E-4</v>
      </c>
      <c r="D11">
        <v>17.5</v>
      </c>
      <c r="E11">
        <v>7</v>
      </c>
      <c r="F11">
        <v>2</v>
      </c>
      <c r="G11" s="5">
        <v>2.3148148148148148E-6</v>
      </c>
      <c r="H11" s="5">
        <v>6.9446759259259253E-3</v>
      </c>
      <c r="I11" s="5">
        <v>4.6686342592592587E-3</v>
      </c>
      <c r="J11" s="5">
        <v>2.3148148148148148E-6</v>
      </c>
      <c r="L11" s="6">
        <v>2</v>
      </c>
      <c r="M11" s="6">
        <v>10</v>
      </c>
      <c r="N11">
        <v>5</v>
      </c>
      <c r="O11" s="6" t="b">
        <v>1</v>
      </c>
      <c r="P11" s="1"/>
      <c r="R11" s="2">
        <v>3</v>
      </c>
      <c r="S11" cm="1">
        <f t="array" aca="1" ref="S11" ca="1">_xlfn.MAXIFS(COL(bench,"wine"), COL(bench,"model"), $R11, COL(bench,"instance"), INDEX($Q:$Q, ROW()-$R11), COL(bench,"time"),"&lt;="&amp;S$1)</f>
        <v>12</v>
      </c>
      <c r="T11" cm="1">
        <f t="array" aca="1" ref="T11" ca="1">_xlfn.MAXIFS(COL(bench,"wine"), COL(bench,"model"), $R11, COL(bench,"instance"), INDEX($Q:$Q, ROW()-$R11), COL(bench,"time"),"&lt;="&amp;T$1)-SUM($S11:S11)</f>
        <v>0</v>
      </c>
      <c r="U11" cm="1">
        <f t="array" aca="1" ref="U11" ca="1">_xlfn.MAXIFS(COL(bench,"wine"), COL(bench,"model"), $R11, COL(bench,"instance"), INDEX($Q:$Q, ROW()-$R11), COL(bench,"time"),"&lt;="&amp;U$1)-SUM($S11:T11)</f>
        <v>0</v>
      </c>
      <c r="V11" cm="1">
        <f t="array" aca="1" ref="V11" ca="1">_xlfn.MAXIFS(COL(bench,"wine"), COL(bench,"model"), $R11, COL(bench,"instance"), INDEX($Q:$Q, ROW()-$R11), COL(bench,"time"),"&lt;="&amp;V$1)-SUM($S11:U11)</f>
        <v>0</v>
      </c>
      <c r="W11" cm="1">
        <f t="array" aca="1" ref="W11" ca="1">_xlfn.MAXIFS(COL(bench,"wine"), COL(bench,"model"), $R11, COL(bench,"instance"), INDEX($Q:$Q, ROW()-$R11), COL(bench,"time"),"&lt;="&amp;W$1)-SUM($S11:V11)</f>
        <v>0</v>
      </c>
      <c r="X11" t="e" cm="1">
        <f t="array" ref="X11" xml:space="preserve"> _xlfn.LET(
  _xlpm.idx, _xlfn.XMATCH(1,
      (COL(summary,"model")=$R11)*(COL(summary,"instance")=INDEX($Q:$Q, ROW()-$R11))),
  IFERROR(INDEX(COL(summary,"objective"), _xlpm.idx), #N/A)
)</f>
        <v>#N/A</v>
      </c>
    </row>
    <row r="12" spans="1:24" x14ac:dyDescent="0.25">
      <c r="A12">
        <f ca="1">IF(_34445073613[[#This Row],[instance]]&lt;OFFSET(_34445073613[[#This Row],[instance]],-1,0), OFFSET(_34445073613[[#This Row],[model]],-1,0)+1, OFFSET(_34445073613[[#This Row],[model]],-1,0))</f>
        <v>1</v>
      </c>
      <c r="B12">
        <v>2</v>
      </c>
      <c r="C12" s="5">
        <v>8.6087962962962962E-4</v>
      </c>
      <c r="D12">
        <v>17.875</v>
      </c>
      <c r="E12">
        <v>8</v>
      </c>
      <c r="F12">
        <v>2</v>
      </c>
      <c r="G12" s="5">
        <v>2.3148148148148148E-6</v>
      </c>
      <c r="H12" s="5">
        <v>6.9446759259259253E-3</v>
      </c>
      <c r="I12" s="5">
        <v>4.6686342592592587E-3</v>
      </c>
      <c r="J12" s="5">
        <v>2.3148148148148148E-6</v>
      </c>
      <c r="L12" s="6">
        <v>2</v>
      </c>
      <c r="M12" s="6">
        <v>11</v>
      </c>
      <c r="N12">
        <v>17.625</v>
      </c>
      <c r="O12" s="6" t="b">
        <v>1</v>
      </c>
      <c r="P12" s="1"/>
      <c r="R12" s="2">
        <v>4</v>
      </c>
      <c r="S12" cm="1">
        <f t="array" aca="1" ref="S12" ca="1">_xlfn.MAXIFS(COL(bench,"wine"), COL(bench,"model"), $R12, COL(bench,"instance"), INDEX($Q:$Q, ROW()-$R12), COL(bench,"time"),"&lt;="&amp;S$1)</f>
        <v>9.625</v>
      </c>
      <c r="T12" cm="1">
        <f t="array" aca="1" ref="T12" ca="1">_xlfn.MAXIFS(COL(bench,"wine"), COL(bench,"model"), $R12, COL(bench,"instance"), INDEX($Q:$Q, ROW()-$R12), COL(bench,"time"),"&lt;="&amp;T$1)-SUM($S12:S12)</f>
        <v>0</v>
      </c>
      <c r="U12" cm="1">
        <f t="array" aca="1" ref="U12" ca="1">_xlfn.MAXIFS(COL(bench,"wine"), COL(bench,"model"), $R12, COL(bench,"instance"), INDEX($Q:$Q, ROW()-$R12), COL(bench,"time"),"&lt;="&amp;U$1)-SUM($S12:T12)</f>
        <v>0</v>
      </c>
      <c r="V12" cm="1">
        <f t="array" aca="1" ref="V12" ca="1">_xlfn.MAXIFS(COL(bench,"wine"), COL(bench,"model"), $R12, COL(bench,"instance"), INDEX($Q:$Q, ROW()-$R12), COL(bench,"time"),"&lt;="&amp;V$1)-SUM($S12:U12)</f>
        <v>0</v>
      </c>
      <c r="W12" cm="1">
        <f t="array" aca="1" ref="W12" ca="1">_xlfn.MAXIFS(COL(bench,"wine"), COL(bench,"model"), $R12, COL(bench,"instance"), INDEX($Q:$Q, ROW()-$R12), COL(bench,"time"),"&lt;="&amp;W$1)-SUM($S12:V12)</f>
        <v>0</v>
      </c>
      <c r="X12" t="e" cm="1">
        <f t="array" ref="X12" xml:space="preserve"> _xlfn.LET(
  _xlpm.idx, _xlfn.XMATCH(1,
      (COL(summary,"model")=$R12)*(COL(summary,"instance")=INDEX($Q:$Q, ROW()-$R12))),
  IFERROR(INDEX(COL(summary,"objective"), _xlpm.idx), #N/A)
)</f>
        <v>#N/A</v>
      </c>
    </row>
    <row r="13" spans="1:24" x14ac:dyDescent="0.25">
      <c r="A13">
        <f ca="1">IF(_34445073613[[#This Row],[instance]]&lt;OFFSET(_34445073613[[#This Row],[instance]],-1,0), OFFSET(_34445073613[[#This Row],[model]],-1,0)+1, OFFSET(_34445073613[[#This Row],[model]],-1,0))</f>
        <v>1</v>
      </c>
      <c r="B13">
        <v>2</v>
      </c>
      <c r="C13" s="5">
        <v>1.1116898148148147E-3</v>
      </c>
      <c r="D13">
        <v>18.25</v>
      </c>
      <c r="E13">
        <v>9</v>
      </c>
      <c r="F13">
        <v>2</v>
      </c>
      <c r="G13" s="5">
        <v>2.3148148148148148E-6</v>
      </c>
      <c r="H13" s="5">
        <v>6.9446759259259253E-3</v>
      </c>
      <c r="I13" s="5">
        <v>4.6686342592592587E-3</v>
      </c>
      <c r="J13" s="5">
        <v>2.3148148148148148E-6</v>
      </c>
      <c r="L13" s="6">
        <v>3</v>
      </c>
      <c r="M13" s="6">
        <v>9</v>
      </c>
      <c r="N13">
        <v>0</v>
      </c>
      <c r="O13" s="6" t="b">
        <v>1</v>
      </c>
      <c r="P13" s="1"/>
    </row>
    <row r="14" spans="1:24" x14ac:dyDescent="0.25">
      <c r="A14">
        <f ca="1">IF(_34445073613[[#This Row],[instance]]&lt;OFFSET(_34445073613[[#This Row],[instance]],-1,0), OFFSET(_34445073613[[#This Row],[model]],-1,0)+1, OFFSET(_34445073613[[#This Row],[model]],-1,0))</f>
        <v>1</v>
      </c>
      <c r="B14">
        <v>2</v>
      </c>
      <c r="C14" s="5">
        <v>1.1428240740740741E-3</v>
      </c>
      <c r="D14">
        <v>18.625</v>
      </c>
      <c r="E14">
        <v>10</v>
      </c>
      <c r="F14">
        <v>2</v>
      </c>
      <c r="G14" s="5">
        <v>2.3148148148148148E-6</v>
      </c>
      <c r="H14" s="5">
        <v>6.9446759259259253E-3</v>
      </c>
      <c r="I14" s="5">
        <v>4.6686342592592587E-3</v>
      </c>
      <c r="J14" s="5">
        <v>2.3148148148148148E-6</v>
      </c>
      <c r="L14" s="6">
        <v>3</v>
      </c>
      <c r="M14" s="6">
        <v>10</v>
      </c>
      <c r="N14">
        <v>5</v>
      </c>
      <c r="O14" s="6" t="b">
        <v>1</v>
      </c>
      <c r="P14" s="1"/>
      <c r="Q14">
        <v>3</v>
      </c>
    </row>
    <row r="15" spans="1:24" x14ac:dyDescent="0.25">
      <c r="A15">
        <f ca="1">IF(_34445073613[[#This Row],[instance]]&lt;OFFSET(_34445073613[[#This Row],[instance]],-1,0), OFFSET(_34445073613[[#This Row],[model]],-1,0)+1, OFFSET(_34445073613[[#This Row],[model]],-1,0))</f>
        <v>1</v>
      </c>
      <c r="B15">
        <v>2</v>
      </c>
      <c r="C15" s="5">
        <v>2.2454861111111109E-3</v>
      </c>
      <c r="D15">
        <v>19</v>
      </c>
      <c r="E15">
        <v>11</v>
      </c>
      <c r="F15">
        <v>2</v>
      </c>
      <c r="G15" s="5">
        <v>2.3148148148148148E-6</v>
      </c>
      <c r="H15" s="5">
        <v>6.9446759259259253E-3</v>
      </c>
      <c r="I15" s="5">
        <v>4.6686342592592587E-3</v>
      </c>
      <c r="J15" s="5">
        <v>2.3148148148148148E-6</v>
      </c>
      <c r="L15" s="6">
        <v>4</v>
      </c>
      <c r="M15" s="6">
        <v>9</v>
      </c>
      <c r="N15">
        <v>0</v>
      </c>
      <c r="O15" s="6" t="b">
        <v>1</v>
      </c>
      <c r="P15" s="1"/>
      <c r="R15" s="2">
        <v>1</v>
      </c>
      <c r="S15" cm="1">
        <f t="array" aca="1" ref="S15" ca="1">_xlfn.MAXIFS(COL(bench,"wine"), COL(bench,"model"), $R15, COL(bench,"instance"), INDEX($Q:$Q, ROW()-$R15), COL(bench,"time"),"&lt;="&amp;S$1)</f>
        <v>9.25</v>
      </c>
      <c r="T15" cm="1">
        <f t="array" aca="1" ref="T15" ca="1">_xlfn.MAXIFS(COL(bench,"wine"), COL(bench,"model"), $R15, COL(bench,"instance"), INDEX($Q:$Q, ROW()-$R15), COL(bench,"time"),"&lt;="&amp;T$1)-SUM($S15:S15)</f>
        <v>0</v>
      </c>
      <c r="U15" cm="1">
        <f t="array" aca="1" ref="U15" ca="1">_xlfn.MAXIFS(COL(bench,"wine"), COL(bench,"model"), $R15, COL(bench,"instance"), INDEX($Q:$Q, ROW()-$R15), COL(bench,"time"),"&lt;="&amp;U$1)-SUM($S15:T15)</f>
        <v>0</v>
      </c>
      <c r="V15" cm="1">
        <f t="array" aca="1" ref="V15" ca="1">_xlfn.MAXIFS(COL(bench,"wine"), COL(bench,"model"), $R15, COL(bench,"instance"), INDEX($Q:$Q, ROW()-$R15), COL(bench,"time"),"&lt;="&amp;V$1)-SUM($S15:U15)</f>
        <v>0</v>
      </c>
      <c r="W15" cm="1">
        <f t="array" aca="1" ref="W15" ca="1">_xlfn.MAXIFS(COL(bench,"wine"), COL(bench,"model"), $R15, COL(bench,"instance"), INDEX($Q:$Q, ROW()-$R15), COL(bench,"time"),"&lt;="&amp;W$1)-SUM($S15:V15)</f>
        <v>0</v>
      </c>
      <c r="X15" t="e" cm="1">
        <f t="array" ref="X15" xml:space="preserve"> _xlfn.LET(
  _xlpm.idx, _xlfn.XMATCH(1,
      (COL(summary,"model")=$R15)*(COL(summary,"instance")=INDEX($Q:$Q, ROW()-$R15))),
  IFERROR(INDEX(COL(summary,"objective"), _xlpm.idx), #N/A)
)</f>
        <v>#N/A</v>
      </c>
    </row>
    <row r="16" spans="1:24" x14ac:dyDescent="0.25">
      <c r="A16">
        <f ca="1">IF(_34445073613[[#This Row],[instance]]&lt;OFFSET(_34445073613[[#This Row],[instance]],-1,0), OFFSET(_34445073613[[#This Row],[model]],-1,0)+1, OFFSET(_34445073613[[#This Row],[model]],-1,0))</f>
        <v>1</v>
      </c>
      <c r="B16">
        <v>3</v>
      </c>
      <c r="C16" s="5">
        <v>5.9027777777777776E-6</v>
      </c>
      <c r="D16">
        <v>0</v>
      </c>
      <c r="E16">
        <v>0</v>
      </c>
      <c r="F16">
        <v>0</v>
      </c>
      <c r="G16" s="5">
        <v>2.3148148148148148E-6</v>
      </c>
      <c r="H16" s="5">
        <v>6.9446759259259253E-3</v>
      </c>
      <c r="I16" s="5">
        <v>4.6686342592592587E-3</v>
      </c>
      <c r="J16" s="5">
        <v>2.3148148148148148E-6</v>
      </c>
      <c r="L16"/>
      <c r="M16"/>
      <c r="N16"/>
      <c r="O16"/>
      <c r="P16" s="1"/>
      <c r="R16" s="2">
        <v>2</v>
      </c>
      <c r="S16" cm="1">
        <f t="array" aca="1" ref="S16" ca="1">_xlfn.MAXIFS(COL(bench,"wine"), COL(bench,"model"), $R16, COL(bench,"instance"), INDEX($Q:$Q, ROW()-$R16), COL(bench,"time"),"&lt;="&amp;S$1)</f>
        <v>7</v>
      </c>
      <c r="T16" cm="1">
        <f t="array" aca="1" ref="T16" ca="1">_xlfn.MAXIFS(COL(bench,"wine"), COL(bench,"model"), $R16, COL(bench,"instance"), INDEX($Q:$Q, ROW()-$R16), COL(bench,"time"),"&lt;="&amp;T$1)-SUM($S16:S16)</f>
        <v>0</v>
      </c>
      <c r="U16" cm="1">
        <f t="array" aca="1" ref="U16" ca="1">_xlfn.MAXIFS(COL(bench,"wine"), COL(bench,"model"), $R16, COL(bench,"instance"), INDEX($Q:$Q, ROW()-$R16), COL(bench,"time"),"&lt;="&amp;U$1)-SUM($S16:T16)</f>
        <v>2.625</v>
      </c>
      <c r="V16" cm="1">
        <f t="array" aca="1" ref="V16" ca="1">_xlfn.MAXIFS(COL(bench,"wine"), COL(bench,"model"), $R16, COL(bench,"instance"), INDEX($Q:$Q, ROW()-$R16), COL(bench,"time"),"&lt;="&amp;V$1)-SUM($S16:U16)</f>
        <v>0</v>
      </c>
      <c r="W16" cm="1">
        <f t="array" aca="1" ref="W16" ca="1">_xlfn.MAXIFS(COL(bench,"wine"), COL(bench,"model"), $R16, COL(bench,"instance"), INDEX($Q:$Q, ROW()-$R16), COL(bench,"time"),"&lt;="&amp;W$1)-SUM($S16:V16)</f>
        <v>0</v>
      </c>
      <c r="X16" cm="1">
        <f t="array" ref="X16" xml:space="preserve"> _xlfn.LET(
  _xlpm.idx, _xlfn.XMATCH(1,
      (COL(summary,"model")=$R16)*(COL(summary,"instance")=INDEX($Q:$Q, ROW()-$R16))),
  IFERROR(INDEX(COL(summary,"objective"), _xlpm.idx), #N/A)
)</f>
        <v>9.625</v>
      </c>
    </row>
    <row r="17" spans="1:24" x14ac:dyDescent="0.25">
      <c r="A17">
        <f ca="1">IF(_34445073613[[#This Row],[instance]]&lt;OFFSET(_34445073613[[#This Row],[instance]],-1,0), OFFSET(_34445073613[[#This Row],[model]],-1,0)+1, OFFSET(_34445073613[[#This Row],[model]],-1,0))</f>
        <v>1</v>
      </c>
      <c r="B17">
        <v>3</v>
      </c>
      <c r="C17" s="5">
        <v>5.9027777777777776E-6</v>
      </c>
      <c r="D17">
        <v>1.5</v>
      </c>
      <c r="E17">
        <v>1</v>
      </c>
      <c r="F17">
        <v>1</v>
      </c>
      <c r="G17" s="5">
        <v>2.3148148148148148E-6</v>
      </c>
      <c r="H17" s="5">
        <v>6.9446759259259253E-3</v>
      </c>
      <c r="I17" s="5">
        <v>4.6686342592592587E-3</v>
      </c>
      <c r="J17" s="5">
        <v>2.3148148148148148E-6</v>
      </c>
      <c r="L17"/>
      <c r="M17"/>
      <c r="N17"/>
      <c r="O17"/>
      <c r="P17" s="1"/>
      <c r="R17" s="2">
        <v>3</v>
      </c>
      <c r="S17" cm="1">
        <f t="array" aca="1" ref="S17" ca="1">_xlfn.MAXIFS(COL(bench,"wine"), COL(bench,"model"), $R17, COL(bench,"instance"), INDEX($Q:$Q, ROW()-$R17), COL(bench,"time"),"&lt;="&amp;S$1)</f>
        <v>4.5</v>
      </c>
      <c r="T17" cm="1">
        <f t="array" aca="1" ref="T17" ca="1">_xlfn.MAXIFS(COL(bench,"wine"), COL(bench,"model"), $R17, COL(bench,"instance"), INDEX($Q:$Q, ROW()-$R17), COL(bench,"time"),"&lt;="&amp;T$1)-SUM($S17:S17)</f>
        <v>0</v>
      </c>
      <c r="U17" cm="1">
        <f t="array" aca="1" ref="U17" ca="1">_xlfn.MAXIFS(COL(bench,"wine"), COL(bench,"model"), $R17, COL(bench,"instance"), INDEX($Q:$Q, ROW()-$R17), COL(bench,"time"),"&lt;="&amp;U$1)-SUM($S17:T17)</f>
        <v>0</v>
      </c>
      <c r="V17" cm="1">
        <f t="array" aca="1" ref="V17" ca="1">_xlfn.MAXIFS(COL(bench,"wine"), COL(bench,"model"), $R17, COL(bench,"instance"), INDEX($Q:$Q, ROW()-$R17), COL(bench,"time"),"&lt;="&amp;V$1)-SUM($S17:U17)</f>
        <v>0</v>
      </c>
      <c r="W17" cm="1">
        <f t="array" aca="1" ref="W17" ca="1">_xlfn.MAXIFS(COL(bench,"wine"), COL(bench,"model"), $R17, COL(bench,"instance"), INDEX($Q:$Q, ROW()-$R17), COL(bench,"time"),"&lt;="&amp;W$1)-SUM($S17:V17)</f>
        <v>0</v>
      </c>
      <c r="X17" t="e" cm="1">
        <f t="array" ref="X17" xml:space="preserve"> _xlfn.LET(
  _xlpm.idx, _xlfn.XMATCH(1,
      (COL(summary,"model")=$R17)*(COL(summary,"instance")=INDEX($Q:$Q, ROW()-$R17))),
  IFERROR(INDEX(COL(summary,"objective"), _xlpm.idx), #N/A)
)</f>
        <v>#N/A</v>
      </c>
    </row>
    <row r="18" spans="1:24" x14ac:dyDescent="0.25">
      <c r="A18">
        <f ca="1">IF(_34445073613[[#This Row],[instance]]&lt;OFFSET(_34445073613[[#This Row],[instance]],-1,0), OFFSET(_34445073613[[#This Row],[model]],-1,0)+1, OFFSET(_34445073613[[#This Row],[model]],-1,0))</f>
        <v>1</v>
      </c>
      <c r="B18">
        <v>3</v>
      </c>
      <c r="C18" s="5">
        <v>6.0185185185185185E-6</v>
      </c>
      <c r="D18">
        <v>2.5</v>
      </c>
      <c r="E18">
        <v>2</v>
      </c>
      <c r="F18">
        <v>1</v>
      </c>
      <c r="G18" s="5">
        <v>2.3148148148148148E-6</v>
      </c>
      <c r="H18" s="5">
        <v>6.9446759259259253E-3</v>
      </c>
      <c r="I18" s="5">
        <v>4.6686342592592587E-3</v>
      </c>
      <c r="J18" s="5">
        <v>2.3148148148148148E-6</v>
      </c>
      <c r="L18"/>
      <c r="M18"/>
      <c r="N18"/>
      <c r="O18"/>
      <c r="P18" s="1"/>
      <c r="R18" s="2">
        <v>4</v>
      </c>
      <c r="S18" cm="1">
        <f t="array" aca="1" ref="S18" ca="1">_xlfn.MAXIFS(COL(bench,"wine"), COL(bench,"model"), $R18, COL(bench,"instance"), INDEX($Q:$Q, ROW()-$R18), COL(bench,"time"),"&lt;="&amp;S$1)</f>
        <v>3.625</v>
      </c>
      <c r="T18" cm="1">
        <f t="array" aca="1" ref="T18" ca="1">_xlfn.MAXIFS(COL(bench,"wine"), COL(bench,"model"), $R18, COL(bench,"instance"), INDEX($Q:$Q, ROW()-$R18), COL(bench,"time"),"&lt;="&amp;T$1)-SUM($S18:S18)</f>
        <v>0</v>
      </c>
      <c r="U18" cm="1">
        <f t="array" aca="1" ref="U18" ca="1">_xlfn.MAXIFS(COL(bench,"wine"), COL(bench,"model"), $R18, COL(bench,"instance"), INDEX($Q:$Q, ROW()-$R18), COL(bench,"time"),"&lt;="&amp;U$1)-SUM($S18:T18)</f>
        <v>0</v>
      </c>
      <c r="V18" cm="1">
        <f t="array" aca="1" ref="V18" ca="1">_xlfn.MAXIFS(COL(bench,"wine"), COL(bench,"model"), $R18, COL(bench,"instance"), INDEX($Q:$Q, ROW()-$R18), COL(bench,"time"),"&lt;="&amp;V$1)-SUM($S18:U18)</f>
        <v>1.625</v>
      </c>
      <c r="W18" cm="1">
        <f t="array" aca="1" ref="W18" ca="1">_xlfn.MAXIFS(COL(bench,"wine"), COL(bench,"model"), $R18, COL(bench,"instance"), INDEX($Q:$Q, ROW()-$R18), COL(bench,"time"),"&lt;="&amp;W$1)-SUM($S18:V18)</f>
        <v>0</v>
      </c>
      <c r="X18" t="e" cm="1">
        <f t="array" ref="X18" xml:space="preserve"> _xlfn.LET(
  _xlpm.idx, _xlfn.XMATCH(1,
      (COL(summary,"model")=$R18)*(COL(summary,"instance")=INDEX($Q:$Q, ROW()-$R18))),
  IFERROR(INDEX(COL(summary,"objective"), _xlpm.idx), #N/A)
)</f>
        <v>#N/A</v>
      </c>
    </row>
    <row r="19" spans="1:24" x14ac:dyDescent="0.25">
      <c r="A19">
        <f ca="1">IF(_34445073613[[#This Row],[instance]]&lt;OFFSET(_34445073613[[#This Row],[instance]],-1,0), OFFSET(_34445073613[[#This Row],[model]],-1,0)+1, OFFSET(_34445073613[[#This Row],[model]],-1,0))</f>
        <v>1</v>
      </c>
      <c r="B19">
        <v>3</v>
      </c>
      <c r="C19" s="5">
        <v>6.0185185185185185E-6</v>
      </c>
      <c r="D19">
        <v>3.5</v>
      </c>
      <c r="E19">
        <v>3</v>
      </c>
      <c r="F19">
        <v>2</v>
      </c>
      <c r="G19" s="5">
        <v>2.3148148148148148E-6</v>
      </c>
      <c r="H19" s="5">
        <v>6.9446759259259253E-3</v>
      </c>
      <c r="I19" s="5">
        <v>4.6686342592592587E-3</v>
      </c>
      <c r="J19" s="5">
        <v>2.3148148148148148E-6</v>
      </c>
      <c r="L19"/>
      <c r="M19"/>
      <c r="N19"/>
      <c r="O19"/>
      <c r="P19" s="1"/>
    </row>
    <row r="20" spans="1:24" x14ac:dyDescent="0.25">
      <c r="A20">
        <f ca="1">IF(_34445073613[[#This Row],[instance]]&lt;OFFSET(_34445073613[[#This Row],[instance]],-1,0), OFFSET(_34445073613[[#This Row],[model]],-1,0)+1, OFFSET(_34445073613[[#This Row],[model]],-1,0))</f>
        <v>1</v>
      </c>
      <c r="B20">
        <v>3</v>
      </c>
      <c r="C20" s="5">
        <v>6.0185185185185185E-6</v>
      </c>
      <c r="D20">
        <v>3.5</v>
      </c>
      <c r="E20">
        <v>3</v>
      </c>
      <c r="F20">
        <v>1</v>
      </c>
      <c r="G20" s="5">
        <v>2.3148148148148148E-6</v>
      </c>
      <c r="H20" s="5">
        <v>6.9446759259259253E-3</v>
      </c>
      <c r="I20" s="5">
        <v>4.6686342592592587E-3</v>
      </c>
      <c r="J20" s="5">
        <v>2.3148148148148148E-6</v>
      </c>
      <c r="L20"/>
      <c r="M20"/>
      <c r="N20"/>
      <c r="O20"/>
      <c r="P20" s="1"/>
      <c r="Q20">
        <v>4</v>
      </c>
    </row>
    <row r="21" spans="1:24" x14ac:dyDescent="0.25">
      <c r="A21">
        <f ca="1">IF(_34445073613[[#This Row],[instance]]&lt;OFFSET(_34445073613[[#This Row],[instance]],-1,0), OFFSET(_34445073613[[#This Row],[model]],-1,0)+1, OFFSET(_34445073613[[#This Row],[model]],-1,0))</f>
        <v>1</v>
      </c>
      <c r="B21">
        <v>3</v>
      </c>
      <c r="C21" s="5">
        <v>6.0185185185185185E-6</v>
      </c>
      <c r="D21">
        <v>4.5</v>
      </c>
      <c r="E21">
        <v>4</v>
      </c>
      <c r="F21">
        <v>2</v>
      </c>
      <c r="G21" s="5">
        <v>2.3148148148148148E-6</v>
      </c>
      <c r="H21" s="5">
        <v>6.9446759259259253E-3</v>
      </c>
      <c r="I21" s="5">
        <v>4.6686342592592587E-3</v>
      </c>
      <c r="J21" s="5">
        <v>2.3148148148148148E-6</v>
      </c>
      <c r="L21"/>
      <c r="M21"/>
      <c r="N21"/>
      <c r="O21"/>
      <c r="P21" s="1"/>
      <c r="R21" s="2">
        <v>1</v>
      </c>
      <c r="S21" cm="1">
        <f t="array" aca="1" ref="S21" ca="1">_xlfn.MAXIFS(COL(bench,"wine"), COL(bench,"model"), $R21, COL(bench,"instance"), INDEX($Q:$Q, ROW()-$R21), COL(bench,"time"),"&lt;="&amp;S$1)</f>
        <v>3</v>
      </c>
      <c r="T21" cm="1">
        <f t="array" aca="1" ref="T21" ca="1">_xlfn.MAXIFS(COL(bench,"wine"), COL(bench,"model"), $R21, COL(bench,"instance"), INDEX($Q:$Q, ROW()-$R21), COL(bench,"time"),"&lt;="&amp;T$1)-SUM($S21:S21)</f>
        <v>0</v>
      </c>
      <c r="U21" cm="1">
        <f t="array" aca="1" ref="U21" ca="1">_xlfn.MAXIFS(COL(bench,"wine"), COL(bench,"model"), $R21, COL(bench,"instance"), INDEX($Q:$Q, ROW()-$R21), COL(bench,"time"),"&lt;="&amp;U$1)-SUM($S21:T21)</f>
        <v>0</v>
      </c>
      <c r="V21" cm="1">
        <f t="array" aca="1" ref="V21" ca="1">_xlfn.MAXIFS(COL(bench,"wine"), COL(bench,"model"), $R21, COL(bench,"instance"), INDEX($Q:$Q, ROW()-$R21), COL(bench,"time"),"&lt;="&amp;V$1)-SUM($S21:U21)</f>
        <v>0</v>
      </c>
      <c r="W21" cm="1">
        <f t="array" aca="1" ref="W21" ca="1">_xlfn.MAXIFS(COL(bench,"wine"), COL(bench,"model"), $R21, COL(bench,"instance"), INDEX($Q:$Q, ROW()-$R21), COL(bench,"time"),"&lt;="&amp;W$1)-SUM($S21:V21)</f>
        <v>0</v>
      </c>
      <c r="X21" t="e" cm="1">
        <f t="array" ref="X21" xml:space="preserve"> _xlfn.LET(
  _xlpm.idx, _xlfn.XMATCH(1,
      (COL(summary,"model")=$R21)*(COL(summary,"instance")=INDEX($Q:$Q, ROW()-$R21))),
  IFERROR(INDEX(COL(summary,"objective"), _xlpm.idx), #N/A)
)</f>
        <v>#N/A</v>
      </c>
    </row>
    <row r="22" spans="1:24" x14ac:dyDescent="0.25">
      <c r="A22">
        <f ca="1">IF(_34445073613[[#This Row],[instance]]&lt;OFFSET(_34445073613[[#This Row],[instance]],-1,0), OFFSET(_34445073613[[#This Row],[model]],-1,0)+1, OFFSET(_34445073613[[#This Row],[model]],-1,0))</f>
        <v>1</v>
      </c>
      <c r="B22">
        <v>3</v>
      </c>
      <c r="C22" s="5">
        <v>6.0185185185185185E-6</v>
      </c>
      <c r="D22">
        <v>4.5</v>
      </c>
      <c r="E22">
        <v>4</v>
      </c>
      <c r="F22">
        <v>1</v>
      </c>
      <c r="G22" s="5">
        <v>2.3148148148148148E-6</v>
      </c>
      <c r="H22" s="5">
        <v>6.9446759259259253E-3</v>
      </c>
      <c r="I22" s="5">
        <v>4.6686342592592587E-3</v>
      </c>
      <c r="J22" s="5">
        <v>2.3148148148148148E-6</v>
      </c>
      <c r="L22"/>
      <c r="M22"/>
      <c r="N22"/>
      <c r="O22"/>
      <c r="P22" s="1"/>
      <c r="R22" s="2">
        <v>2</v>
      </c>
      <c r="S22" cm="1">
        <f t="array" aca="1" ref="S22" ca="1">_xlfn.MAXIFS(COL(bench,"wine"), COL(bench,"model"), $R22, COL(bench,"instance"), INDEX($Q:$Q, ROW()-$R22), COL(bench,"time"),"&lt;="&amp;S$1)</f>
        <v>0</v>
      </c>
      <c r="T22" cm="1">
        <f t="array" aca="1" ref="T22" ca="1">_xlfn.MAXIFS(COL(bench,"wine"), COL(bench,"model"), $R22, COL(bench,"instance"), INDEX($Q:$Q, ROW()-$R22), COL(bench,"time"),"&lt;="&amp;T$1)-SUM($S22:S22)</f>
        <v>0</v>
      </c>
      <c r="U22" cm="1">
        <f t="array" aca="1" ref="U22" ca="1">_xlfn.MAXIFS(COL(bench,"wine"), COL(bench,"model"), $R22, COL(bench,"instance"), INDEX($Q:$Q, ROW()-$R22), COL(bench,"time"),"&lt;="&amp;U$1)-SUM($S22:T22)</f>
        <v>0</v>
      </c>
      <c r="V22" cm="1">
        <f t="array" aca="1" ref="V22" ca="1">_xlfn.MAXIFS(COL(bench,"wine"), COL(bench,"model"), $R22, COL(bench,"instance"), INDEX($Q:$Q, ROW()-$R22), COL(bench,"time"),"&lt;="&amp;V$1)-SUM($S22:U22)</f>
        <v>0</v>
      </c>
      <c r="W22" cm="1">
        <f t="array" aca="1" ref="W22" ca="1">_xlfn.MAXIFS(COL(bench,"wine"), COL(bench,"model"), $R22, COL(bench,"instance"), INDEX($Q:$Q, ROW()-$R22), COL(bench,"time"),"&lt;="&amp;W$1)-SUM($S22:V22)</f>
        <v>0</v>
      </c>
      <c r="X22" t="e" cm="1">
        <f t="array" ref="X22" xml:space="preserve"> _xlfn.LET(
  _xlpm.idx, _xlfn.XMATCH(1,
      (COL(summary,"model")=$R22)*(COL(summary,"instance")=INDEX($Q:$Q, ROW()-$R22))),
  IFERROR(INDEX(COL(summary,"objective"), _xlpm.idx), #N/A)
)</f>
        <v>#N/A</v>
      </c>
    </row>
    <row r="23" spans="1:24" x14ac:dyDescent="0.25">
      <c r="A23">
        <f ca="1">IF(_34445073613[[#This Row],[instance]]&lt;OFFSET(_34445073613[[#This Row],[instance]],-1,0), OFFSET(_34445073613[[#This Row],[model]],-1,0)+1, OFFSET(_34445073613[[#This Row],[model]],-1,0))</f>
        <v>1</v>
      </c>
      <c r="B23">
        <v>3</v>
      </c>
      <c r="C23" s="5">
        <v>6.0185185185185185E-6</v>
      </c>
      <c r="D23">
        <v>5.5</v>
      </c>
      <c r="E23">
        <v>5</v>
      </c>
      <c r="F23">
        <v>2</v>
      </c>
      <c r="G23" s="5">
        <v>2.3148148148148148E-6</v>
      </c>
      <c r="H23" s="5">
        <v>6.9446759259259253E-3</v>
      </c>
      <c r="I23" s="5">
        <v>4.6686342592592587E-3</v>
      </c>
      <c r="J23" s="5">
        <v>2.3148148148148148E-6</v>
      </c>
      <c r="L23"/>
      <c r="M23"/>
      <c r="N23"/>
      <c r="O23"/>
      <c r="P23" s="1"/>
      <c r="R23" s="2">
        <v>3</v>
      </c>
      <c r="S23" cm="1">
        <f t="array" aca="1" ref="S23" ca="1">_xlfn.MAXIFS(COL(bench,"wine"), COL(bench,"model"), $R23, COL(bench,"instance"), INDEX($Q:$Q, ROW()-$R23), COL(bench,"time"),"&lt;="&amp;S$1)</f>
        <v>0</v>
      </c>
      <c r="T23" cm="1">
        <f t="array" aca="1" ref="T23" ca="1">_xlfn.MAXIFS(COL(bench,"wine"), COL(bench,"model"), $R23, COL(bench,"instance"), INDEX($Q:$Q, ROW()-$R23), COL(bench,"time"),"&lt;="&amp;T$1)-SUM($S23:S23)</f>
        <v>0</v>
      </c>
      <c r="U23" cm="1">
        <f t="array" aca="1" ref="U23" ca="1">_xlfn.MAXIFS(COL(bench,"wine"), COL(bench,"model"), $R23, COL(bench,"instance"), INDEX($Q:$Q, ROW()-$R23), COL(bench,"time"),"&lt;="&amp;U$1)-SUM($S23:T23)</f>
        <v>0</v>
      </c>
      <c r="V23" cm="1">
        <f t="array" aca="1" ref="V23" ca="1">_xlfn.MAXIFS(COL(bench,"wine"), COL(bench,"model"), $R23, COL(bench,"instance"), INDEX($Q:$Q, ROW()-$R23), COL(bench,"time"),"&lt;="&amp;V$1)-SUM($S23:U23)</f>
        <v>0</v>
      </c>
      <c r="W23" cm="1">
        <f t="array" aca="1" ref="W23" ca="1">_xlfn.MAXIFS(COL(bench,"wine"), COL(bench,"model"), $R23, COL(bench,"instance"), INDEX($Q:$Q, ROW()-$R23), COL(bench,"time"),"&lt;="&amp;W$1)-SUM($S23:V23)</f>
        <v>0</v>
      </c>
      <c r="X23" t="e" cm="1">
        <f t="array" ref="X23" xml:space="preserve"> _xlfn.LET(
  _xlpm.idx, _xlfn.XMATCH(1,
      (COL(summary,"model")=$R23)*(COL(summary,"instance")=INDEX($Q:$Q, ROW()-$R23))),
  IFERROR(INDEX(COL(summary,"objective"), _xlpm.idx), #N/A)
)</f>
        <v>#N/A</v>
      </c>
    </row>
    <row r="24" spans="1:24" x14ac:dyDescent="0.25">
      <c r="A24">
        <f ca="1">IF(_34445073613[[#This Row],[instance]]&lt;OFFSET(_34445073613[[#This Row],[instance]],-1,0), OFFSET(_34445073613[[#This Row],[model]],-1,0)+1, OFFSET(_34445073613[[#This Row],[model]],-1,0))</f>
        <v>1</v>
      </c>
      <c r="B24">
        <v>3</v>
      </c>
      <c r="C24" s="5">
        <v>8.101851851851852E-6</v>
      </c>
      <c r="D24">
        <v>6.25</v>
      </c>
      <c r="E24">
        <v>6</v>
      </c>
      <c r="F24">
        <v>2</v>
      </c>
      <c r="G24" s="5">
        <v>2.3148148148148148E-6</v>
      </c>
      <c r="H24" s="5">
        <v>6.9446759259259253E-3</v>
      </c>
      <c r="I24" s="5">
        <v>4.6686342592592587E-3</v>
      </c>
      <c r="J24" s="5">
        <v>2.3148148148148148E-6</v>
      </c>
      <c r="L24"/>
      <c r="M24"/>
      <c r="N24"/>
      <c r="O24"/>
      <c r="P24" s="1"/>
      <c r="R24" s="2">
        <v>4</v>
      </c>
      <c r="S24" cm="1">
        <f t="array" aca="1" ref="S24" ca="1">_xlfn.MAXIFS(COL(bench,"wine"), COL(bench,"model"), $R24, COL(bench,"instance"), INDEX($Q:$Q, ROW()-$R24), COL(bench,"time"),"&lt;="&amp;S$1)</f>
        <v>4.5</v>
      </c>
      <c r="T24" cm="1">
        <f t="array" aca="1" ref="T24" ca="1">_xlfn.MAXIFS(COL(bench,"wine"), COL(bench,"model"), $R24, COL(bench,"instance"), INDEX($Q:$Q, ROW()-$R24), COL(bench,"time"),"&lt;="&amp;T$1)-SUM($S24:S24)</f>
        <v>0</v>
      </c>
      <c r="U24" cm="1">
        <f t="array" aca="1" ref="U24" ca="1">_xlfn.MAXIFS(COL(bench,"wine"), COL(bench,"model"), $R24, COL(bench,"instance"), INDEX($Q:$Q, ROW()-$R24), COL(bench,"time"),"&lt;="&amp;U$1)-SUM($S24:T24)</f>
        <v>0</v>
      </c>
      <c r="V24" cm="1">
        <f t="array" aca="1" ref="V24" ca="1">_xlfn.MAXIFS(COL(bench,"wine"), COL(bench,"model"), $R24, COL(bench,"instance"), INDEX($Q:$Q, ROW()-$R24), COL(bench,"time"),"&lt;="&amp;V$1)-SUM($S24:U24)</f>
        <v>0</v>
      </c>
      <c r="W24" cm="1">
        <f t="array" aca="1" ref="W24" ca="1">_xlfn.MAXIFS(COL(bench,"wine"), COL(bench,"model"), $R24, COL(bench,"instance"), INDEX($Q:$Q, ROW()-$R24), COL(bench,"time"),"&lt;="&amp;W$1)-SUM($S24:V24)</f>
        <v>0</v>
      </c>
      <c r="X24" t="e" cm="1">
        <f t="array" ref="X24" xml:space="preserve"> _xlfn.LET(
  _xlpm.idx, _xlfn.XMATCH(1,
      (COL(summary,"model")=$R24)*(COL(summary,"instance")=INDEX($Q:$Q, ROW()-$R24))),
  IFERROR(INDEX(COL(summary,"objective"), _xlpm.idx), #N/A)
)</f>
        <v>#N/A</v>
      </c>
    </row>
    <row r="25" spans="1:24" x14ac:dyDescent="0.25">
      <c r="A25">
        <f ca="1">IF(_34445073613[[#This Row],[instance]]&lt;OFFSET(_34445073613[[#This Row],[instance]],-1,0), OFFSET(_34445073613[[#This Row],[model]],-1,0)+1, OFFSET(_34445073613[[#This Row],[model]],-1,0))</f>
        <v>1</v>
      </c>
      <c r="B25">
        <v>3</v>
      </c>
      <c r="C25" s="5">
        <v>5.8564814814814813E-5</v>
      </c>
      <c r="D25">
        <v>7</v>
      </c>
      <c r="E25">
        <v>7</v>
      </c>
      <c r="F25">
        <v>3</v>
      </c>
      <c r="G25" s="5">
        <v>2.3148148148148148E-6</v>
      </c>
      <c r="H25" s="5">
        <v>6.9446759259259253E-3</v>
      </c>
      <c r="I25" s="5">
        <v>4.6686342592592587E-3</v>
      </c>
      <c r="J25" s="5">
        <v>2.3148148148148148E-6</v>
      </c>
      <c r="L25"/>
      <c r="M25"/>
      <c r="N25"/>
      <c r="O25"/>
      <c r="P25" s="1"/>
    </row>
    <row r="26" spans="1:24" x14ac:dyDescent="0.25">
      <c r="A26">
        <f ca="1">IF(_34445073613[[#This Row],[instance]]&lt;OFFSET(_34445073613[[#This Row],[instance]],-1,0), OFFSET(_34445073613[[#This Row],[model]],-1,0)+1, OFFSET(_34445073613[[#This Row],[model]],-1,0))</f>
        <v>1</v>
      </c>
      <c r="B26">
        <v>3</v>
      </c>
      <c r="C26" s="5">
        <v>5.8912037037037033E-5</v>
      </c>
      <c r="D26">
        <v>7</v>
      </c>
      <c r="E26">
        <v>7</v>
      </c>
      <c r="F26">
        <v>2</v>
      </c>
      <c r="G26" s="5">
        <v>2.3148148148148148E-6</v>
      </c>
      <c r="H26" s="5">
        <v>6.9446759259259253E-3</v>
      </c>
      <c r="I26" s="5">
        <v>4.6686342592592587E-3</v>
      </c>
      <c r="J26" s="5">
        <v>2.3148148148148148E-6</v>
      </c>
      <c r="L26"/>
      <c r="M26"/>
      <c r="N26"/>
      <c r="O26"/>
      <c r="P26" s="1"/>
      <c r="Q26">
        <v>5</v>
      </c>
    </row>
    <row r="27" spans="1:24" x14ac:dyDescent="0.25">
      <c r="A27">
        <f ca="1">IF(_34445073613[[#This Row],[instance]]&lt;OFFSET(_34445073613[[#This Row],[instance]],-1,0), OFFSET(_34445073613[[#This Row],[model]],-1,0)+1, OFFSET(_34445073613[[#This Row],[model]],-1,0))</f>
        <v>1</v>
      </c>
      <c r="B27">
        <v>3</v>
      </c>
      <c r="C27" s="5">
        <v>6.3773148148148142E-5</v>
      </c>
      <c r="D27">
        <v>7.75</v>
      </c>
      <c r="E27">
        <v>8</v>
      </c>
      <c r="F27">
        <v>4</v>
      </c>
      <c r="G27" s="5">
        <v>2.3148148148148148E-6</v>
      </c>
      <c r="H27" s="5">
        <v>6.9446759259259253E-3</v>
      </c>
      <c r="I27" s="5">
        <v>4.6686342592592587E-3</v>
      </c>
      <c r="J27" s="5">
        <v>2.3148148148148148E-6</v>
      </c>
      <c r="L27"/>
      <c r="M27"/>
      <c r="N27"/>
      <c r="O27"/>
      <c r="P27" s="1"/>
      <c r="R27" s="2">
        <v>1</v>
      </c>
      <c r="S27" cm="1">
        <f t="array" aca="1" ref="S27" ca="1">_xlfn.MAXIFS(COL(bench,"wine"), COL(bench,"model"), $R27, COL(bench,"instance"), INDEX($Q:$Q, ROW()-$R27), COL(bench,"time"),"&lt;="&amp;S$1)</f>
        <v>7.75</v>
      </c>
      <c r="T27" cm="1">
        <f t="array" aca="1" ref="T27" ca="1">_xlfn.MAXIFS(COL(bench,"wine"), COL(bench,"model"), $R27, COL(bench,"instance"), INDEX($Q:$Q, ROW()-$R27), COL(bench,"time"),"&lt;="&amp;T$1)-SUM($S27:S27)</f>
        <v>0</v>
      </c>
      <c r="U27" cm="1">
        <f t="array" aca="1" ref="U27" ca="1">_xlfn.MAXIFS(COL(bench,"wine"), COL(bench,"model"), $R27, COL(bench,"instance"), INDEX($Q:$Q, ROW()-$R27), COL(bench,"time"),"&lt;="&amp;U$1)-SUM($S27:T27)</f>
        <v>0</v>
      </c>
      <c r="V27" cm="1">
        <f t="array" aca="1" ref="V27" ca="1">_xlfn.MAXIFS(COL(bench,"wine"), COL(bench,"model"), $R27, COL(bench,"instance"), INDEX($Q:$Q, ROW()-$R27), COL(bench,"time"),"&lt;="&amp;V$1)-SUM($S27:U27)</f>
        <v>0</v>
      </c>
      <c r="W27" cm="1">
        <f t="array" aca="1" ref="W27" ca="1">_xlfn.MAXIFS(COL(bench,"wine"), COL(bench,"model"), $R27, COL(bench,"instance"), INDEX($Q:$Q, ROW()-$R27), COL(bench,"time"),"&lt;="&amp;W$1)-SUM($S27:V27)</f>
        <v>0</v>
      </c>
      <c r="X27" cm="1">
        <f t="array" ref="X27" xml:space="preserve"> _xlfn.LET(
  _xlpm.idx, _xlfn.XMATCH(1,
      (COL(summary,"model")=$R27)*(COL(summary,"instance")=INDEX($Q:$Q, ROW()-$R27))),
  IFERROR(INDEX(COL(summary,"objective"), _xlpm.idx), #N/A)
)</f>
        <v>7.75</v>
      </c>
    </row>
    <row r="28" spans="1:24" x14ac:dyDescent="0.25">
      <c r="A28">
        <f ca="1">IF(_34445073613[[#This Row],[instance]]&lt;OFFSET(_34445073613[[#This Row],[instance]],-1,0), OFFSET(_34445073613[[#This Row],[model]],-1,0)+1, OFFSET(_34445073613[[#This Row],[model]],-1,0))</f>
        <v>1</v>
      </c>
      <c r="B28">
        <v>3</v>
      </c>
      <c r="C28" s="5">
        <v>6.3773148148148142E-5</v>
      </c>
      <c r="D28">
        <v>7.75</v>
      </c>
      <c r="E28">
        <v>8</v>
      </c>
      <c r="F28">
        <v>3</v>
      </c>
      <c r="G28" s="5">
        <v>2.3148148148148148E-6</v>
      </c>
      <c r="H28" s="5">
        <v>6.9446759259259253E-3</v>
      </c>
      <c r="I28" s="5">
        <v>4.6686342592592587E-3</v>
      </c>
      <c r="J28" s="5">
        <v>2.3148148148148148E-6</v>
      </c>
      <c r="L28"/>
      <c r="M28"/>
      <c r="N28"/>
      <c r="O28"/>
      <c r="P28" s="1"/>
      <c r="R28" s="2">
        <v>2</v>
      </c>
      <c r="S28" cm="1">
        <f t="array" aca="1" ref="S28" ca="1">_xlfn.MAXIFS(COL(bench,"wine"), COL(bench,"model"), $R28, COL(bench,"instance"), INDEX($Q:$Q, ROW()-$R28), COL(bench,"time"),"&lt;="&amp;S$1)</f>
        <v>7.75</v>
      </c>
      <c r="T28" cm="1">
        <f t="array" aca="1" ref="T28" ca="1">_xlfn.MAXIFS(COL(bench,"wine"), COL(bench,"model"), $R28, COL(bench,"instance"), INDEX($Q:$Q, ROW()-$R28), COL(bench,"time"),"&lt;="&amp;T$1)-SUM($S28:S28)</f>
        <v>0</v>
      </c>
      <c r="U28" cm="1">
        <f t="array" aca="1" ref="U28" ca="1">_xlfn.MAXIFS(COL(bench,"wine"), COL(bench,"model"), $R28, COL(bench,"instance"), INDEX($Q:$Q, ROW()-$R28), COL(bench,"time"),"&lt;="&amp;U$1)-SUM($S28:T28)</f>
        <v>0</v>
      </c>
      <c r="V28" cm="1">
        <f t="array" aca="1" ref="V28" ca="1">_xlfn.MAXIFS(COL(bench,"wine"), COL(bench,"model"), $R28, COL(bench,"instance"), INDEX($Q:$Q, ROW()-$R28), COL(bench,"time"),"&lt;="&amp;V$1)-SUM($S28:U28)</f>
        <v>0</v>
      </c>
      <c r="W28" cm="1">
        <f t="array" aca="1" ref="W28" ca="1">_xlfn.MAXIFS(COL(bench,"wine"), COL(bench,"model"), $R28, COL(bench,"instance"), INDEX($Q:$Q, ROW()-$R28), COL(bench,"time"),"&lt;="&amp;W$1)-SUM($S28:V28)</f>
        <v>0</v>
      </c>
      <c r="X28" cm="1">
        <f t="array" ref="X28" xml:space="preserve"> _xlfn.LET(
  _xlpm.idx, _xlfn.XMATCH(1,
      (COL(summary,"model")=$R28)*(COL(summary,"instance")=INDEX($Q:$Q, ROW()-$R28))),
  IFERROR(INDEX(COL(summary,"objective"), _xlpm.idx), #N/A)
)</f>
        <v>7.75</v>
      </c>
    </row>
    <row r="29" spans="1:24" x14ac:dyDescent="0.25">
      <c r="A29">
        <f ca="1">IF(_34445073613[[#This Row],[instance]]&lt;OFFSET(_34445073613[[#This Row],[instance]],-1,0), OFFSET(_34445073613[[#This Row],[model]],-1,0)+1, OFFSET(_34445073613[[#This Row],[model]],-1,0))</f>
        <v>1</v>
      </c>
      <c r="B29">
        <v>3</v>
      </c>
      <c r="C29" s="5">
        <v>6.3888888888888882E-5</v>
      </c>
      <c r="D29">
        <v>7.75</v>
      </c>
      <c r="E29">
        <v>8</v>
      </c>
      <c r="F29">
        <v>2</v>
      </c>
      <c r="G29" s="5">
        <v>2.3148148148148148E-6</v>
      </c>
      <c r="H29" s="5">
        <v>6.9446759259259253E-3</v>
      </c>
      <c r="I29" s="5">
        <v>4.6686342592592587E-3</v>
      </c>
      <c r="J29" s="5">
        <v>2.3148148148148148E-6</v>
      </c>
      <c r="L29"/>
      <c r="M29"/>
      <c r="N29"/>
      <c r="O29"/>
      <c r="P29" s="1"/>
      <c r="R29" s="2">
        <v>3</v>
      </c>
      <c r="S29" cm="1">
        <f t="array" aca="1" ref="S29" ca="1">_xlfn.MAXIFS(COL(bench,"wine"), COL(bench,"model"), $R29, COL(bench,"instance"), INDEX($Q:$Q, ROW()-$R29), COL(bench,"time"),"&lt;="&amp;S$1)</f>
        <v>4.75</v>
      </c>
      <c r="T29" cm="1">
        <f t="array" aca="1" ref="T29" ca="1">_xlfn.MAXIFS(COL(bench,"wine"), COL(bench,"model"), $R29, COL(bench,"instance"), INDEX($Q:$Q, ROW()-$R29), COL(bench,"time"),"&lt;="&amp;T$1)-SUM($S29:S29)</f>
        <v>0</v>
      </c>
      <c r="U29" cm="1">
        <f t="array" aca="1" ref="U29" ca="1">_xlfn.MAXIFS(COL(bench,"wine"), COL(bench,"model"), $R29, COL(bench,"instance"), INDEX($Q:$Q, ROW()-$R29), COL(bench,"time"),"&lt;="&amp;U$1)-SUM($S29:T29)</f>
        <v>0</v>
      </c>
      <c r="V29" cm="1">
        <f t="array" aca="1" ref="V29" ca="1">_xlfn.MAXIFS(COL(bench,"wine"), COL(bench,"model"), $R29, COL(bench,"instance"), INDEX($Q:$Q, ROW()-$R29), COL(bench,"time"),"&lt;="&amp;V$1)-SUM($S29:U29)</f>
        <v>0</v>
      </c>
      <c r="W29" cm="1">
        <f t="array" aca="1" ref="W29" ca="1">_xlfn.MAXIFS(COL(bench,"wine"), COL(bench,"model"), $R29, COL(bench,"instance"), INDEX($Q:$Q, ROW()-$R29), COL(bench,"time"),"&lt;="&amp;W$1)-SUM($S29:V29)</f>
        <v>0</v>
      </c>
      <c r="X29" t="e" cm="1">
        <f t="array" ref="X29" xml:space="preserve"> _xlfn.LET(
  _xlpm.idx, _xlfn.XMATCH(1,
      (COL(summary,"model")=$R29)*(COL(summary,"instance")=INDEX($Q:$Q, ROW()-$R29))),
  IFERROR(INDEX(COL(summary,"objective"), _xlpm.idx), #N/A)
)</f>
        <v>#N/A</v>
      </c>
    </row>
    <row r="30" spans="1:24" x14ac:dyDescent="0.25">
      <c r="A30">
        <f ca="1">IF(_34445073613[[#This Row],[instance]]&lt;OFFSET(_34445073613[[#This Row],[instance]],-1,0), OFFSET(_34445073613[[#This Row],[model]],-1,0)+1, OFFSET(_34445073613[[#This Row],[model]],-1,0))</f>
        <v>1</v>
      </c>
      <c r="B30">
        <v>3</v>
      </c>
      <c r="C30" s="5">
        <v>7.2337962962962959E-5</v>
      </c>
      <c r="D30">
        <v>8.125</v>
      </c>
      <c r="E30">
        <v>9</v>
      </c>
      <c r="F30">
        <v>4</v>
      </c>
      <c r="G30" s="5">
        <v>2.3148148148148148E-6</v>
      </c>
      <c r="H30" s="5">
        <v>6.9446759259259253E-3</v>
      </c>
      <c r="I30" s="5">
        <v>4.6686342592592587E-3</v>
      </c>
      <c r="J30" s="5">
        <v>2.3148148148148148E-6</v>
      </c>
      <c r="L30"/>
      <c r="M30"/>
      <c r="N30"/>
      <c r="O30"/>
      <c r="P30" s="1"/>
      <c r="R30" s="2">
        <v>4</v>
      </c>
      <c r="S30" cm="1">
        <f t="array" aca="1" ref="S30" ca="1">_xlfn.MAXIFS(COL(bench,"wine"), COL(bench,"model"), $R30, COL(bench,"instance"), INDEX($Q:$Q, ROW()-$R30), COL(bench,"time"),"&lt;="&amp;S$1)</f>
        <v>4.875</v>
      </c>
      <c r="T30" cm="1">
        <f t="array" aca="1" ref="T30" ca="1">_xlfn.MAXIFS(COL(bench,"wine"), COL(bench,"model"), $R30, COL(bench,"instance"), INDEX($Q:$Q, ROW()-$R30), COL(bench,"time"),"&lt;="&amp;T$1)-SUM($S30:S30)</f>
        <v>0</v>
      </c>
      <c r="U30" cm="1">
        <f t="array" aca="1" ref="U30" ca="1">_xlfn.MAXIFS(COL(bench,"wine"), COL(bench,"model"), $R30, COL(bench,"instance"), INDEX($Q:$Q, ROW()-$R30), COL(bench,"time"),"&lt;="&amp;U$1)-SUM($S30:T30)</f>
        <v>0</v>
      </c>
      <c r="V30" cm="1">
        <f t="array" aca="1" ref="V30" ca="1">_xlfn.MAXIFS(COL(bench,"wine"), COL(bench,"model"), $R30, COL(bench,"instance"), INDEX($Q:$Q, ROW()-$R30), COL(bench,"time"),"&lt;="&amp;V$1)-SUM($S30:U30)</f>
        <v>0</v>
      </c>
      <c r="W30" cm="1">
        <f t="array" aca="1" ref="W30" ca="1">_xlfn.MAXIFS(COL(bench,"wine"), COL(bench,"model"), $R30, COL(bench,"instance"), INDEX($Q:$Q, ROW()-$R30), COL(bench,"time"),"&lt;="&amp;W$1)-SUM($S30:V30)</f>
        <v>0</v>
      </c>
      <c r="X30" t="e" cm="1">
        <f t="array" ref="X30" xml:space="preserve"> _xlfn.LET(
  _xlpm.idx, _xlfn.XMATCH(1,
      (COL(summary,"model")=$R30)*(COL(summary,"instance")=INDEX($Q:$Q, ROW()-$R30))),
  IFERROR(INDEX(COL(summary,"objective"), _xlpm.idx), #N/A)
)</f>
        <v>#N/A</v>
      </c>
    </row>
    <row r="31" spans="1:24" x14ac:dyDescent="0.25">
      <c r="A31">
        <f ca="1">IF(_34445073613[[#This Row],[instance]]&lt;OFFSET(_34445073613[[#This Row],[instance]],-1,0), OFFSET(_34445073613[[#This Row],[model]],-1,0)+1, OFFSET(_34445073613[[#This Row],[model]],-1,0))</f>
        <v>1</v>
      </c>
      <c r="B31">
        <v>3</v>
      </c>
      <c r="C31" s="5">
        <v>7.2337962962962959E-5</v>
      </c>
      <c r="D31">
        <v>8.25</v>
      </c>
      <c r="E31">
        <v>10</v>
      </c>
      <c r="F31">
        <v>5</v>
      </c>
      <c r="G31" s="5">
        <v>2.3148148148148148E-6</v>
      </c>
      <c r="H31" s="5">
        <v>6.9446759259259253E-3</v>
      </c>
      <c r="I31" s="5">
        <v>4.6686342592592587E-3</v>
      </c>
      <c r="J31" s="5">
        <v>2.3148148148148148E-6</v>
      </c>
      <c r="L31"/>
      <c r="M31"/>
      <c r="N31"/>
      <c r="O31"/>
      <c r="P31" s="1"/>
    </row>
    <row r="32" spans="1:24" x14ac:dyDescent="0.25">
      <c r="A32">
        <f ca="1">IF(_34445073613[[#This Row],[instance]]&lt;OFFSET(_34445073613[[#This Row],[instance]],-1,0), OFFSET(_34445073613[[#This Row],[model]],-1,0)+1, OFFSET(_34445073613[[#This Row],[model]],-1,0))</f>
        <v>1</v>
      </c>
      <c r="B32">
        <v>3</v>
      </c>
      <c r="C32" s="5">
        <v>7.6041666666666667E-5</v>
      </c>
      <c r="D32">
        <v>8.25</v>
      </c>
      <c r="E32">
        <v>10</v>
      </c>
      <c r="F32">
        <v>4</v>
      </c>
      <c r="G32" s="5">
        <v>2.3148148148148148E-6</v>
      </c>
      <c r="H32" s="5">
        <v>6.9446759259259253E-3</v>
      </c>
      <c r="I32" s="5">
        <v>4.6686342592592587E-3</v>
      </c>
      <c r="J32" s="5">
        <v>2.3148148148148148E-6</v>
      </c>
      <c r="L32"/>
      <c r="M32"/>
      <c r="N32"/>
      <c r="O32"/>
      <c r="P32" s="1"/>
      <c r="Q32">
        <v>6</v>
      </c>
    </row>
    <row r="33" spans="1:24" x14ac:dyDescent="0.25">
      <c r="A33">
        <f ca="1">IF(_34445073613[[#This Row],[instance]]&lt;OFFSET(_34445073613[[#This Row],[instance]],-1,0), OFFSET(_34445073613[[#This Row],[model]],-1,0)+1, OFFSET(_34445073613[[#This Row],[model]],-1,0))</f>
        <v>1</v>
      </c>
      <c r="B33">
        <v>3</v>
      </c>
      <c r="C33" s="5">
        <v>7.6041666666666667E-5</v>
      </c>
      <c r="D33">
        <v>8.5</v>
      </c>
      <c r="E33">
        <v>9</v>
      </c>
      <c r="F33">
        <v>3</v>
      </c>
      <c r="G33" s="5">
        <v>2.3148148148148148E-6</v>
      </c>
      <c r="H33" s="5">
        <v>6.9446759259259253E-3</v>
      </c>
      <c r="I33" s="5">
        <v>4.6686342592592587E-3</v>
      </c>
      <c r="J33" s="5">
        <v>2.3148148148148148E-6</v>
      </c>
      <c r="L33"/>
      <c r="M33"/>
      <c r="N33"/>
      <c r="O33"/>
      <c r="P33" s="1"/>
      <c r="R33" s="2">
        <v>1</v>
      </c>
      <c r="S33" cm="1">
        <f t="array" aca="1" ref="S33" ca="1">_xlfn.MAXIFS(COL(bench,"wine"), COL(bench,"model"), $R33, COL(bench,"instance"), INDEX($Q:$Q, ROW()-$R33), COL(bench,"time"),"&lt;="&amp;S$1)</f>
        <v>17.25</v>
      </c>
      <c r="T33" cm="1">
        <f t="array" aca="1" ref="T33" ca="1">_xlfn.MAXIFS(COL(bench,"wine"), COL(bench,"model"), $R33, COL(bench,"instance"), INDEX($Q:$Q, ROW()-$R33), COL(bench,"time"),"&lt;="&amp;T$1)-SUM($S33:S33)</f>
        <v>0.375</v>
      </c>
      <c r="U33" cm="1">
        <f t="array" aca="1" ref="U33" ca="1">_xlfn.MAXIFS(COL(bench,"wine"), COL(bench,"model"), $R33, COL(bench,"instance"), INDEX($Q:$Q, ROW()-$R33), COL(bench,"time"),"&lt;="&amp;U$1)-SUM($S33:T33)</f>
        <v>0</v>
      </c>
      <c r="V33" cm="1">
        <f t="array" aca="1" ref="V33" ca="1">_xlfn.MAXIFS(COL(bench,"wine"), COL(bench,"model"), $R33, COL(bench,"instance"), INDEX($Q:$Q, ROW()-$R33), COL(bench,"time"),"&lt;="&amp;V$1)-SUM($S33:U33)</f>
        <v>0</v>
      </c>
      <c r="W33" cm="1">
        <f t="array" aca="1" ref="W33" ca="1">_xlfn.MAXIFS(COL(bench,"wine"), COL(bench,"model"), $R33, COL(bench,"instance"), INDEX($Q:$Q, ROW()-$R33), COL(bench,"time"),"&lt;="&amp;W$1)-SUM($S33:V33)</f>
        <v>0</v>
      </c>
      <c r="X33" t="e" cm="1">
        <f t="array" ref="X33" xml:space="preserve"> _xlfn.LET(
  _xlpm.idx, _xlfn.XMATCH(1,
      (COL(summary,"model")=$R33)*(COL(summary,"instance")=INDEX($Q:$Q, ROW()-$R33))),
  IFERROR(INDEX(COL(summary,"objective"), _xlpm.idx), #N/A)
)</f>
        <v>#N/A</v>
      </c>
    </row>
    <row r="34" spans="1:24" x14ac:dyDescent="0.25">
      <c r="A34">
        <f ca="1">IF(_34445073613[[#This Row],[instance]]&lt;OFFSET(_34445073613[[#This Row],[instance]],-1,0), OFFSET(_34445073613[[#This Row],[model]],-1,0)+1, OFFSET(_34445073613[[#This Row],[model]],-1,0))</f>
        <v>1</v>
      </c>
      <c r="B34">
        <v>3</v>
      </c>
      <c r="C34" s="5">
        <v>1.0972222222222222E-4</v>
      </c>
      <c r="D34">
        <v>8.875</v>
      </c>
      <c r="E34">
        <v>10</v>
      </c>
      <c r="F34">
        <v>3</v>
      </c>
      <c r="G34" s="5">
        <v>2.3148148148148148E-6</v>
      </c>
      <c r="H34" s="5">
        <v>6.9446759259259253E-3</v>
      </c>
      <c r="I34" s="5">
        <v>4.6686342592592587E-3</v>
      </c>
      <c r="J34" s="5">
        <v>2.3148148148148148E-6</v>
      </c>
      <c r="L34"/>
      <c r="M34"/>
      <c r="N34"/>
      <c r="O34"/>
      <c r="P34" s="1"/>
      <c r="R34" s="2">
        <v>2</v>
      </c>
      <c r="S34" cm="1">
        <f t="array" aca="1" ref="S34" ca="1">_xlfn.MAXIFS(COL(bench,"wine"), COL(bench,"model"), $R34, COL(bench,"instance"), INDEX($Q:$Q, ROW()-$R34), COL(bench,"time"),"&lt;="&amp;S$1)</f>
        <v>16.5</v>
      </c>
      <c r="T34" cm="1">
        <f t="array" aca="1" ref="T34" ca="1">_xlfn.MAXIFS(COL(bench,"wine"), COL(bench,"model"), $R34, COL(bench,"instance"), INDEX($Q:$Q, ROW()-$R34), COL(bench,"time"),"&lt;="&amp;T$1)-SUM($S34:S34)</f>
        <v>0</v>
      </c>
      <c r="U34" cm="1">
        <f t="array" aca="1" ref="U34" ca="1">_xlfn.MAXIFS(COL(bench,"wine"), COL(bench,"model"), $R34, COL(bench,"instance"), INDEX($Q:$Q, ROW()-$R34), COL(bench,"time"),"&lt;="&amp;U$1)-SUM($S34:T34)</f>
        <v>0</v>
      </c>
      <c r="V34" cm="1">
        <f t="array" aca="1" ref="V34" ca="1">_xlfn.MAXIFS(COL(bench,"wine"), COL(bench,"model"), $R34, COL(bench,"instance"), INDEX($Q:$Q, ROW()-$R34), COL(bench,"time"),"&lt;="&amp;V$1)-SUM($S34:U34)</f>
        <v>1.125</v>
      </c>
      <c r="W34" cm="1">
        <f t="array" aca="1" ref="W34" ca="1">_xlfn.MAXIFS(COL(bench,"wine"), COL(bench,"model"), $R34, COL(bench,"instance"), INDEX($Q:$Q, ROW()-$R34), COL(bench,"time"),"&lt;="&amp;W$1)-SUM($S34:V34)</f>
        <v>0</v>
      </c>
      <c r="X34" cm="1">
        <f t="array" ref="X34" xml:space="preserve"> _xlfn.LET(
  _xlpm.idx, _xlfn.XMATCH(1,
      (COL(summary,"model")=$R34)*(COL(summary,"instance")=INDEX($Q:$Q, ROW()-$R34))),
  IFERROR(INDEX(COL(summary,"objective"), _xlpm.idx), #N/A)
)</f>
        <v>17.625</v>
      </c>
    </row>
    <row r="35" spans="1:24" x14ac:dyDescent="0.25">
      <c r="A35">
        <f ca="1">IF(_34445073613[[#This Row],[instance]]&lt;OFFSET(_34445073613[[#This Row],[instance]],-1,0), OFFSET(_34445073613[[#This Row],[model]],-1,0)+1, OFFSET(_34445073613[[#This Row],[model]],-1,0))</f>
        <v>1</v>
      </c>
      <c r="B35">
        <v>3</v>
      </c>
      <c r="C35" s="5">
        <v>1.0972222222222222E-4</v>
      </c>
      <c r="D35">
        <v>9.25</v>
      </c>
      <c r="E35">
        <v>11</v>
      </c>
      <c r="F35">
        <v>4</v>
      </c>
      <c r="G35" s="5">
        <v>2.3148148148148148E-6</v>
      </c>
      <c r="H35" s="5">
        <v>6.9446759259259253E-3</v>
      </c>
      <c r="I35" s="5">
        <v>4.6686342592592587E-3</v>
      </c>
      <c r="J35" s="5">
        <v>2.3148148148148148E-6</v>
      </c>
      <c r="L35"/>
      <c r="M35"/>
      <c r="N35"/>
      <c r="O35"/>
      <c r="P35" s="1"/>
      <c r="R35" s="2">
        <v>3</v>
      </c>
      <c r="S35" cm="1">
        <f t="array" aca="1" ref="S35" ca="1">_xlfn.MAXIFS(COL(bench,"wine"), COL(bench,"model"), $R35, COL(bench,"instance"), INDEX($Q:$Q, ROW()-$R35), COL(bench,"time"),"&lt;="&amp;S$1)</f>
        <v>4.5</v>
      </c>
      <c r="T35" cm="1">
        <f t="array" aca="1" ref="T35" ca="1">_xlfn.MAXIFS(COL(bench,"wine"), COL(bench,"model"), $R35, COL(bench,"instance"), INDEX($Q:$Q, ROW()-$R35), COL(bench,"time"),"&lt;="&amp;T$1)-SUM($S35:S35)</f>
        <v>0</v>
      </c>
      <c r="U35" cm="1">
        <f t="array" aca="1" ref="U35" ca="1">_xlfn.MAXIFS(COL(bench,"wine"), COL(bench,"model"), $R35, COL(bench,"instance"), INDEX($Q:$Q, ROW()-$R35), COL(bench,"time"),"&lt;="&amp;U$1)-SUM($S35:T35)</f>
        <v>0</v>
      </c>
      <c r="V35" cm="1">
        <f t="array" aca="1" ref="V35" ca="1">_xlfn.MAXIFS(COL(bench,"wine"), COL(bench,"model"), $R35, COL(bench,"instance"), INDEX($Q:$Q, ROW()-$R35), COL(bench,"time"),"&lt;="&amp;V$1)-SUM($S35:U35)</f>
        <v>0</v>
      </c>
      <c r="W35" cm="1">
        <f t="array" aca="1" ref="W35" ca="1">_xlfn.MAXIFS(COL(bench,"wine"), COL(bench,"model"), $R35, COL(bench,"instance"), INDEX($Q:$Q, ROW()-$R35), COL(bench,"time"),"&lt;="&amp;W$1)-SUM($S35:V35)</f>
        <v>0</v>
      </c>
      <c r="X35" t="e" cm="1">
        <f t="array" ref="X35" xml:space="preserve"> _xlfn.LET(
  _xlpm.idx, _xlfn.XMATCH(1,
      (COL(summary,"model")=$R35)*(COL(summary,"instance")=INDEX($Q:$Q, ROW()-$R35))),
  IFERROR(INDEX(COL(summary,"objective"), _xlpm.idx), #N/A)
)</f>
        <v>#N/A</v>
      </c>
    </row>
    <row r="36" spans="1:24" x14ac:dyDescent="0.25">
      <c r="A36">
        <f ca="1">IF(_34445073613[[#This Row],[instance]]&lt;OFFSET(_34445073613[[#This Row],[instance]],-1,0), OFFSET(_34445073613[[#This Row],[model]],-1,0)+1, OFFSET(_34445073613[[#This Row],[model]],-1,0))</f>
        <v>1</v>
      </c>
      <c r="B36">
        <v>3</v>
      </c>
      <c r="C36" s="5">
        <v>1.111111111111111E-4</v>
      </c>
      <c r="D36">
        <v>9.25</v>
      </c>
      <c r="E36">
        <v>11</v>
      </c>
      <c r="F36">
        <v>3</v>
      </c>
      <c r="G36" s="5">
        <v>2.3148148148148148E-6</v>
      </c>
      <c r="H36" s="5">
        <v>6.9446759259259253E-3</v>
      </c>
      <c r="I36" s="5">
        <v>4.6686342592592587E-3</v>
      </c>
      <c r="J36" s="5">
        <v>2.3148148148148148E-6</v>
      </c>
      <c r="L36"/>
      <c r="M36"/>
      <c r="N36"/>
      <c r="O36"/>
      <c r="P36" s="1"/>
      <c r="R36" s="2">
        <v>4</v>
      </c>
      <c r="S36" cm="1">
        <f t="array" aca="1" ref="S36" ca="1">_xlfn.MAXIFS(COL(bench,"wine"), COL(bench,"model"), $R36, COL(bench,"instance"), INDEX($Q:$Q, ROW()-$R36), COL(bench,"time"),"&lt;="&amp;S$1)</f>
        <v>3.375</v>
      </c>
      <c r="T36" cm="1">
        <f t="array" aca="1" ref="T36" ca="1">_xlfn.MAXIFS(COL(bench,"wine"), COL(bench,"model"), $R36, COL(bench,"instance"), INDEX($Q:$Q, ROW()-$R36), COL(bench,"time"),"&lt;="&amp;T$1)-SUM($S36:S36)</f>
        <v>1.125</v>
      </c>
      <c r="U36" cm="1">
        <f t="array" aca="1" ref="U36" ca="1">_xlfn.MAXIFS(COL(bench,"wine"), COL(bench,"model"), $R36, COL(bench,"instance"), INDEX($Q:$Q, ROW()-$R36), COL(bench,"time"),"&lt;="&amp;U$1)-SUM($S36:T36)</f>
        <v>0.375</v>
      </c>
      <c r="V36" cm="1">
        <f t="array" aca="1" ref="V36" ca="1">_xlfn.MAXIFS(COL(bench,"wine"), COL(bench,"model"), $R36, COL(bench,"instance"), INDEX($Q:$Q, ROW()-$R36), COL(bench,"time"),"&lt;="&amp;V$1)-SUM($S36:U36)</f>
        <v>0</v>
      </c>
      <c r="W36" cm="1">
        <f t="array" aca="1" ref="W36" ca="1">_xlfn.MAXIFS(COL(bench,"wine"), COL(bench,"model"), $R36, COL(bench,"instance"), INDEX($Q:$Q, ROW()-$R36), COL(bench,"time"),"&lt;="&amp;W$1)-SUM($S36:V36)</f>
        <v>0</v>
      </c>
      <c r="X36" t="e" cm="1">
        <f t="array" ref="X36" xml:space="preserve"> _xlfn.LET(
  _xlpm.idx, _xlfn.XMATCH(1,
      (COL(summary,"model")=$R36)*(COL(summary,"instance")=INDEX($Q:$Q, ROW()-$R36))),
  IFERROR(INDEX(COL(summary,"objective"), _xlpm.idx), #N/A)
)</f>
        <v>#N/A</v>
      </c>
    </row>
    <row r="37" spans="1:24" x14ac:dyDescent="0.25">
      <c r="A37">
        <f ca="1">IF(_34445073613[[#This Row],[instance]]&lt;OFFSET(_34445073613[[#This Row],[instance]],-1,0), OFFSET(_34445073613[[#This Row],[model]],-1,0)+1, OFFSET(_34445073613[[#This Row],[model]],-1,0))</f>
        <v>1</v>
      </c>
      <c r="B37">
        <v>4</v>
      </c>
      <c r="C37" s="5">
        <v>5.9027777777777776E-6</v>
      </c>
      <c r="D37">
        <v>0</v>
      </c>
      <c r="E37">
        <v>0</v>
      </c>
      <c r="F37">
        <v>0</v>
      </c>
      <c r="G37" s="5">
        <v>2.3148148148148148E-6</v>
      </c>
      <c r="H37" s="5">
        <v>6.9446759259259253E-3</v>
      </c>
      <c r="I37" s="5">
        <v>4.6686342592592587E-3</v>
      </c>
      <c r="J37" s="5">
        <v>2.3148148148148148E-6</v>
      </c>
      <c r="L37"/>
      <c r="M37"/>
      <c r="N37"/>
      <c r="O37"/>
      <c r="P37" s="1"/>
    </row>
    <row r="38" spans="1:24" x14ac:dyDescent="0.25">
      <c r="A38">
        <f ca="1">IF(_34445073613[[#This Row],[instance]]&lt;OFFSET(_34445073613[[#This Row],[instance]],-1,0), OFFSET(_34445073613[[#This Row],[model]],-1,0)+1, OFFSET(_34445073613[[#This Row],[model]],-1,0))</f>
        <v>1</v>
      </c>
      <c r="B38">
        <v>4</v>
      </c>
      <c r="C38" s="5">
        <v>2.3032407407407407E-5</v>
      </c>
      <c r="D38">
        <v>3</v>
      </c>
      <c r="E38">
        <v>4</v>
      </c>
      <c r="F38">
        <v>1</v>
      </c>
      <c r="G38" s="5">
        <v>2.3148148148148148E-6</v>
      </c>
      <c r="H38" s="5">
        <v>6.9446759259259253E-3</v>
      </c>
      <c r="I38" s="5">
        <v>4.6686342592592587E-3</v>
      </c>
      <c r="J38" s="5">
        <v>2.3148148148148148E-6</v>
      </c>
      <c r="L38"/>
      <c r="M38"/>
      <c r="N38"/>
      <c r="O38"/>
      <c r="P38" s="1"/>
      <c r="Q38">
        <v>7</v>
      </c>
    </row>
    <row r="39" spans="1:24" x14ac:dyDescent="0.25">
      <c r="A39">
        <f ca="1">IF(_34445073613[[#This Row],[instance]]&lt;OFFSET(_34445073613[[#This Row],[instance]],-1,0), OFFSET(_34445073613[[#This Row],[model]],-1,0)+1, OFFSET(_34445073613[[#This Row],[model]],-1,0))</f>
        <v>1</v>
      </c>
      <c r="B39">
        <v>5</v>
      </c>
      <c r="C39" s="5">
        <v>5.7870370370370367E-6</v>
      </c>
      <c r="D39">
        <v>0</v>
      </c>
      <c r="E39">
        <v>0</v>
      </c>
      <c r="F39">
        <v>0</v>
      </c>
      <c r="G39" s="5">
        <v>2.3148148148148148E-6</v>
      </c>
      <c r="H39" s="5">
        <v>3.0092592592592593E-6</v>
      </c>
      <c r="I39" s="5">
        <v>4.6686342592592587E-3</v>
      </c>
      <c r="J39" s="5">
        <v>2.3148148148148148E-6</v>
      </c>
      <c r="L39"/>
      <c r="M39"/>
      <c r="N39"/>
      <c r="O39"/>
      <c r="P39" s="1"/>
      <c r="R39" s="2">
        <v>1</v>
      </c>
      <c r="S39" cm="1">
        <f t="array" aca="1" ref="S39" ca="1">_xlfn.MAXIFS(COL(bench,"wine"), COL(bench,"model"), $R39, COL(bench,"instance"), INDEX($Q:$Q, ROW()-$R39), COL(bench,"time"),"&lt;="&amp;S$1)</f>
        <v>12</v>
      </c>
      <c r="T39" cm="1">
        <f t="array" aca="1" ref="T39" ca="1">_xlfn.MAXIFS(COL(bench,"wine"), COL(bench,"model"), $R39, COL(bench,"instance"), INDEX($Q:$Q, ROW()-$R39), COL(bench,"time"),"&lt;="&amp;T$1)-SUM($S39:S39)</f>
        <v>0</v>
      </c>
      <c r="U39" cm="1">
        <f t="array" aca="1" ref="U39" ca="1">_xlfn.MAXIFS(COL(bench,"wine"), COL(bench,"model"), $R39, COL(bench,"instance"), INDEX($Q:$Q, ROW()-$R39), COL(bench,"time"),"&lt;="&amp;U$1)-SUM($S39:T39)</f>
        <v>0</v>
      </c>
      <c r="V39" cm="1">
        <f t="array" aca="1" ref="V39" ca="1">_xlfn.MAXIFS(COL(bench,"wine"), COL(bench,"model"), $R39, COL(bench,"instance"), INDEX($Q:$Q, ROW()-$R39), COL(bench,"time"),"&lt;="&amp;V$1)-SUM($S39:U39)</f>
        <v>0</v>
      </c>
      <c r="W39" cm="1">
        <f t="array" aca="1" ref="W39" ca="1">_xlfn.MAXIFS(COL(bench,"wine"), COL(bench,"model"), $R39, COL(bench,"instance"), INDEX($Q:$Q, ROW()-$R39), COL(bench,"time"),"&lt;="&amp;W$1)-SUM($S39:V39)</f>
        <v>0</v>
      </c>
      <c r="X39" t="e" cm="1">
        <f t="array" ref="X39" xml:space="preserve"> _xlfn.LET(
  _xlpm.idx, _xlfn.XMATCH(1,
      (COL(summary,"model")=$R39)*(COL(summary,"instance")=INDEX($Q:$Q, ROW()-$R39))),
  IFERROR(INDEX(COL(summary,"objective"), _xlpm.idx), #N/A)
)</f>
        <v>#N/A</v>
      </c>
    </row>
    <row r="40" spans="1:24" x14ac:dyDescent="0.25">
      <c r="A40">
        <f ca="1">IF(_34445073613[[#This Row],[instance]]&lt;OFFSET(_34445073613[[#This Row],[instance]],-1,0), OFFSET(_34445073613[[#This Row],[model]],-1,0)+1, OFFSET(_34445073613[[#This Row],[model]],-1,0))</f>
        <v>1</v>
      </c>
      <c r="B40">
        <v>5</v>
      </c>
      <c r="C40" s="5">
        <v>5.7870370370370367E-6</v>
      </c>
      <c r="D40">
        <v>1.5</v>
      </c>
      <c r="E40">
        <v>1</v>
      </c>
      <c r="F40">
        <v>1</v>
      </c>
      <c r="G40" s="5">
        <v>2.3148148148148148E-6</v>
      </c>
      <c r="H40" s="5">
        <v>3.0092592592592593E-6</v>
      </c>
      <c r="I40" s="5">
        <v>4.6686342592592587E-3</v>
      </c>
      <c r="J40" s="5">
        <v>2.3148148148148148E-6</v>
      </c>
      <c r="L40"/>
      <c r="M40"/>
      <c r="N40"/>
      <c r="O40"/>
      <c r="P40" s="1"/>
      <c r="R40" s="2">
        <v>2</v>
      </c>
      <c r="S40" cm="1">
        <f t="array" aca="1" ref="S40" ca="1">_xlfn.MAXIFS(COL(bench,"wine"), COL(bench,"model"), $R40, COL(bench,"instance"), INDEX($Q:$Q, ROW()-$R40), COL(bench,"time"),"&lt;="&amp;S$1)</f>
        <v>12</v>
      </c>
      <c r="T40" cm="1">
        <f t="array" aca="1" ref="T40" ca="1">_xlfn.MAXIFS(COL(bench,"wine"), COL(bench,"model"), $R40, COL(bench,"instance"), INDEX($Q:$Q, ROW()-$R40), COL(bench,"time"),"&lt;="&amp;T$1)-SUM($S40:S40)</f>
        <v>0</v>
      </c>
      <c r="U40" cm="1">
        <f t="array" aca="1" ref="U40" ca="1">_xlfn.MAXIFS(COL(bench,"wine"), COL(bench,"model"), $R40, COL(bench,"instance"), INDEX($Q:$Q, ROW()-$R40), COL(bench,"time"),"&lt;="&amp;U$1)-SUM($S40:T40)</f>
        <v>0</v>
      </c>
      <c r="V40" cm="1">
        <f t="array" aca="1" ref="V40" ca="1">_xlfn.MAXIFS(COL(bench,"wine"), COL(bench,"model"), $R40, COL(bench,"instance"), INDEX($Q:$Q, ROW()-$R40), COL(bench,"time"),"&lt;="&amp;V$1)-SUM($S40:U40)</f>
        <v>0</v>
      </c>
      <c r="W40" cm="1">
        <f t="array" aca="1" ref="W40" ca="1">_xlfn.MAXIFS(COL(bench,"wine"), COL(bench,"model"), $R40, COL(bench,"instance"), INDEX($Q:$Q, ROW()-$R40), COL(bench,"time"),"&lt;="&amp;W$1)-SUM($S40:V40)</f>
        <v>0</v>
      </c>
      <c r="X40" t="e" cm="1">
        <f t="array" ref="X40" xml:space="preserve"> _xlfn.LET(
  _xlpm.idx, _xlfn.XMATCH(1,
      (COL(summary,"model")=$R40)*(COL(summary,"instance")=INDEX($Q:$Q, ROW()-$R40))),
  IFERROR(INDEX(COL(summary,"objective"), _xlpm.idx), #N/A)
)</f>
        <v>#N/A</v>
      </c>
    </row>
    <row r="41" spans="1:24" x14ac:dyDescent="0.25">
      <c r="A41">
        <f ca="1">IF(_34445073613[[#This Row],[instance]]&lt;OFFSET(_34445073613[[#This Row],[instance]],-1,0), OFFSET(_34445073613[[#This Row],[model]],-1,0)+1, OFFSET(_34445073613[[#This Row],[model]],-1,0))</f>
        <v>1</v>
      </c>
      <c r="B41">
        <v>5</v>
      </c>
      <c r="C41" s="5">
        <v>5.7870370370370367E-6</v>
      </c>
      <c r="D41">
        <v>3</v>
      </c>
      <c r="E41">
        <v>2</v>
      </c>
      <c r="F41">
        <v>1</v>
      </c>
      <c r="G41" s="5">
        <v>2.3148148148148148E-6</v>
      </c>
      <c r="H41" s="5">
        <v>3.0092592592592593E-6</v>
      </c>
      <c r="I41" s="5">
        <v>4.6686342592592587E-3</v>
      </c>
      <c r="J41" s="5">
        <v>2.3148148148148148E-6</v>
      </c>
      <c r="L41"/>
      <c r="M41"/>
      <c r="N41"/>
      <c r="O41"/>
      <c r="P41" s="1"/>
      <c r="R41" s="2">
        <v>3</v>
      </c>
      <c r="S41" cm="1">
        <f t="array" aca="1" ref="S41" ca="1">_xlfn.MAXIFS(COL(bench,"wine"), COL(bench,"model"), $R41, COL(bench,"instance"), INDEX($Q:$Q, ROW()-$R41), COL(bench,"time"),"&lt;="&amp;S$1)</f>
        <v>3</v>
      </c>
      <c r="T41" cm="1">
        <f t="array" aca="1" ref="T41" ca="1">_xlfn.MAXIFS(COL(bench,"wine"), COL(bench,"model"), $R41, COL(bench,"instance"), INDEX($Q:$Q, ROW()-$R41), COL(bench,"time"),"&lt;="&amp;T$1)-SUM($S41:S41)</f>
        <v>0</v>
      </c>
      <c r="U41" cm="1">
        <f t="array" aca="1" ref="U41" ca="1">_xlfn.MAXIFS(COL(bench,"wine"), COL(bench,"model"), $R41, COL(bench,"instance"), INDEX($Q:$Q, ROW()-$R41), COL(bench,"time"),"&lt;="&amp;U$1)-SUM($S41:T41)</f>
        <v>0</v>
      </c>
      <c r="V41" cm="1">
        <f t="array" aca="1" ref="V41" ca="1">_xlfn.MAXIFS(COL(bench,"wine"), COL(bench,"model"), $R41, COL(bench,"instance"), INDEX($Q:$Q, ROW()-$R41), COL(bench,"time"),"&lt;="&amp;V$1)-SUM($S41:U41)</f>
        <v>0</v>
      </c>
      <c r="W41" cm="1">
        <f t="array" aca="1" ref="W41" ca="1">_xlfn.MAXIFS(COL(bench,"wine"), COL(bench,"model"), $R41, COL(bench,"instance"), INDEX($Q:$Q, ROW()-$R41), COL(bench,"time"),"&lt;="&amp;W$1)-SUM($S41:V41)</f>
        <v>0</v>
      </c>
      <c r="X41" t="e" cm="1">
        <f t="array" ref="X41" xml:space="preserve"> _xlfn.LET(
  _xlpm.idx, _xlfn.XMATCH(1,
      (COL(summary,"model")=$R41)*(COL(summary,"instance")=INDEX($Q:$Q, ROW()-$R41))),
  IFERROR(INDEX(COL(summary,"objective"), _xlpm.idx), #N/A)
)</f>
        <v>#N/A</v>
      </c>
    </row>
    <row r="42" spans="1:24" x14ac:dyDescent="0.25">
      <c r="A42">
        <f ca="1">IF(_34445073613[[#This Row],[instance]]&lt;OFFSET(_34445073613[[#This Row],[instance]],-1,0), OFFSET(_34445073613[[#This Row],[model]],-1,0)+1, OFFSET(_34445073613[[#This Row],[model]],-1,0))</f>
        <v>1</v>
      </c>
      <c r="B42">
        <v>5</v>
      </c>
      <c r="C42" s="5">
        <v>5.7870370370370367E-6</v>
      </c>
      <c r="D42">
        <v>4.5</v>
      </c>
      <c r="E42">
        <v>3</v>
      </c>
      <c r="F42">
        <v>2</v>
      </c>
      <c r="G42" s="5">
        <v>2.3148148148148148E-6</v>
      </c>
      <c r="H42" s="5">
        <v>3.0092592592592593E-6</v>
      </c>
      <c r="I42" s="5">
        <v>4.6686342592592587E-3</v>
      </c>
      <c r="J42" s="5">
        <v>2.3148148148148148E-6</v>
      </c>
      <c r="L42"/>
      <c r="M42"/>
      <c r="N42"/>
      <c r="O42"/>
      <c r="P42" s="1"/>
      <c r="R42" s="2">
        <v>4</v>
      </c>
      <c r="S42" cm="1">
        <f t="array" aca="1" ref="S42" ca="1">_xlfn.MAXIFS(COL(bench,"wine"), COL(bench,"model"), $R42, COL(bench,"instance"), INDEX($Q:$Q, ROW()-$R42), COL(bench,"time"),"&lt;="&amp;S$1)</f>
        <v>0</v>
      </c>
      <c r="T42" cm="1">
        <f t="array" aca="1" ref="T42" ca="1">_xlfn.MAXIFS(COL(bench,"wine"), COL(bench,"model"), $R42, COL(bench,"instance"), INDEX($Q:$Q, ROW()-$R42), COL(bench,"time"),"&lt;="&amp;T$1)-SUM($S42:S42)</f>
        <v>0</v>
      </c>
      <c r="U42" cm="1">
        <f t="array" aca="1" ref="U42" ca="1">_xlfn.MAXIFS(COL(bench,"wine"), COL(bench,"model"), $R42, COL(bench,"instance"), INDEX($Q:$Q, ROW()-$R42), COL(bench,"time"),"&lt;="&amp;U$1)-SUM($S42:T42)</f>
        <v>0</v>
      </c>
      <c r="V42" cm="1">
        <f t="array" aca="1" ref="V42" ca="1">_xlfn.MAXIFS(COL(bench,"wine"), COL(bench,"model"), $R42, COL(bench,"instance"), INDEX($Q:$Q, ROW()-$R42), COL(bench,"time"),"&lt;="&amp;V$1)-SUM($S42:U42)</f>
        <v>0</v>
      </c>
      <c r="W42" cm="1">
        <f t="array" aca="1" ref="W42" ca="1">_xlfn.MAXIFS(COL(bench,"wine"), COL(bench,"model"), $R42, COL(bench,"instance"), INDEX($Q:$Q, ROW()-$R42), COL(bench,"time"),"&lt;="&amp;W$1)-SUM($S42:V42)</f>
        <v>3</v>
      </c>
      <c r="X42" t="e" cm="1">
        <f t="array" ref="X42" xml:space="preserve"> _xlfn.LET(
  _xlpm.idx, _xlfn.XMATCH(1,
      (COL(summary,"model")=$R42)*(COL(summary,"instance")=INDEX($Q:$Q, ROW()-$R42))),
  IFERROR(INDEX(COL(summary,"objective"), _xlpm.idx), #N/A)
)</f>
        <v>#N/A</v>
      </c>
    </row>
    <row r="43" spans="1:24" x14ac:dyDescent="0.25">
      <c r="A43">
        <f ca="1">IF(_34445073613[[#This Row],[instance]]&lt;OFFSET(_34445073613[[#This Row],[instance]],-1,0), OFFSET(_34445073613[[#This Row],[model]],-1,0)+1, OFFSET(_34445073613[[#This Row],[model]],-1,0))</f>
        <v>1</v>
      </c>
      <c r="B43">
        <v>5</v>
      </c>
      <c r="C43" s="5">
        <v>5.9027777777777776E-6</v>
      </c>
      <c r="D43">
        <v>5.5</v>
      </c>
      <c r="E43">
        <v>4</v>
      </c>
      <c r="F43">
        <v>2</v>
      </c>
      <c r="G43" s="5">
        <v>2.3148148148148148E-6</v>
      </c>
      <c r="H43" s="5">
        <v>3.0092592592592593E-6</v>
      </c>
      <c r="I43" s="5">
        <v>4.6686342592592587E-3</v>
      </c>
      <c r="J43" s="5">
        <v>2.3148148148148148E-6</v>
      </c>
      <c r="L43"/>
      <c r="M43"/>
      <c r="N43"/>
      <c r="O43"/>
      <c r="P43" s="1"/>
    </row>
    <row r="44" spans="1:24" x14ac:dyDescent="0.25">
      <c r="A44">
        <f ca="1">IF(_34445073613[[#This Row],[instance]]&lt;OFFSET(_34445073613[[#This Row],[instance]],-1,0), OFFSET(_34445073613[[#This Row],[model]],-1,0)+1, OFFSET(_34445073613[[#This Row],[model]],-1,0))</f>
        <v>1</v>
      </c>
      <c r="B44">
        <v>5</v>
      </c>
      <c r="C44" s="5">
        <v>5.9027777777777776E-6</v>
      </c>
      <c r="D44">
        <v>6</v>
      </c>
      <c r="E44">
        <v>4</v>
      </c>
      <c r="F44">
        <v>2</v>
      </c>
      <c r="G44" s="5">
        <v>2.3148148148148148E-6</v>
      </c>
      <c r="H44" s="5">
        <v>3.0092592592592593E-6</v>
      </c>
      <c r="I44" s="5">
        <v>4.6686342592592587E-3</v>
      </c>
      <c r="J44" s="5">
        <v>2.3148148148148148E-6</v>
      </c>
      <c r="L44"/>
      <c r="M44"/>
      <c r="N44"/>
      <c r="O44"/>
      <c r="P44" s="1"/>
      <c r="Q44">
        <v>8</v>
      </c>
    </row>
    <row r="45" spans="1:24" x14ac:dyDescent="0.25">
      <c r="A45">
        <f ca="1">IF(_34445073613[[#This Row],[instance]]&lt;OFFSET(_34445073613[[#This Row],[instance]],-1,0), OFFSET(_34445073613[[#This Row],[model]],-1,0)+1, OFFSET(_34445073613[[#This Row],[model]],-1,0))</f>
        <v>1</v>
      </c>
      <c r="B45">
        <v>5</v>
      </c>
      <c r="C45" s="5">
        <v>5.9027777777777776E-6</v>
      </c>
      <c r="D45">
        <v>7</v>
      </c>
      <c r="E45">
        <v>5</v>
      </c>
      <c r="F45">
        <v>2</v>
      </c>
      <c r="G45" s="5">
        <v>2.3148148148148148E-6</v>
      </c>
      <c r="H45" s="5">
        <v>3.0092592592592593E-6</v>
      </c>
      <c r="I45" s="5">
        <v>4.6686342592592587E-3</v>
      </c>
      <c r="J45" s="5">
        <v>2.3148148148148148E-6</v>
      </c>
      <c r="L45"/>
      <c r="M45"/>
      <c r="N45"/>
      <c r="O45"/>
      <c r="P45" s="1"/>
      <c r="R45" s="2">
        <v>1</v>
      </c>
      <c r="S45" cm="1">
        <f t="array" aca="1" ref="S45" ca="1">_xlfn.MAXIFS(COL(bench,"wine"), COL(bench,"model"), $R45, COL(bench,"instance"), INDEX($Q:$Q, ROW()-$R45), COL(bench,"time"),"&lt;="&amp;S$1)</f>
        <v>19</v>
      </c>
      <c r="T45" cm="1">
        <f t="array" aca="1" ref="T45" ca="1">_xlfn.MAXIFS(COL(bench,"wine"), COL(bench,"model"), $R45, COL(bench,"instance"), INDEX($Q:$Q, ROW()-$R45), COL(bench,"time"),"&lt;="&amp;T$1)-SUM($S45:S45)</f>
        <v>0</v>
      </c>
      <c r="U45" cm="1">
        <f t="array" aca="1" ref="U45" ca="1">_xlfn.MAXIFS(COL(bench,"wine"), COL(bench,"model"), $R45, COL(bench,"instance"), INDEX($Q:$Q, ROW()-$R45), COL(bench,"time"),"&lt;="&amp;U$1)-SUM($S45:T45)</f>
        <v>0</v>
      </c>
      <c r="V45" cm="1">
        <f t="array" aca="1" ref="V45" ca="1">_xlfn.MAXIFS(COL(bench,"wine"), COL(bench,"model"), $R45, COL(bench,"instance"), INDEX($Q:$Q, ROW()-$R45), COL(bench,"time"),"&lt;="&amp;V$1)-SUM($S45:U45)</f>
        <v>1.5</v>
      </c>
      <c r="W45" cm="1">
        <f t="array" aca="1" ref="W45" ca="1">_xlfn.MAXIFS(COL(bench,"wine"), COL(bench,"model"), $R45, COL(bench,"instance"), INDEX($Q:$Q, ROW()-$R45), COL(bench,"time"),"&lt;="&amp;W$1)-SUM($S45:V45)</f>
        <v>0</v>
      </c>
      <c r="X45" t="e" cm="1">
        <f t="array" ref="X45" xml:space="preserve"> _xlfn.LET(
  _xlpm.idx, _xlfn.XMATCH(1,
      (COL(summary,"model")=$R45)*(COL(summary,"instance")=INDEX($Q:$Q, ROW()-$R45))),
  IFERROR(INDEX(COL(summary,"objective"), _xlpm.idx), #N/A)
)</f>
        <v>#N/A</v>
      </c>
    </row>
    <row r="46" spans="1:24" x14ac:dyDescent="0.25">
      <c r="A46">
        <f ca="1">IF(_34445073613[[#This Row],[instance]]&lt;OFFSET(_34445073613[[#This Row],[instance]],-1,0), OFFSET(_34445073613[[#This Row],[model]],-1,0)+1, OFFSET(_34445073613[[#This Row],[model]],-1,0))</f>
        <v>1</v>
      </c>
      <c r="B46">
        <v>5</v>
      </c>
      <c r="C46" s="5">
        <v>6.0185185185185185E-6</v>
      </c>
      <c r="D46">
        <v>7.375</v>
      </c>
      <c r="E46">
        <v>6</v>
      </c>
      <c r="F46">
        <v>2</v>
      </c>
      <c r="G46" s="5">
        <v>2.3148148148148148E-6</v>
      </c>
      <c r="H46" s="5">
        <v>3.0092592592592593E-6</v>
      </c>
      <c r="I46" s="5">
        <v>4.6686342592592587E-3</v>
      </c>
      <c r="J46" s="5">
        <v>2.3148148148148148E-6</v>
      </c>
      <c r="L46"/>
      <c r="M46"/>
      <c r="N46"/>
      <c r="O46"/>
      <c r="P46" s="1"/>
      <c r="R46" s="2">
        <v>2</v>
      </c>
      <c r="S46" cm="1">
        <f t="array" aca="1" ref="S46" ca="1">_xlfn.MAXIFS(COL(bench,"wine"), COL(bench,"model"), $R46, COL(bench,"instance"), INDEX($Q:$Q, ROW()-$R46), COL(bench,"time"),"&lt;="&amp;S$1)</f>
        <v>14.5</v>
      </c>
      <c r="T46" cm="1">
        <f t="array" aca="1" ref="T46" ca="1">_xlfn.MAXIFS(COL(bench,"wine"), COL(bench,"model"), $R46, COL(bench,"instance"), INDEX($Q:$Q, ROW()-$R46), COL(bench,"time"),"&lt;="&amp;T$1)-SUM($S46:S46)</f>
        <v>4.5</v>
      </c>
      <c r="U46" cm="1">
        <f t="array" aca="1" ref="U46" ca="1">_xlfn.MAXIFS(COL(bench,"wine"), COL(bench,"model"), $R46, COL(bench,"instance"), INDEX($Q:$Q, ROW()-$R46), COL(bench,"time"),"&lt;="&amp;U$1)-SUM($S46:T46)</f>
        <v>0</v>
      </c>
      <c r="V46" cm="1">
        <f t="array" aca="1" ref="V46" ca="1">_xlfn.MAXIFS(COL(bench,"wine"), COL(bench,"model"), $R46, COL(bench,"instance"), INDEX($Q:$Q, ROW()-$R46), COL(bench,"time"),"&lt;="&amp;V$1)-SUM($S46:U46)</f>
        <v>0</v>
      </c>
      <c r="W46" cm="1">
        <f t="array" aca="1" ref="W46" ca="1">_xlfn.MAXIFS(COL(bench,"wine"), COL(bench,"model"), $R46, COL(bench,"instance"), INDEX($Q:$Q, ROW()-$R46), COL(bench,"time"),"&lt;="&amp;W$1)-SUM($S46:V46)</f>
        <v>0</v>
      </c>
      <c r="X46" t="e" cm="1">
        <f t="array" ref="X46" xml:space="preserve"> _xlfn.LET(
  _xlpm.idx, _xlfn.XMATCH(1,
      (COL(summary,"model")=$R46)*(COL(summary,"instance")=INDEX($Q:$Q, ROW()-$R46))),
  IFERROR(INDEX(COL(summary,"objective"), _xlpm.idx), #N/A)
)</f>
        <v>#N/A</v>
      </c>
    </row>
    <row r="47" spans="1:24" x14ac:dyDescent="0.25">
      <c r="A47">
        <f ca="1">IF(_34445073613[[#This Row],[instance]]&lt;OFFSET(_34445073613[[#This Row],[instance]],-1,0), OFFSET(_34445073613[[#This Row],[model]],-1,0)+1, OFFSET(_34445073613[[#This Row],[model]],-1,0))</f>
        <v>1</v>
      </c>
      <c r="B47">
        <v>5</v>
      </c>
      <c r="C47" s="5">
        <v>6.0185185185185185E-6</v>
      </c>
      <c r="D47">
        <v>7.75</v>
      </c>
      <c r="E47">
        <v>7</v>
      </c>
      <c r="F47">
        <v>2</v>
      </c>
      <c r="G47" s="5">
        <v>2.3148148148148148E-6</v>
      </c>
      <c r="H47" s="5">
        <v>3.0092592592592593E-6</v>
      </c>
      <c r="I47" s="5">
        <v>4.6686342592592587E-3</v>
      </c>
      <c r="J47" s="5">
        <v>2.3148148148148148E-6</v>
      </c>
      <c r="L47"/>
      <c r="M47"/>
      <c r="N47"/>
      <c r="O47"/>
      <c r="P47" s="1"/>
      <c r="R47" s="2">
        <v>3</v>
      </c>
      <c r="S47" cm="1">
        <f t="array" aca="1" ref="S47" ca="1">_xlfn.MAXIFS(COL(bench,"wine"), COL(bench,"model"), $R47, COL(bench,"instance"), INDEX($Q:$Q, ROW()-$R47), COL(bench,"time"),"&lt;="&amp;S$1)</f>
        <v>12</v>
      </c>
      <c r="T47" cm="1">
        <f t="array" aca="1" ref="T47" ca="1">_xlfn.MAXIFS(COL(bench,"wine"), COL(bench,"model"), $R47, COL(bench,"instance"), INDEX($Q:$Q, ROW()-$R47), COL(bench,"time"),"&lt;="&amp;T$1)-SUM($S47:S47)</f>
        <v>0</v>
      </c>
      <c r="U47" cm="1">
        <f t="array" aca="1" ref="U47" ca="1">_xlfn.MAXIFS(COL(bench,"wine"), COL(bench,"model"), $R47, COL(bench,"instance"), INDEX($Q:$Q, ROW()-$R47), COL(bench,"time"),"&lt;="&amp;U$1)-SUM($S47:T47)</f>
        <v>0</v>
      </c>
      <c r="V47" cm="1">
        <f t="array" aca="1" ref="V47" ca="1">_xlfn.MAXIFS(COL(bench,"wine"), COL(bench,"model"), $R47, COL(bench,"instance"), INDEX($Q:$Q, ROW()-$R47), COL(bench,"time"),"&lt;="&amp;V$1)-SUM($S47:U47)</f>
        <v>0</v>
      </c>
      <c r="W47" cm="1">
        <f t="array" aca="1" ref="W47" ca="1">_xlfn.MAXIFS(COL(bench,"wine"), COL(bench,"model"), $R47, COL(bench,"instance"), INDEX($Q:$Q, ROW()-$R47), COL(bench,"time"),"&lt;="&amp;W$1)-SUM($S47:V47)</f>
        <v>0</v>
      </c>
      <c r="X47" t="e" cm="1">
        <f t="array" ref="X47" xml:space="preserve"> _xlfn.LET(
  _xlpm.idx, _xlfn.XMATCH(1,
      (COL(summary,"model")=$R47)*(COL(summary,"instance")=INDEX($Q:$Q, ROW()-$R47))),
  IFERROR(INDEX(COL(summary,"objective"), _xlpm.idx), #N/A)
)</f>
        <v>#N/A</v>
      </c>
    </row>
    <row r="48" spans="1:24" x14ac:dyDescent="0.25">
      <c r="A48">
        <f ca="1">IF(_34445073613[[#This Row],[instance]]&lt;OFFSET(_34445073613[[#This Row],[instance]],-1,0), OFFSET(_34445073613[[#This Row],[model]],-1,0)+1, OFFSET(_34445073613[[#This Row],[model]],-1,0))</f>
        <v>1</v>
      </c>
      <c r="B48">
        <v>6</v>
      </c>
      <c r="C48" s="5">
        <v>5.7870370370370367E-6</v>
      </c>
      <c r="D48">
        <v>0</v>
      </c>
      <c r="E48">
        <v>0</v>
      </c>
      <c r="F48">
        <v>0</v>
      </c>
      <c r="G48" s="5">
        <v>2.3148148148148148E-6</v>
      </c>
      <c r="H48" s="5">
        <v>6.9446759259259253E-3</v>
      </c>
      <c r="I48" s="5">
        <v>4.6686342592592587E-3</v>
      </c>
      <c r="J48" s="5">
        <v>2.3148148148148148E-6</v>
      </c>
      <c r="L48"/>
      <c r="M48"/>
      <c r="N48"/>
      <c r="O48"/>
      <c r="P48" s="1"/>
      <c r="R48" s="2">
        <v>4</v>
      </c>
      <c r="S48" cm="1">
        <f t="array" aca="1" ref="S48" ca="1">_xlfn.MAXIFS(COL(bench,"wine"), COL(bench,"model"), $R48, COL(bench,"instance"), INDEX($Q:$Q, ROW()-$R48), COL(bench,"time"),"&lt;="&amp;S$1)</f>
        <v>4.375</v>
      </c>
      <c r="T48" cm="1">
        <f t="array" aca="1" ref="T48" ca="1">_xlfn.MAXIFS(COL(bench,"wine"), COL(bench,"model"), $R48, COL(bench,"instance"), INDEX($Q:$Q, ROW()-$R48), COL(bench,"time"),"&lt;="&amp;T$1)-SUM($S48:S48)</f>
        <v>0</v>
      </c>
      <c r="U48" cm="1">
        <f t="array" aca="1" ref="U48" ca="1">_xlfn.MAXIFS(COL(bench,"wine"), COL(bench,"model"), $R48, COL(bench,"instance"), INDEX($Q:$Q, ROW()-$R48), COL(bench,"time"),"&lt;="&amp;U$1)-SUM($S48:T48)</f>
        <v>0</v>
      </c>
      <c r="V48" cm="1">
        <f t="array" aca="1" ref="V48" ca="1">_xlfn.MAXIFS(COL(bench,"wine"), COL(bench,"model"), $R48, COL(bench,"instance"), INDEX($Q:$Q, ROW()-$R48), COL(bench,"time"),"&lt;="&amp;V$1)-SUM($S48:U48)</f>
        <v>0</v>
      </c>
      <c r="W48" cm="1">
        <f t="array" aca="1" ref="W48" ca="1">_xlfn.MAXIFS(COL(bench,"wine"), COL(bench,"model"), $R48, COL(bench,"instance"), INDEX($Q:$Q, ROW()-$R48), COL(bench,"time"),"&lt;="&amp;W$1)-SUM($S48:V48)</f>
        <v>0</v>
      </c>
      <c r="X48" t="e" cm="1">
        <f t="array" ref="X48" xml:space="preserve"> _xlfn.LET(
  _xlpm.idx, _xlfn.XMATCH(1,
      (COL(summary,"model")=$R48)*(COL(summary,"instance")=INDEX($Q:$Q, ROW()-$R48))),
  IFERROR(INDEX(COL(summary,"objective"), _xlpm.idx), #N/A)
)</f>
        <v>#N/A</v>
      </c>
    </row>
    <row r="49" spans="1:29" x14ac:dyDescent="0.25">
      <c r="A49">
        <f ca="1">IF(_34445073613[[#This Row],[instance]]&lt;OFFSET(_34445073613[[#This Row],[instance]],-1,0), OFFSET(_34445073613[[#This Row],[model]],-1,0)+1, OFFSET(_34445073613[[#This Row],[model]],-1,0))</f>
        <v>1</v>
      </c>
      <c r="B49">
        <v>6</v>
      </c>
      <c r="C49" s="5">
        <v>5.9027777777777776E-6</v>
      </c>
      <c r="D49">
        <v>3</v>
      </c>
      <c r="E49">
        <v>1</v>
      </c>
      <c r="F49">
        <v>1</v>
      </c>
      <c r="G49" s="5">
        <v>2.3148148148148148E-6</v>
      </c>
      <c r="H49" s="5">
        <v>6.9446759259259253E-3</v>
      </c>
      <c r="I49" s="5">
        <v>4.6686342592592587E-3</v>
      </c>
      <c r="J49" s="5">
        <v>2.3148148148148148E-6</v>
      </c>
      <c r="L49"/>
      <c r="M49"/>
      <c r="N49"/>
      <c r="O49"/>
      <c r="P49" s="1"/>
      <c r="AC49" s="4"/>
    </row>
    <row r="50" spans="1:29" x14ac:dyDescent="0.25">
      <c r="A50">
        <f ca="1">IF(_34445073613[[#This Row],[instance]]&lt;OFFSET(_34445073613[[#This Row],[instance]],-1,0), OFFSET(_34445073613[[#This Row],[model]],-1,0)+1, OFFSET(_34445073613[[#This Row],[model]],-1,0))</f>
        <v>1</v>
      </c>
      <c r="B50">
        <v>6</v>
      </c>
      <c r="C50" s="5">
        <v>5.9027777777777776E-6</v>
      </c>
      <c r="D50">
        <v>6</v>
      </c>
      <c r="E50">
        <v>2</v>
      </c>
      <c r="F50">
        <v>2</v>
      </c>
      <c r="G50" s="5">
        <v>2.3148148148148148E-6</v>
      </c>
      <c r="H50" s="5">
        <v>6.9446759259259253E-3</v>
      </c>
      <c r="I50" s="5">
        <v>4.6686342592592587E-3</v>
      </c>
      <c r="J50" s="5">
        <v>2.3148148148148148E-6</v>
      </c>
      <c r="L50"/>
      <c r="M50"/>
      <c r="N50"/>
      <c r="O50"/>
      <c r="P50" s="1"/>
      <c r="Q50">
        <v>9</v>
      </c>
    </row>
    <row r="51" spans="1:29" x14ac:dyDescent="0.25">
      <c r="A51">
        <f ca="1">IF(_34445073613[[#This Row],[instance]]&lt;OFFSET(_34445073613[[#This Row],[instance]],-1,0), OFFSET(_34445073613[[#This Row],[model]],-1,0)+1, OFFSET(_34445073613[[#This Row],[model]],-1,0))</f>
        <v>1</v>
      </c>
      <c r="B51">
        <v>6</v>
      </c>
      <c r="C51" s="5">
        <v>5.9027777777777776E-6</v>
      </c>
      <c r="D51">
        <v>9</v>
      </c>
      <c r="E51">
        <v>3</v>
      </c>
      <c r="F51">
        <v>3</v>
      </c>
      <c r="G51" s="5">
        <v>2.3148148148148148E-6</v>
      </c>
      <c r="H51" s="5">
        <v>6.9446759259259253E-3</v>
      </c>
      <c r="I51" s="5">
        <v>4.6686342592592587E-3</v>
      </c>
      <c r="J51" s="5">
        <v>2.3148148148148148E-6</v>
      </c>
      <c r="L51"/>
      <c r="M51"/>
      <c r="N51"/>
      <c r="O51"/>
      <c r="P51" s="1"/>
      <c r="R51" s="2">
        <v>1</v>
      </c>
      <c r="S51" cm="1">
        <f t="array" aca="1" ref="S51" ca="1">_xlfn.MAXIFS(COL(bench,"wine"), COL(bench,"model"), $R51, COL(bench,"instance"), INDEX($Q:$Q, ROW()-$R51), COL(bench,"time"),"&lt;="&amp;S$1)</f>
        <v>0</v>
      </c>
      <c r="T51" cm="1">
        <f t="array" aca="1" ref="T51" ca="1">_xlfn.MAXIFS(COL(bench,"wine"), COL(bench,"model"), $R51, COL(bench,"instance"), INDEX($Q:$Q, ROW()-$R51), COL(bench,"time"),"&lt;="&amp;T$1)-SUM($S51:S51)</f>
        <v>0</v>
      </c>
      <c r="U51" cm="1">
        <f t="array" aca="1" ref="U51" ca="1">_xlfn.MAXIFS(COL(bench,"wine"), COL(bench,"model"), $R51, COL(bench,"instance"), INDEX($Q:$Q, ROW()-$R51), COL(bench,"time"),"&lt;="&amp;U$1)-SUM($S51:T51)</f>
        <v>0</v>
      </c>
      <c r="V51" cm="1">
        <f t="array" aca="1" ref="V51" ca="1">_xlfn.MAXIFS(COL(bench,"wine"), COL(bench,"model"), $R51, COL(bench,"instance"), INDEX($Q:$Q, ROW()-$R51), COL(bench,"time"),"&lt;="&amp;V$1)-SUM($S51:U51)</f>
        <v>0</v>
      </c>
      <c r="W51" cm="1">
        <f t="array" aca="1" ref="W51" ca="1">_xlfn.MAXIFS(COL(bench,"wine"), COL(bench,"model"), $R51, COL(bench,"instance"), INDEX($Q:$Q, ROW()-$R51), COL(bench,"time"),"&lt;="&amp;W$1)-SUM($S51:V51)</f>
        <v>0</v>
      </c>
      <c r="X51" cm="1">
        <f t="array" ref="X51" xml:space="preserve"> _xlfn.LET(
  _xlpm.idx, _xlfn.XMATCH(1,
      (COL(summary,"model")=$R51)*(COL(summary,"instance")=INDEX($Q:$Q, ROW()-$R51))),
  IFERROR(INDEX(COL(summary,"objective"), _xlpm.idx), #N/A)
)</f>
        <v>0</v>
      </c>
    </row>
    <row r="52" spans="1:29" x14ac:dyDescent="0.25">
      <c r="A52">
        <f ca="1">IF(_34445073613[[#This Row],[instance]]&lt;OFFSET(_34445073613[[#This Row],[instance]],-1,0), OFFSET(_34445073613[[#This Row],[model]],-1,0)+1, OFFSET(_34445073613[[#This Row],[model]],-1,0))</f>
        <v>1</v>
      </c>
      <c r="B52">
        <v>6</v>
      </c>
      <c r="C52" s="5">
        <v>5.9027777777777776E-6</v>
      </c>
      <c r="D52">
        <v>10.5</v>
      </c>
      <c r="E52">
        <v>4</v>
      </c>
      <c r="F52">
        <v>4</v>
      </c>
      <c r="G52" s="5">
        <v>2.3148148148148148E-6</v>
      </c>
      <c r="H52" s="5">
        <v>6.9446759259259253E-3</v>
      </c>
      <c r="I52" s="5">
        <v>4.6686342592592587E-3</v>
      </c>
      <c r="J52" s="5">
        <v>2.3148148148148148E-6</v>
      </c>
      <c r="L52"/>
      <c r="M52"/>
      <c r="N52"/>
      <c r="O52"/>
      <c r="P52" s="1"/>
      <c r="R52" s="2">
        <v>2</v>
      </c>
      <c r="S52" cm="1">
        <f t="array" aca="1" ref="S52" ca="1">_xlfn.MAXIFS(COL(bench,"wine"), COL(bench,"model"), $R52, COL(bench,"instance"), INDEX($Q:$Q, ROW()-$R52), COL(bench,"time"),"&lt;="&amp;S$1)</f>
        <v>0</v>
      </c>
      <c r="T52" cm="1">
        <f t="array" aca="1" ref="T52" ca="1">_xlfn.MAXIFS(COL(bench,"wine"), COL(bench,"model"), $R52, COL(bench,"instance"), INDEX($Q:$Q, ROW()-$R52), COL(bench,"time"),"&lt;="&amp;T$1)-SUM($S52:S52)</f>
        <v>0</v>
      </c>
      <c r="U52" cm="1">
        <f t="array" aca="1" ref="U52" ca="1">_xlfn.MAXIFS(COL(bench,"wine"), COL(bench,"model"), $R52, COL(bench,"instance"), INDEX($Q:$Q, ROW()-$R52), COL(bench,"time"),"&lt;="&amp;U$1)-SUM($S52:T52)</f>
        <v>0</v>
      </c>
      <c r="V52" cm="1">
        <f t="array" aca="1" ref="V52" ca="1">_xlfn.MAXIFS(COL(bench,"wine"), COL(bench,"model"), $R52, COL(bench,"instance"), INDEX($Q:$Q, ROW()-$R52), COL(bench,"time"),"&lt;="&amp;V$1)-SUM($S52:U52)</f>
        <v>0</v>
      </c>
      <c r="W52" cm="1">
        <f t="array" aca="1" ref="W52" ca="1">_xlfn.MAXIFS(COL(bench,"wine"), COL(bench,"model"), $R52, COL(bench,"instance"), INDEX($Q:$Q, ROW()-$R52), COL(bench,"time"),"&lt;="&amp;W$1)-SUM($S52:V52)</f>
        <v>0</v>
      </c>
      <c r="X52" cm="1">
        <f t="array" ref="X52" xml:space="preserve"> _xlfn.LET(
  _xlpm.idx, _xlfn.XMATCH(1,
      (COL(summary,"model")=$R52)*(COL(summary,"instance")=INDEX($Q:$Q, ROW()-$R52))),
  IFERROR(INDEX(COL(summary,"objective"), _xlpm.idx), #N/A)
)</f>
        <v>0</v>
      </c>
    </row>
    <row r="53" spans="1:29" x14ac:dyDescent="0.25">
      <c r="A53">
        <f ca="1">IF(_34445073613[[#This Row],[instance]]&lt;OFFSET(_34445073613[[#This Row],[instance]],-1,0), OFFSET(_34445073613[[#This Row],[model]],-1,0)+1, OFFSET(_34445073613[[#This Row],[model]],-1,0))</f>
        <v>1</v>
      </c>
      <c r="B53">
        <v>6</v>
      </c>
      <c r="C53" s="5">
        <v>6.828703703703703E-6</v>
      </c>
      <c r="D53">
        <v>12</v>
      </c>
      <c r="E53">
        <v>4</v>
      </c>
      <c r="F53">
        <v>4</v>
      </c>
      <c r="G53" s="5">
        <v>2.3148148148148148E-6</v>
      </c>
      <c r="H53" s="5">
        <v>6.9446759259259253E-3</v>
      </c>
      <c r="I53" s="5">
        <v>4.6686342592592587E-3</v>
      </c>
      <c r="J53" s="5">
        <v>2.3148148148148148E-6</v>
      </c>
      <c r="L53"/>
      <c r="M53"/>
      <c r="N53"/>
      <c r="O53"/>
      <c r="P53" s="1"/>
      <c r="R53" s="2">
        <v>3</v>
      </c>
      <c r="S53" cm="1">
        <f t="array" aca="1" ref="S53" ca="1">_xlfn.MAXIFS(COL(bench,"wine"), COL(bench,"model"), $R53, COL(bench,"instance"), INDEX($Q:$Q, ROW()-$R53), COL(bench,"time"),"&lt;="&amp;S$1)</f>
        <v>0</v>
      </c>
      <c r="T53" cm="1">
        <f t="array" aca="1" ref="T53" ca="1">_xlfn.MAXIFS(COL(bench,"wine"), COL(bench,"model"), $R53, COL(bench,"instance"), INDEX($Q:$Q, ROW()-$R53), COL(bench,"time"),"&lt;="&amp;T$1)-SUM($S53:S53)</f>
        <v>0</v>
      </c>
      <c r="U53" cm="1">
        <f t="array" aca="1" ref="U53" ca="1">_xlfn.MAXIFS(COL(bench,"wine"), COL(bench,"model"), $R53, COL(bench,"instance"), INDEX($Q:$Q, ROW()-$R53), COL(bench,"time"),"&lt;="&amp;U$1)-SUM($S53:T53)</f>
        <v>0</v>
      </c>
      <c r="V53" cm="1">
        <f t="array" aca="1" ref="V53" ca="1">_xlfn.MAXIFS(COL(bench,"wine"), COL(bench,"model"), $R53, COL(bench,"instance"), INDEX($Q:$Q, ROW()-$R53), COL(bench,"time"),"&lt;="&amp;V$1)-SUM($S53:U53)</f>
        <v>0</v>
      </c>
      <c r="W53" cm="1">
        <f t="array" aca="1" ref="W53" ca="1">_xlfn.MAXIFS(COL(bench,"wine"), COL(bench,"model"), $R53, COL(bench,"instance"), INDEX($Q:$Q, ROW()-$R53), COL(bench,"time"),"&lt;="&amp;W$1)-SUM($S53:V53)</f>
        <v>0</v>
      </c>
      <c r="X53" cm="1">
        <f t="array" ref="X53" xml:space="preserve"> _xlfn.LET(
  _xlpm.idx, _xlfn.XMATCH(1,
      (COL(summary,"model")=$R53)*(COL(summary,"instance")=INDEX($Q:$Q, ROW()-$R53))),
  IFERROR(INDEX(COL(summary,"objective"), _xlpm.idx), #N/A)
)</f>
        <v>0</v>
      </c>
    </row>
    <row r="54" spans="1:29" x14ac:dyDescent="0.25">
      <c r="A54">
        <f ca="1">IF(_34445073613[[#This Row],[instance]]&lt;OFFSET(_34445073613[[#This Row],[instance]],-1,0), OFFSET(_34445073613[[#This Row],[model]],-1,0)+1, OFFSET(_34445073613[[#This Row],[model]],-1,0))</f>
        <v>1</v>
      </c>
      <c r="B54">
        <v>6</v>
      </c>
      <c r="C54" s="5">
        <v>7.8703703703703702E-6</v>
      </c>
      <c r="D54">
        <v>14.25</v>
      </c>
      <c r="E54">
        <v>6</v>
      </c>
      <c r="F54">
        <v>5</v>
      </c>
      <c r="G54" s="5">
        <v>2.3148148148148148E-6</v>
      </c>
      <c r="H54" s="5">
        <v>6.9446759259259253E-3</v>
      </c>
      <c r="I54" s="5">
        <v>4.6686342592592587E-3</v>
      </c>
      <c r="J54" s="5">
        <v>2.3148148148148148E-6</v>
      </c>
      <c r="L54"/>
      <c r="M54"/>
      <c r="N54"/>
      <c r="O54"/>
      <c r="P54" s="1"/>
      <c r="R54" s="2">
        <v>4</v>
      </c>
      <c r="S54" cm="1">
        <f t="array" aca="1" ref="S54" ca="1">_xlfn.MAXIFS(COL(bench,"wine"), COL(bench,"model"), $R54, COL(bench,"instance"), INDEX($Q:$Q, ROW()-$R54), COL(bench,"time"),"&lt;="&amp;S$1)</f>
        <v>0</v>
      </c>
      <c r="T54" cm="1">
        <f t="array" aca="1" ref="T54" ca="1">_xlfn.MAXIFS(COL(bench,"wine"), COL(bench,"model"), $R54, COL(bench,"instance"), INDEX($Q:$Q, ROW()-$R54), COL(bench,"time"),"&lt;="&amp;T$1)-SUM($S54:S54)</f>
        <v>0</v>
      </c>
      <c r="U54" cm="1">
        <f t="array" aca="1" ref="U54" ca="1">_xlfn.MAXIFS(COL(bench,"wine"), COL(bench,"model"), $R54, COL(bench,"instance"), INDEX($Q:$Q, ROW()-$R54), COL(bench,"time"),"&lt;="&amp;U$1)-SUM($S54:T54)</f>
        <v>0</v>
      </c>
      <c r="V54" cm="1">
        <f t="array" aca="1" ref="V54" ca="1">_xlfn.MAXIFS(COL(bench,"wine"), COL(bench,"model"), $R54, COL(bench,"instance"), INDEX($Q:$Q, ROW()-$R54), COL(bench,"time"),"&lt;="&amp;V$1)-SUM($S54:U54)</f>
        <v>0</v>
      </c>
      <c r="W54" cm="1">
        <f t="array" aca="1" ref="W54" ca="1">_xlfn.MAXIFS(COL(bench,"wine"), COL(bench,"model"), $R54, COL(bench,"instance"), INDEX($Q:$Q, ROW()-$R54), COL(bench,"time"),"&lt;="&amp;W$1)-SUM($S54:V54)</f>
        <v>0</v>
      </c>
      <c r="X54" cm="1">
        <f t="array" ref="X54" xml:space="preserve"> _xlfn.LET(
  _xlpm.idx, _xlfn.XMATCH(1,
      (COL(summary,"model")=$R54)*(COL(summary,"instance")=INDEX($Q:$Q, ROW()-$R54))),
  IFERROR(INDEX(COL(summary,"objective"), _xlpm.idx), #N/A)
)</f>
        <v>0</v>
      </c>
    </row>
    <row r="55" spans="1:29" x14ac:dyDescent="0.25">
      <c r="A55">
        <f ca="1">IF(_34445073613[[#This Row],[instance]]&lt;OFFSET(_34445073613[[#This Row],[instance]],-1,0), OFFSET(_34445073613[[#This Row],[model]],-1,0)+1, OFFSET(_34445073613[[#This Row],[model]],-1,0))</f>
        <v>1</v>
      </c>
      <c r="B55">
        <v>6</v>
      </c>
      <c r="C55" s="5">
        <v>1.8749999999999998E-5</v>
      </c>
      <c r="D55">
        <v>14.625</v>
      </c>
      <c r="E55">
        <v>7</v>
      </c>
      <c r="F55">
        <v>5</v>
      </c>
      <c r="G55" s="5">
        <v>2.3148148148148148E-6</v>
      </c>
      <c r="H55" s="5">
        <v>6.9446759259259253E-3</v>
      </c>
      <c r="I55" s="5">
        <v>4.6686342592592587E-3</v>
      </c>
      <c r="J55" s="5">
        <v>2.3148148148148148E-6</v>
      </c>
      <c r="L55"/>
      <c r="M55"/>
      <c r="N55"/>
      <c r="O55"/>
      <c r="P55" s="1"/>
    </row>
    <row r="56" spans="1:29" x14ac:dyDescent="0.25">
      <c r="A56">
        <f ca="1">IF(_34445073613[[#This Row],[instance]]&lt;OFFSET(_34445073613[[#This Row],[instance]],-1,0), OFFSET(_34445073613[[#This Row],[model]],-1,0)+1, OFFSET(_34445073613[[#This Row],[model]],-1,0))</f>
        <v>1</v>
      </c>
      <c r="B56">
        <v>6</v>
      </c>
      <c r="C56" s="5">
        <v>1.8749999999999998E-5</v>
      </c>
      <c r="D56">
        <v>15</v>
      </c>
      <c r="E56">
        <v>6</v>
      </c>
      <c r="F56">
        <v>5</v>
      </c>
      <c r="G56" s="5">
        <v>2.3148148148148148E-6</v>
      </c>
      <c r="H56" s="5">
        <v>6.9446759259259253E-3</v>
      </c>
      <c r="I56" s="5">
        <v>4.6686342592592587E-3</v>
      </c>
      <c r="J56" s="5">
        <v>2.3148148148148148E-6</v>
      </c>
      <c r="L56"/>
      <c r="M56"/>
      <c r="N56"/>
      <c r="O56"/>
      <c r="P56" s="1"/>
      <c r="Q56">
        <v>10</v>
      </c>
    </row>
    <row r="57" spans="1:29" x14ac:dyDescent="0.25">
      <c r="A57">
        <f ca="1">IF(_34445073613[[#This Row],[instance]]&lt;OFFSET(_34445073613[[#This Row],[instance]],-1,0), OFFSET(_34445073613[[#This Row],[model]],-1,0)+1, OFFSET(_34445073613[[#This Row],[model]],-1,0))</f>
        <v>1</v>
      </c>
      <c r="B57">
        <v>6</v>
      </c>
      <c r="C57" s="5">
        <v>1.8749999999999998E-5</v>
      </c>
      <c r="D57">
        <v>15.75</v>
      </c>
      <c r="E57">
        <v>7</v>
      </c>
      <c r="F57">
        <v>5</v>
      </c>
      <c r="G57" s="5">
        <v>2.3148148148148148E-6</v>
      </c>
      <c r="H57" s="5">
        <v>6.9446759259259253E-3</v>
      </c>
      <c r="I57" s="5">
        <v>4.6686342592592587E-3</v>
      </c>
      <c r="J57" s="5">
        <v>2.3148148148148148E-6</v>
      </c>
      <c r="L57"/>
      <c r="M57"/>
      <c r="N57"/>
      <c r="O57"/>
      <c r="P57" s="1"/>
      <c r="R57" s="2">
        <v>1</v>
      </c>
      <c r="S57" cm="1">
        <f t="array" aca="1" ref="S57" ca="1">_xlfn.MAXIFS(COL(bench,"wine"), COL(bench,"model"), $R57, COL(bench,"instance"), INDEX($Q:$Q, ROW()-$R57), COL(bench,"time"),"&lt;="&amp;S$1)</f>
        <v>5</v>
      </c>
      <c r="T57" cm="1">
        <f t="array" aca="1" ref="T57" ca="1">_xlfn.MAXIFS(COL(bench,"wine"), COL(bench,"model"), $R57, COL(bench,"instance"), INDEX($Q:$Q, ROW()-$R57), COL(bench,"time"),"&lt;="&amp;T$1)-SUM($S57:S57)</f>
        <v>0</v>
      </c>
      <c r="U57" cm="1">
        <f t="array" aca="1" ref="U57" ca="1">_xlfn.MAXIFS(COL(bench,"wine"), COL(bench,"model"), $R57, COL(bench,"instance"), INDEX($Q:$Q, ROW()-$R57), COL(bench,"time"),"&lt;="&amp;U$1)-SUM($S57:T57)</f>
        <v>0</v>
      </c>
      <c r="V57" cm="1">
        <f t="array" aca="1" ref="V57" ca="1">_xlfn.MAXIFS(COL(bench,"wine"), COL(bench,"model"), $R57, COL(bench,"instance"), INDEX($Q:$Q, ROW()-$R57), COL(bench,"time"),"&lt;="&amp;V$1)-SUM($S57:U57)</f>
        <v>0</v>
      </c>
      <c r="W57" cm="1">
        <f t="array" aca="1" ref="W57" ca="1">_xlfn.MAXIFS(COL(bench,"wine"), COL(bench,"model"), $R57, COL(bench,"instance"), INDEX($Q:$Q, ROW()-$R57), COL(bench,"time"),"&lt;="&amp;W$1)-SUM($S57:V57)</f>
        <v>0</v>
      </c>
      <c r="X57" cm="1">
        <f t="array" ref="X57" xml:space="preserve"> _xlfn.LET(
  _xlpm.idx, _xlfn.XMATCH(1,
      (COL(summary,"model")=$R57)*(COL(summary,"instance")=INDEX($Q:$Q, ROW()-$R57))),
  IFERROR(INDEX(COL(summary,"objective"), _xlpm.idx), #N/A)
)</f>
        <v>5</v>
      </c>
    </row>
    <row r="58" spans="1:29" x14ac:dyDescent="0.25">
      <c r="A58">
        <f ca="1">IF(_34445073613[[#This Row],[instance]]&lt;OFFSET(_34445073613[[#This Row],[instance]],-1,0), OFFSET(_34445073613[[#This Row],[model]],-1,0)+1, OFFSET(_34445073613[[#This Row],[model]],-1,0))</f>
        <v>1</v>
      </c>
      <c r="B58">
        <v>6</v>
      </c>
      <c r="C58" s="5">
        <v>2.1412037037037036E-5</v>
      </c>
      <c r="D58">
        <v>16.125</v>
      </c>
      <c r="E58">
        <v>8</v>
      </c>
      <c r="F58">
        <v>5</v>
      </c>
      <c r="G58" s="5">
        <v>2.3148148148148148E-6</v>
      </c>
      <c r="H58" s="5">
        <v>6.9446759259259253E-3</v>
      </c>
      <c r="I58" s="5">
        <v>4.6686342592592587E-3</v>
      </c>
      <c r="J58" s="5">
        <v>2.3148148148148148E-6</v>
      </c>
      <c r="L58"/>
      <c r="M58"/>
      <c r="N58"/>
      <c r="O58"/>
      <c r="P58" s="1"/>
      <c r="R58" s="2">
        <v>2</v>
      </c>
      <c r="S58" cm="1">
        <f t="array" aca="1" ref="S58" ca="1">_xlfn.MAXIFS(COL(bench,"wine"), COL(bench,"model"), $R58, COL(bench,"instance"), INDEX($Q:$Q, ROW()-$R58), COL(bench,"time"),"&lt;="&amp;S$1)</f>
        <v>5</v>
      </c>
      <c r="T58" cm="1">
        <f t="array" aca="1" ref="T58" ca="1">_xlfn.MAXIFS(COL(bench,"wine"), COL(bench,"model"), $R58, COL(bench,"instance"), INDEX($Q:$Q, ROW()-$R58), COL(bench,"time"),"&lt;="&amp;T$1)-SUM($S58:S58)</f>
        <v>0</v>
      </c>
      <c r="U58" cm="1">
        <f t="array" aca="1" ref="U58" ca="1">_xlfn.MAXIFS(COL(bench,"wine"), COL(bench,"model"), $R58, COL(bench,"instance"), INDEX($Q:$Q, ROW()-$R58), COL(bench,"time"),"&lt;="&amp;U$1)-SUM($S58:T58)</f>
        <v>0</v>
      </c>
      <c r="V58" cm="1">
        <f t="array" aca="1" ref="V58" ca="1">_xlfn.MAXIFS(COL(bench,"wine"), COL(bench,"model"), $R58, COL(bench,"instance"), INDEX($Q:$Q, ROW()-$R58), COL(bench,"time"),"&lt;="&amp;V$1)-SUM($S58:U58)</f>
        <v>0</v>
      </c>
      <c r="W58" cm="1">
        <f t="array" aca="1" ref="W58" ca="1">_xlfn.MAXIFS(COL(bench,"wine"), COL(bench,"model"), $R58, COL(bench,"instance"), INDEX($Q:$Q, ROW()-$R58), COL(bench,"time"),"&lt;="&amp;W$1)-SUM($S58:V58)</f>
        <v>0</v>
      </c>
      <c r="X58" cm="1">
        <f t="array" ref="X58" xml:space="preserve"> _xlfn.LET(
  _xlpm.idx, _xlfn.XMATCH(1,
      (COL(summary,"model")=$R58)*(COL(summary,"instance")=INDEX($Q:$Q, ROW()-$R58))),
  IFERROR(INDEX(COL(summary,"objective"), _xlpm.idx), #N/A)
)</f>
        <v>5</v>
      </c>
    </row>
    <row r="59" spans="1:29" x14ac:dyDescent="0.25">
      <c r="A59">
        <f ca="1">IF(_34445073613[[#This Row],[instance]]&lt;OFFSET(_34445073613[[#This Row],[instance]],-1,0), OFFSET(_34445073613[[#This Row],[model]],-1,0)+1, OFFSET(_34445073613[[#This Row],[model]],-1,0))</f>
        <v>1</v>
      </c>
      <c r="B59">
        <v>6</v>
      </c>
      <c r="C59" s="5">
        <v>2.1412037037037036E-5</v>
      </c>
      <c r="D59">
        <v>16.5</v>
      </c>
      <c r="E59">
        <v>9</v>
      </c>
      <c r="F59">
        <v>5</v>
      </c>
      <c r="G59" s="5">
        <v>2.3148148148148148E-6</v>
      </c>
      <c r="H59" s="5">
        <v>6.9446759259259253E-3</v>
      </c>
      <c r="I59" s="5">
        <v>4.6686342592592587E-3</v>
      </c>
      <c r="J59" s="5">
        <v>2.3148148148148148E-6</v>
      </c>
      <c r="L59"/>
      <c r="M59"/>
      <c r="N59"/>
      <c r="O59"/>
      <c r="P59" s="1"/>
      <c r="R59" s="2">
        <v>3</v>
      </c>
      <c r="S59" cm="1">
        <f t="array" aca="1" ref="S59" ca="1">_xlfn.MAXIFS(COL(bench,"wine"), COL(bench,"model"), $R59, COL(bench,"instance"), INDEX($Q:$Q, ROW()-$R59), COL(bench,"time"),"&lt;="&amp;S$1)</f>
        <v>5</v>
      </c>
      <c r="T59" cm="1">
        <f t="array" aca="1" ref="T59" ca="1">_xlfn.MAXIFS(COL(bench,"wine"), COL(bench,"model"), $R59, COL(bench,"instance"), INDEX($Q:$Q, ROW()-$R59), COL(bench,"time"),"&lt;="&amp;T$1)-SUM($S59:S59)</f>
        <v>0</v>
      </c>
      <c r="U59" cm="1">
        <f t="array" aca="1" ref="U59" ca="1">_xlfn.MAXIFS(COL(bench,"wine"), COL(bench,"model"), $R59, COL(bench,"instance"), INDEX($Q:$Q, ROW()-$R59), COL(bench,"time"),"&lt;="&amp;U$1)-SUM($S59:T59)</f>
        <v>0</v>
      </c>
      <c r="V59" cm="1">
        <f t="array" aca="1" ref="V59" ca="1">_xlfn.MAXIFS(COL(bench,"wine"), COL(bench,"model"), $R59, COL(bench,"instance"), INDEX($Q:$Q, ROW()-$R59), COL(bench,"time"),"&lt;="&amp;V$1)-SUM($S59:U59)</f>
        <v>0</v>
      </c>
      <c r="W59" cm="1">
        <f t="array" aca="1" ref="W59" ca="1">_xlfn.MAXIFS(COL(bench,"wine"), COL(bench,"model"), $R59, COL(bench,"instance"), INDEX($Q:$Q, ROW()-$R59), COL(bench,"time"),"&lt;="&amp;W$1)-SUM($S59:V59)</f>
        <v>0</v>
      </c>
      <c r="X59" cm="1">
        <f t="array" ref="X59" xml:space="preserve"> _xlfn.LET(
  _xlpm.idx, _xlfn.XMATCH(1,
      (COL(summary,"model")=$R59)*(COL(summary,"instance")=INDEX($Q:$Q, ROW()-$R59))),
  IFERROR(INDEX(COL(summary,"objective"), _xlpm.idx), #N/A)
)</f>
        <v>5</v>
      </c>
    </row>
    <row r="60" spans="1:29" x14ac:dyDescent="0.25">
      <c r="A60">
        <f ca="1">IF(_34445073613[[#This Row],[instance]]&lt;OFFSET(_34445073613[[#This Row],[instance]],-1,0), OFFSET(_34445073613[[#This Row],[model]],-1,0)+1, OFFSET(_34445073613[[#This Row],[model]],-1,0))</f>
        <v>1</v>
      </c>
      <c r="B60">
        <v>6</v>
      </c>
      <c r="C60" s="5">
        <v>2.4305555555555554E-5</v>
      </c>
      <c r="D60">
        <v>16.875</v>
      </c>
      <c r="E60">
        <v>10</v>
      </c>
      <c r="F60">
        <v>6</v>
      </c>
      <c r="G60" s="5">
        <v>2.3148148148148148E-6</v>
      </c>
      <c r="H60" s="5">
        <v>6.9446759259259253E-3</v>
      </c>
      <c r="I60" s="5">
        <v>4.6686342592592587E-3</v>
      </c>
      <c r="J60" s="5">
        <v>2.3148148148148148E-6</v>
      </c>
      <c r="L60"/>
      <c r="M60"/>
      <c r="N60"/>
      <c r="O60"/>
      <c r="P60" s="1"/>
      <c r="R60" s="2">
        <v>4</v>
      </c>
      <c r="S60" cm="1">
        <f t="array" aca="1" ref="S60" ca="1">_xlfn.MAXIFS(COL(bench,"wine"), COL(bench,"model"), $R60, COL(bench,"instance"), INDEX($Q:$Q, ROW()-$R60), COL(bench,"time"),"&lt;="&amp;S$1)</f>
        <v>5</v>
      </c>
      <c r="T60" cm="1">
        <f t="array" aca="1" ref="T60" ca="1">_xlfn.MAXIFS(COL(bench,"wine"), COL(bench,"model"), $R60, COL(bench,"instance"), INDEX($Q:$Q, ROW()-$R60), COL(bench,"time"),"&lt;="&amp;T$1)-SUM($S60:S60)</f>
        <v>0</v>
      </c>
      <c r="U60" cm="1">
        <f t="array" aca="1" ref="U60" ca="1">_xlfn.MAXIFS(COL(bench,"wine"), COL(bench,"model"), $R60, COL(bench,"instance"), INDEX($Q:$Q, ROW()-$R60), COL(bench,"time"),"&lt;="&amp;U$1)-SUM($S60:T60)</f>
        <v>0</v>
      </c>
      <c r="V60" cm="1">
        <f t="array" aca="1" ref="V60" ca="1">_xlfn.MAXIFS(COL(bench,"wine"), COL(bench,"model"), $R60, COL(bench,"instance"), INDEX($Q:$Q, ROW()-$R60), COL(bench,"time"),"&lt;="&amp;V$1)-SUM($S60:U60)</f>
        <v>0</v>
      </c>
      <c r="W60" cm="1">
        <f t="array" aca="1" ref="W60" ca="1">_xlfn.MAXIFS(COL(bench,"wine"), COL(bench,"model"), $R60, COL(bench,"instance"), INDEX($Q:$Q, ROW()-$R60), COL(bench,"time"),"&lt;="&amp;W$1)-SUM($S60:V60)</f>
        <v>0</v>
      </c>
      <c r="X60" t="e" cm="1">
        <f t="array" ref="X60" xml:space="preserve"> _xlfn.LET(
  _xlpm.idx, _xlfn.XMATCH(1,
      (COL(summary,"model")=$R60)*(COL(summary,"instance")=INDEX($Q:$Q, ROW()-$R60))),
  IFERROR(INDEX(COL(summary,"objective"), _xlpm.idx), #N/A)
)</f>
        <v>#N/A</v>
      </c>
    </row>
    <row r="61" spans="1:29" x14ac:dyDescent="0.25">
      <c r="A61">
        <f ca="1">IF(_34445073613[[#This Row],[instance]]&lt;OFFSET(_34445073613[[#This Row],[instance]],-1,0), OFFSET(_34445073613[[#This Row],[model]],-1,0)+1, OFFSET(_34445073613[[#This Row],[model]],-1,0))</f>
        <v>1</v>
      </c>
      <c r="B61">
        <v>6</v>
      </c>
      <c r="C61" s="5">
        <v>5.3587962962962964E-5</v>
      </c>
      <c r="D61">
        <v>17.25</v>
      </c>
      <c r="E61">
        <v>11</v>
      </c>
      <c r="F61">
        <v>6</v>
      </c>
      <c r="G61" s="5">
        <v>2.3148148148148148E-6</v>
      </c>
      <c r="H61" s="5">
        <v>6.9446759259259253E-3</v>
      </c>
      <c r="I61" s="5">
        <v>4.6686342592592587E-3</v>
      </c>
      <c r="J61" s="5">
        <v>2.3148148148148148E-6</v>
      </c>
      <c r="L61"/>
      <c r="M61"/>
      <c r="N61"/>
      <c r="O61"/>
      <c r="P61" s="1"/>
    </row>
    <row r="62" spans="1:29" x14ac:dyDescent="0.25">
      <c r="A62">
        <f ca="1">IF(_34445073613[[#This Row],[instance]]&lt;OFFSET(_34445073613[[#This Row],[instance]],-1,0), OFFSET(_34445073613[[#This Row],[model]],-1,0)+1, OFFSET(_34445073613[[#This Row],[model]],-1,0))</f>
        <v>1</v>
      </c>
      <c r="B62">
        <v>6</v>
      </c>
      <c r="C62" s="5">
        <v>1.9398148148148147E-4</v>
      </c>
      <c r="D62">
        <v>17.625</v>
      </c>
      <c r="E62">
        <v>12</v>
      </c>
      <c r="F62">
        <v>7</v>
      </c>
      <c r="G62" s="5">
        <v>2.3148148148148148E-6</v>
      </c>
      <c r="H62" s="5">
        <v>6.9446759259259253E-3</v>
      </c>
      <c r="I62" s="5">
        <v>4.6686342592592587E-3</v>
      </c>
      <c r="J62" s="5">
        <v>2.3148148148148148E-6</v>
      </c>
      <c r="P62" s="1"/>
      <c r="Q62">
        <v>11</v>
      </c>
    </row>
    <row r="63" spans="1:29" x14ac:dyDescent="0.25">
      <c r="A63">
        <f ca="1">IF(_34445073613[[#This Row],[instance]]&lt;OFFSET(_34445073613[[#This Row],[instance]],-1,0), OFFSET(_34445073613[[#This Row],[model]],-1,0)+1, OFFSET(_34445073613[[#This Row],[model]],-1,0))</f>
        <v>1</v>
      </c>
      <c r="B63">
        <v>6</v>
      </c>
      <c r="C63" s="5">
        <v>1.9398148148148147E-4</v>
      </c>
      <c r="D63">
        <v>17.625</v>
      </c>
      <c r="E63">
        <v>12</v>
      </c>
      <c r="F63">
        <v>6</v>
      </c>
      <c r="G63" s="5">
        <v>2.3148148148148148E-6</v>
      </c>
      <c r="H63" s="5">
        <v>6.9446759259259253E-3</v>
      </c>
      <c r="I63" s="5">
        <v>4.6686342592592587E-3</v>
      </c>
      <c r="J63" s="5">
        <v>2.3148148148148148E-6</v>
      </c>
      <c r="P63" s="1"/>
      <c r="R63" s="2">
        <v>1</v>
      </c>
      <c r="S63" cm="1">
        <f t="array" aca="1" ref="S63" ca="1">_xlfn.MAXIFS(COL(bench,"wine"), COL(bench,"model"), $R63, COL(bench,"instance"), INDEX($Q:$Q, ROW()-$R63), COL(bench,"time"),"&lt;="&amp;S$1)</f>
        <v>15.75</v>
      </c>
      <c r="T63" cm="1">
        <f t="array" aca="1" ref="T63" ca="1">_xlfn.MAXIFS(COL(bench,"wine"), COL(bench,"model"), $R63, COL(bench,"instance"), INDEX($Q:$Q, ROW()-$R63), COL(bench,"time"),"&lt;="&amp;T$1)-SUM($S63:S63)</f>
        <v>1.5</v>
      </c>
      <c r="U63" cm="1">
        <f t="array" aca="1" ref="U63" ca="1">_xlfn.MAXIFS(COL(bench,"wine"), COL(bench,"model"), $R63, COL(bench,"instance"), INDEX($Q:$Q, ROW()-$R63), COL(bench,"time"),"&lt;="&amp;U$1)-SUM($S63:T63)</f>
        <v>0.375</v>
      </c>
      <c r="V63" cm="1">
        <f t="array" aca="1" ref="V63" ca="1">_xlfn.MAXIFS(COL(bench,"wine"), COL(bench,"model"), $R63, COL(bench,"instance"), INDEX($Q:$Q, ROW()-$R63), COL(bench,"time"),"&lt;="&amp;V$1)-SUM($S63:U63)</f>
        <v>0</v>
      </c>
      <c r="W63" cm="1">
        <f t="array" aca="1" ref="W63" ca="1">_xlfn.MAXIFS(COL(bench,"wine"), COL(bench,"model"), $R63, COL(bench,"instance"), INDEX($Q:$Q, ROW()-$R63), COL(bench,"time"),"&lt;="&amp;W$1)-SUM($S63:V63)</f>
        <v>0</v>
      </c>
      <c r="X63" cm="1">
        <f t="array" ref="X63" xml:space="preserve"> _xlfn.LET(
  _xlpm.idx, _xlfn.XMATCH(1,
      (COL(summary,"model")=$R63)*(COL(summary,"instance")=INDEX($Q:$Q, ROW()-$R63))),
  IFERROR(INDEX(COL(summary,"objective"), _xlpm.idx), #N/A)
)</f>
        <v>17.625</v>
      </c>
    </row>
    <row r="64" spans="1:29" x14ac:dyDescent="0.25">
      <c r="A64">
        <f ca="1">IF(_34445073613[[#This Row],[instance]]&lt;OFFSET(_34445073613[[#This Row],[instance]],-1,0), OFFSET(_34445073613[[#This Row],[model]],-1,0)+1, OFFSET(_34445073613[[#This Row],[model]],-1,0))</f>
        <v>1</v>
      </c>
      <c r="B64">
        <v>7</v>
      </c>
      <c r="C64" s="5">
        <v>6.0185185185185185E-6</v>
      </c>
      <c r="D64">
        <v>0</v>
      </c>
      <c r="E64">
        <v>0</v>
      </c>
      <c r="F64">
        <v>0</v>
      </c>
      <c r="G64" s="5">
        <v>2.4305555555555552E-6</v>
      </c>
      <c r="H64" s="5">
        <v>6.9446759259259253E-3</v>
      </c>
      <c r="I64" s="5">
        <v>4.6686342592592587E-3</v>
      </c>
      <c r="J64" s="5">
        <v>2.3148148148148148E-6</v>
      </c>
      <c r="P64" s="1"/>
      <c r="R64" s="2">
        <v>2</v>
      </c>
      <c r="S64" cm="1">
        <f t="array" aca="1" ref="S64" ca="1">_xlfn.MAXIFS(COL(bench,"wine"), COL(bench,"model"), $R64, COL(bench,"instance"), INDEX($Q:$Q, ROW()-$R64), COL(bench,"time"),"&lt;="&amp;S$1)</f>
        <v>12</v>
      </c>
      <c r="T64" cm="1">
        <f t="array" aca="1" ref="T64" ca="1">_xlfn.MAXIFS(COL(bench,"wine"), COL(bench,"model"), $R64, COL(bench,"instance"), INDEX($Q:$Q, ROW()-$R64), COL(bench,"time"),"&lt;="&amp;T$1)-SUM($S64:S64)</f>
        <v>0</v>
      </c>
      <c r="U64" cm="1">
        <f t="array" aca="1" ref="U64" ca="1">_xlfn.MAXIFS(COL(bench,"wine"), COL(bench,"model"), $R64, COL(bench,"instance"), INDEX($Q:$Q, ROW()-$R64), COL(bench,"time"),"&lt;="&amp;U$1)-SUM($S64:T64)</f>
        <v>0</v>
      </c>
      <c r="V64" cm="1">
        <f t="array" aca="1" ref="V64" ca="1">_xlfn.MAXIFS(COL(bench,"wine"), COL(bench,"model"), $R64, COL(bench,"instance"), INDEX($Q:$Q, ROW()-$R64), COL(bench,"time"),"&lt;="&amp;V$1)-SUM($S64:U64)</f>
        <v>5.625</v>
      </c>
      <c r="W64" cm="1">
        <f t="array" aca="1" ref="W64" ca="1">_xlfn.MAXIFS(COL(bench,"wine"), COL(bench,"model"), $R64, COL(bench,"instance"), INDEX($Q:$Q, ROW()-$R64), COL(bench,"time"),"&lt;="&amp;W$1)-SUM($S64:V64)</f>
        <v>0</v>
      </c>
      <c r="X64" cm="1">
        <f t="array" ref="X64" xml:space="preserve"> _xlfn.LET(
  _xlpm.idx, _xlfn.XMATCH(1,
      (COL(summary,"model")=$R64)*(COL(summary,"instance")=INDEX($Q:$Q, ROW()-$R64))),
  IFERROR(INDEX(COL(summary,"objective"), _xlpm.idx), #N/A)
)</f>
        <v>17.625</v>
      </c>
    </row>
    <row r="65" spans="1:24" x14ac:dyDescent="0.25">
      <c r="A65">
        <f ca="1">IF(_34445073613[[#This Row],[instance]]&lt;OFFSET(_34445073613[[#This Row],[instance]],-1,0), OFFSET(_34445073613[[#This Row],[model]],-1,0)+1, OFFSET(_34445073613[[#This Row],[model]],-1,0))</f>
        <v>1</v>
      </c>
      <c r="B65">
        <v>7</v>
      </c>
      <c r="C65" s="5">
        <v>6.0185185185185185E-6</v>
      </c>
      <c r="D65">
        <v>3</v>
      </c>
      <c r="E65">
        <v>1</v>
      </c>
      <c r="F65">
        <v>1</v>
      </c>
      <c r="G65" s="5">
        <v>2.4305555555555552E-6</v>
      </c>
      <c r="H65" s="5">
        <v>6.9446759259259253E-3</v>
      </c>
      <c r="I65" s="5">
        <v>4.6686342592592587E-3</v>
      </c>
      <c r="J65" s="5">
        <v>2.3148148148148148E-6</v>
      </c>
      <c r="P65" s="1"/>
      <c r="R65" s="2">
        <v>3</v>
      </c>
      <c r="S65" cm="1">
        <f t="array" aca="1" ref="S65" ca="1">_xlfn.MAXIFS(COL(bench,"wine"), COL(bench,"model"), $R65, COL(bench,"instance"), INDEX($Q:$Q, ROW()-$R65), COL(bench,"time"),"&lt;="&amp;S$1)</f>
        <v>10.5</v>
      </c>
      <c r="T65" cm="1">
        <f t="array" aca="1" ref="T65" ca="1">_xlfn.MAXIFS(COL(bench,"wine"), COL(bench,"model"), $R65, COL(bench,"instance"), INDEX($Q:$Q, ROW()-$R65), COL(bench,"time"),"&lt;="&amp;T$1)-SUM($S65:S65)</f>
        <v>0</v>
      </c>
      <c r="U65" cm="1">
        <f t="array" aca="1" ref="U65" ca="1">_xlfn.MAXIFS(COL(bench,"wine"), COL(bench,"model"), $R65, COL(bench,"instance"), INDEX($Q:$Q, ROW()-$R65), COL(bench,"time"),"&lt;="&amp;U$1)-SUM($S65:T65)</f>
        <v>0</v>
      </c>
      <c r="V65" cm="1">
        <f t="array" aca="1" ref="V65" ca="1">_xlfn.MAXIFS(COL(bench,"wine"), COL(bench,"model"), $R65, COL(bench,"instance"), INDEX($Q:$Q, ROW()-$R65), COL(bench,"time"),"&lt;="&amp;V$1)-SUM($S65:U65)</f>
        <v>0</v>
      </c>
      <c r="W65" cm="1">
        <f t="array" aca="1" ref="W65" ca="1">_xlfn.MAXIFS(COL(bench,"wine"), COL(bench,"model"), $R65, COL(bench,"instance"), INDEX($Q:$Q, ROW()-$R65), COL(bench,"time"),"&lt;="&amp;W$1)-SUM($S65:V65)</f>
        <v>0</v>
      </c>
      <c r="X65" t="e" cm="1">
        <f t="array" ref="X65" xml:space="preserve"> _xlfn.LET(
  _xlpm.idx, _xlfn.XMATCH(1,
      (COL(summary,"model")=$R65)*(COL(summary,"instance")=INDEX($Q:$Q, ROW()-$R65))),
  IFERROR(INDEX(COL(summary,"objective"), _xlpm.idx), #N/A)
)</f>
        <v>#N/A</v>
      </c>
    </row>
    <row r="66" spans="1:24" x14ac:dyDescent="0.25">
      <c r="A66">
        <f ca="1">IF(_34445073613[[#This Row],[instance]]&lt;OFFSET(_34445073613[[#This Row],[instance]],-1,0), OFFSET(_34445073613[[#This Row],[model]],-1,0)+1, OFFSET(_34445073613[[#This Row],[model]],-1,0))</f>
        <v>1</v>
      </c>
      <c r="B66">
        <v>7</v>
      </c>
      <c r="C66" s="5">
        <v>6.0185185185185185E-6</v>
      </c>
      <c r="D66">
        <v>6</v>
      </c>
      <c r="E66">
        <v>2</v>
      </c>
      <c r="F66">
        <v>2</v>
      </c>
      <c r="G66" s="5">
        <v>2.4305555555555552E-6</v>
      </c>
      <c r="H66" s="5">
        <v>6.9446759259259253E-3</v>
      </c>
      <c r="I66" s="5">
        <v>4.6686342592592587E-3</v>
      </c>
      <c r="J66" s="5">
        <v>2.3148148148148148E-6</v>
      </c>
      <c r="P66" s="1"/>
      <c r="R66" s="2">
        <v>4</v>
      </c>
      <c r="S66" cm="1">
        <f t="array" aca="1" ref="S66" ca="1">_xlfn.MAXIFS(COL(bench,"wine"), COL(bench,"model"), $R66, COL(bench,"instance"), INDEX($Q:$Q, ROW()-$R66), COL(bench,"time"),"&lt;="&amp;S$1)</f>
        <v>4.125</v>
      </c>
      <c r="T66" cm="1">
        <f t="array" aca="1" ref="T66" ca="1">_xlfn.MAXIFS(COL(bench,"wine"), COL(bench,"model"), $R66, COL(bench,"instance"), INDEX($Q:$Q, ROW()-$R66), COL(bench,"time"),"&lt;="&amp;T$1)-SUM($S66:S66)</f>
        <v>0</v>
      </c>
      <c r="U66" cm="1">
        <f t="array" aca="1" ref="U66" ca="1">_xlfn.MAXIFS(COL(bench,"wine"), COL(bench,"model"), $R66, COL(bench,"instance"), INDEX($Q:$Q, ROW()-$R66), COL(bench,"time"),"&lt;="&amp;U$1)-SUM($S66:T66)</f>
        <v>0</v>
      </c>
      <c r="V66" cm="1">
        <f t="array" aca="1" ref="V66" ca="1">_xlfn.MAXIFS(COL(bench,"wine"), COL(bench,"model"), $R66, COL(bench,"instance"), INDEX($Q:$Q, ROW()-$R66), COL(bench,"time"),"&lt;="&amp;V$1)-SUM($S66:U66)</f>
        <v>0</v>
      </c>
      <c r="W66" cm="1">
        <f t="array" aca="1" ref="W66" ca="1">_xlfn.MAXIFS(COL(bench,"wine"), COL(bench,"model"), $R66, COL(bench,"instance"), INDEX($Q:$Q, ROW()-$R66), COL(bench,"time"),"&lt;="&amp;W$1)-SUM($S66:V66)</f>
        <v>0</v>
      </c>
      <c r="X66" t="e" cm="1">
        <f t="array" ref="X66" xml:space="preserve"> _xlfn.LET(
  _xlpm.idx, _xlfn.XMATCH(1,
      (COL(summary,"model")=$R66)*(COL(summary,"instance")=INDEX($Q:$Q, ROW()-$R66))),
  IFERROR(INDEX(COL(summary,"objective"), _xlpm.idx), #N/A)
)</f>
        <v>#N/A</v>
      </c>
    </row>
    <row r="67" spans="1:24" x14ac:dyDescent="0.25">
      <c r="A67">
        <f ca="1">IF(_34445073613[[#This Row],[instance]]&lt;OFFSET(_34445073613[[#This Row],[instance]],-1,0), OFFSET(_34445073613[[#This Row],[model]],-1,0)+1, OFFSET(_34445073613[[#This Row],[model]],-1,0))</f>
        <v>1</v>
      </c>
      <c r="B67">
        <v>7</v>
      </c>
      <c r="C67" s="5">
        <v>6.0185185185185185E-6</v>
      </c>
      <c r="D67">
        <v>9</v>
      </c>
      <c r="E67">
        <v>3</v>
      </c>
      <c r="F67">
        <v>3</v>
      </c>
      <c r="G67" s="5">
        <v>2.4305555555555552E-6</v>
      </c>
      <c r="H67" s="5">
        <v>6.9446759259259253E-3</v>
      </c>
      <c r="I67" s="5">
        <v>4.6686342592592587E-3</v>
      </c>
      <c r="J67" s="5">
        <v>2.3148148148148148E-6</v>
      </c>
      <c r="P67" s="1"/>
    </row>
    <row r="68" spans="1:24" x14ac:dyDescent="0.25">
      <c r="A68">
        <f ca="1">IF(_34445073613[[#This Row],[instance]]&lt;OFFSET(_34445073613[[#This Row],[instance]],-1,0), OFFSET(_34445073613[[#This Row],[model]],-1,0)+1, OFFSET(_34445073613[[#This Row],[model]],-1,0))</f>
        <v>1</v>
      </c>
      <c r="B68">
        <v>7</v>
      </c>
      <c r="C68" s="5">
        <v>1.6435185185185184E-5</v>
      </c>
      <c r="D68">
        <v>12</v>
      </c>
      <c r="E68">
        <v>4</v>
      </c>
      <c r="F68">
        <v>4</v>
      </c>
      <c r="G68" s="5">
        <v>2.4305555555555552E-6</v>
      </c>
      <c r="H68" s="5">
        <v>6.9446759259259253E-3</v>
      </c>
      <c r="I68" s="5">
        <v>4.6686342592592587E-3</v>
      </c>
      <c r="J68" s="5">
        <v>2.3148148148148148E-6</v>
      </c>
      <c r="P68" s="1"/>
      <c r="Q68">
        <v>12</v>
      </c>
    </row>
    <row r="69" spans="1:24" x14ac:dyDescent="0.25">
      <c r="A69">
        <f ca="1">IF(_34445073613[[#This Row],[instance]]&lt;OFFSET(_34445073613[[#This Row],[instance]],-1,0), OFFSET(_34445073613[[#This Row],[model]],-1,0)+1, OFFSET(_34445073613[[#This Row],[model]],-1,0))</f>
        <v>1</v>
      </c>
      <c r="B69">
        <v>8</v>
      </c>
      <c r="C69" s="5">
        <v>5.9027777777777776E-6</v>
      </c>
      <c r="D69">
        <v>0</v>
      </c>
      <c r="E69">
        <v>0</v>
      </c>
      <c r="F69">
        <v>0</v>
      </c>
      <c r="G69" s="5">
        <v>2.3148148148148148E-6</v>
      </c>
      <c r="H69" s="5">
        <v>6.9446759259259253E-3</v>
      </c>
      <c r="I69" s="5">
        <v>4.6686342592592587E-3</v>
      </c>
      <c r="J69" s="5">
        <v>2.3148148148148148E-6</v>
      </c>
      <c r="P69" s="1"/>
      <c r="R69" s="2">
        <v>1</v>
      </c>
      <c r="S69" cm="1">
        <f t="array" aca="1" ref="S69" ca="1">_xlfn.MAXIFS(COL(bench,"wine"), COL(bench,"model"), $R69, COL(bench,"instance"), INDEX($Q:$Q, ROW()-$R69), COL(bench,"time"),"&lt;="&amp;S$1)</f>
        <v>12</v>
      </c>
      <c r="T69" cm="1">
        <f t="array" aca="1" ref="T69" ca="1">_xlfn.MAXIFS(COL(bench,"wine"), COL(bench,"model"), $R69, COL(bench,"instance"), INDEX($Q:$Q, ROW()-$R69), COL(bench,"time"),"&lt;="&amp;T$1)-SUM($S69:S69)</f>
        <v>0</v>
      </c>
      <c r="U69" cm="1">
        <f t="array" aca="1" ref="U69" ca="1">_xlfn.MAXIFS(COL(bench,"wine"), COL(bench,"model"), $R69, COL(bench,"instance"), INDEX($Q:$Q, ROW()-$R69), COL(bench,"time"),"&lt;="&amp;U$1)-SUM($S69:T69)</f>
        <v>0</v>
      </c>
      <c r="V69" cm="1">
        <f t="array" aca="1" ref="V69" ca="1">_xlfn.MAXIFS(COL(bench,"wine"), COL(bench,"model"), $R69, COL(bench,"instance"), INDEX($Q:$Q, ROW()-$R69), COL(bench,"time"),"&lt;="&amp;V$1)-SUM($S69:U69)</f>
        <v>0</v>
      </c>
      <c r="W69" cm="1">
        <f t="array" aca="1" ref="W69" ca="1">_xlfn.MAXIFS(COL(bench,"wine"), COL(bench,"model"), $R69, COL(bench,"instance"), INDEX($Q:$Q, ROW()-$R69), COL(bench,"time"),"&lt;="&amp;W$1)-SUM($S69:V69)</f>
        <v>0</v>
      </c>
      <c r="X69" t="e" cm="1">
        <f t="array" ref="X69" xml:space="preserve"> _xlfn.LET(
  _xlpm.idx, _xlfn.XMATCH(1,
      (COL(summary,"model")=$R69)*(COL(summary,"instance")=INDEX($Q:$Q, ROW()-$R69))),
  IFERROR(INDEX(COL(summary,"objective"), _xlpm.idx), #N/A)
)</f>
        <v>#N/A</v>
      </c>
    </row>
    <row r="70" spans="1:24" x14ac:dyDescent="0.25">
      <c r="A70">
        <f ca="1">IF(_34445073613[[#This Row],[instance]]&lt;OFFSET(_34445073613[[#This Row],[instance]],-1,0), OFFSET(_34445073613[[#This Row],[model]],-1,0)+1, OFFSET(_34445073613[[#This Row],[model]],-1,0))</f>
        <v>1</v>
      </c>
      <c r="B70">
        <v>8</v>
      </c>
      <c r="C70" s="5">
        <v>5.9027777777777776E-6</v>
      </c>
      <c r="D70">
        <v>9</v>
      </c>
      <c r="E70">
        <v>3</v>
      </c>
      <c r="F70">
        <v>1</v>
      </c>
      <c r="G70" s="5">
        <v>2.3148148148148148E-6</v>
      </c>
      <c r="H70" s="5">
        <v>6.9446759259259253E-3</v>
      </c>
      <c r="I70" s="5">
        <v>4.6686342592592587E-3</v>
      </c>
      <c r="J70" s="5">
        <v>2.3148148148148148E-6</v>
      </c>
      <c r="P70" s="1"/>
      <c r="R70" s="2">
        <v>2</v>
      </c>
      <c r="S70" cm="1">
        <f t="array" aca="1" ref="S70" ca="1">_xlfn.MAXIFS(COL(bench,"wine"), COL(bench,"model"), $R70, COL(bench,"instance"), INDEX($Q:$Q, ROW()-$R70), COL(bench,"time"),"&lt;="&amp;S$1)</f>
        <v>12</v>
      </c>
      <c r="T70" cm="1">
        <f t="array" aca="1" ref="T70" ca="1">_xlfn.MAXIFS(COL(bench,"wine"), COL(bench,"model"), $R70, COL(bench,"instance"), INDEX($Q:$Q, ROW()-$R70), COL(bench,"time"),"&lt;="&amp;T$1)-SUM($S70:S70)</f>
        <v>0</v>
      </c>
      <c r="U70" cm="1">
        <f t="array" aca="1" ref="U70" ca="1">_xlfn.MAXIFS(COL(bench,"wine"), COL(bench,"model"), $R70, COL(bench,"instance"), INDEX($Q:$Q, ROW()-$R70), COL(bench,"time"),"&lt;="&amp;U$1)-SUM($S70:T70)</f>
        <v>0</v>
      </c>
      <c r="V70" cm="1">
        <f t="array" aca="1" ref="V70" ca="1">_xlfn.MAXIFS(COL(bench,"wine"), COL(bench,"model"), $R70, COL(bench,"instance"), INDEX($Q:$Q, ROW()-$R70), COL(bench,"time"),"&lt;="&amp;V$1)-SUM($S70:U70)</f>
        <v>0</v>
      </c>
      <c r="W70" cm="1">
        <f t="array" aca="1" ref="W70" ca="1">_xlfn.MAXIFS(COL(bench,"wine"), COL(bench,"model"), $R70, COL(bench,"instance"), INDEX($Q:$Q, ROW()-$R70), COL(bench,"time"),"&lt;="&amp;W$1)-SUM($S70:V70)</f>
        <v>0</v>
      </c>
      <c r="X70" t="e" cm="1">
        <f t="array" ref="X70" xml:space="preserve"> _xlfn.LET(
  _xlpm.idx, _xlfn.XMATCH(1,
      (COL(summary,"model")=$R70)*(COL(summary,"instance")=INDEX($Q:$Q, ROW()-$R70))),
  IFERROR(INDEX(COL(summary,"objective"), _xlpm.idx), #N/A)
)</f>
        <v>#N/A</v>
      </c>
    </row>
    <row r="71" spans="1:24" x14ac:dyDescent="0.25">
      <c r="A71">
        <f ca="1">IF(_34445073613[[#This Row],[instance]]&lt;OFFSET(_34445073613[[#This Row],[instance]],-1,0), OFFSET(_34445073613[[#This Row],[model]],-1,0)+1, OFFSET(_34445073613[[#This Row],[model]],-1,0))</f>
        <v>1</v>
      </c>
      <c r="B71">
        <v>8</v>
      </c>
      <c r="C71" s="5">
        <v>6.0185185185185185E-6</v>
      </c>
      <c r="D71">
        <v>10.5</v>
      </c>
      <c r="E71">
        <v>4</v>
      </c>
      <c r="F71">
        <v>1</v>
      </c>
      <c r="G71" s="5">
        <v>2.3148148148148148E-6</v>
      </c>
      <c r="H71" s="5">
        <v>6.9446759259259253E-3</v>
      </c>
      <c r="I71" s="5">
        <v>4.6686342592592587E-3</v>
      </c>
      <c r="J71" s="5">
        <v>2.3148148148148148E-6</v>
      </c>
      <c r="P71" s="1"/>
      <c r="R71" s="2">
        <v>3</v>
      </c>
      <c r="S71" cm="1">
        <f t="array" aca="1" ref="S71" ca="1">_xlfn.MAXIFS(COL(bench,"wine"), COL(bench,"model"), $R71, COL(bench,"instance"), INDEX($Q:$Q, ROW()-$R71), COL(bench,"time"),"&lt;="&amp;S$1)</f>
        <v>3</v>
      </c>
      <c r="T71" cm="1">
        <f t="array" aca="1" ref="T71" ca="1">_xlfn.MAXIFS(COL(bench,"wine"), COL(bench,"model"), $R71, COL(bench,"instance"), INDEX($Q:$Q, ROW()-$R71), COL(bench,"time"),"&lt;="&amp;T$1)-SUM($S71:S71)</f>
        <v>0</v>
      </c>
      <c r="U71" cm="1">
        <f t="array" aca="1" ref="U71" ca="1">_xlfn.MAXIFS(COL(bench,"wine"), COL(bench,"model"), $R71, COL(bench,"instance"), INDEX($Q:$Q, ROW()-$R71), COL(bench,"time"),"&lt;="&amp;U$1)-SUM($S71:T71)</f>
        <v>0</v>
      </c>
      <c r="V71" cm="1">
        <f t="array" aca="1" ref="V71" ca="1">_xlfn.MAXIFS(COL(bench,"wine"), COL(bench,"model"), $R71, COL(bench,"instance"), INDEX($Q:$Q, ROW()-$R71), COL(bench,"time"),"&lt;="&amp;V$1)-SUM($S71:U71)</f>
        <v>0</v>
      </c>
      <c r="W71" cm="1">
        <f t="array" aca="1" ref="W71" ca="1">_xlfn.MAXIFS(COL(bench,"wine"), COL(bench,"model"), $R71, COL(bench,"instance"), INDEX($Q:$Q, ROW()-$R71), COL(bench,"time"),"&lt;="&amp;W$1)-SUM($S71:V71)</f>
        <v>0</v>
      </c>
      <c r="X71" t="e" cm="1">
        <f t="array" ref="X71" xml:space="preserve"> _xlfn.LET(
  _xlpm.idx, _xlfn.XMATCH(1,
      (COL(summary,"model")=$R71)*(COL(summary,"instance")=INDEX($Q:$Q, ROW()-$R71))),
  IFERROR(INDEX(COL(summary,"objective"), _xlpm.idx), #N/A)
)</f>
        <v>#N/A</v>
      </c>
    </row>
    <row r="72" spans="1:24" x14ac:dyDescent="0.25">
      <c r="A72">
        <f ca="1">IF(_34445073613[[#This Row],[instance]]&lt;OFFSET(_34445073613[[#This Row],[instance]],-1,0), OFFSET(_34445073613[[#This Row],[model]],-1,0)+1, OFFSET(_34445073613[[#This Row],[model]],-1,0))</f>
        <v>1</v>
      </c>
      <c r="B72">
        <v>8</v>
      </c>
      <c r="C72" s="5">
        <v>6.0185185185185185E-6</v>
      </c>
      <c r="D72">
        <v>12</v>
      </c>
      <c r="E72">
        <v>4</v>
      </c>
      <c r="F72">
        <v>1</v>
      </c>
      <c r="G72" s="5">
        <v>2.3148148148148148E-6</v>
      </c>
      <c r="H72" s="5">
        <v>6.9446759259259253E-3</v>
      </c>
      <c r="I72" s="5">
        <v>4.6686342592592587E-3</v>
      </c>
      <c r="J72" s="5">
        <v>2.3148148148148148E-6</v>
      </c>
      <c r="P72" s="1"/>
      <c r="R72" s="2">
        <v>4</v>
      </c>
      <c r="S72" cm="1">
        <f t="array" aca="1" ref="S72" ca="1">_xlfn.MAXIFS(COL(bench,"wine"), COL(bench,"model"), $R72, COL(bench,"instance"), INDEX($Q:$Q, ROW()-$R72), COL(bench,"time"),"&lt;="&amp;S$1)</f>
        <v>0</v>
      </c>
      <c r="T72" cm="1">
        <f t="array" aca="1" ref="T72" ca="1">_xlfn.MAXIFS(COL(bench,"wine"), COL(bench,"model"), $R72, COL(bench,"instance"), INDEX($Q:$Q, ROW()-$R72), COL(bench,"time"),"&lt;="&amp;T$1)-SUM($S72:S72)</f>
        <v>3</v>
      </c>
      <c r="U72" cm="1">
        <f t="array" aca="1" ref="U72" ca="1">_xlfn.MAXIFS(COL(bench,"wine"), COL(bench,"model"), $R72, COL(bench,"instance"), INDEX($Q:$Q, ROW()-$R72), COL(bench,"time"),"&lt;="&amp;U$1)-SUM($S72:T72)</f>
        <v>0</v>
      </c>
      <c r="V72" cm="1">
        <f t="array" aca="1" ref="V72" ca="1">_xlfn.MAXIFS(COL(bench,"wine"), COL(bench,"model"), $R72, COL(bench,"instance"), INDEX($Q:$Q, ROW()-$R72), COL(bench,"time"),"&lt;="&amp;V$1)-SUM($S72:U72)</f>
        <v>3</v>
      </c>
      <c r="W72" cm="1">
        <f t="array" aca="1" ref="W72" ca="1">_xlfn.MAXIFS(COL(bench,"wine"), COL(bench,"model"), $R72, COL(bench,"instance"), INDEX($Q:$Q, ROW()-$R72), COL(bench,"time"),"&lt;="&amp;W$1)-SUM($S72:V72)</f>
        <v>0</v>
      </c>
      <c r="X72" t="e" cm="1">
        <f t="array" ref="X72" xml:space="preserve"> _xlfn.LET(
  _xlpm.idx, _xlfn.XMATCH(1,
      (COL(summary,"model")=$R72)*(COL(summary,"instance")=INDEX($Q:$Q, ROW()-$R72))),
  IFERROR(INDEX(COL(summary,"objective"), _xlpm.idx), #N/A)
)</f>
        <v>#N/A</v>
      </c>
    </row>
    <row r="73" spans="1:24" x14ac:dyDescent="0.25">
      <c r="A73">
        <f ca="1">IF(_34445073613[[#This Row],[instance]]&lt;OFFSET(_34445073613[[#This Row],[instance]],-1,0), OFFSET(_34445073613[[#This Row],[model]],-1,0)+1, OFFSET(_34445073613[[#This Row],[model]],-1,0))</f>
        <v>1</v>
      </c>
      <c r="B73">
        <v>8</v>
      </c>
      <c r="C73" s="5">
        <v>6.0185185185185185E-6</v>
      </c>
      <c r="D73">
        <v>13.5</v>
      </c>
      <c r="E73">
        <v>5</v>
      </c>
      <c r="F73">
        <v>2</v>
      </c>
      <c r="G73" s="5">
        <v>2.3148148148148148E-6</v>
      </c>
      <c r="H73" s="5">
        <v>6.9446759259259253E-3</v>
      </c>
      <c r="I73" s="5">
        <v>4.6686342592592587E-3</v>
      </c>
      <c r="J73" s="5">
        <v>2.3148148148148148E-6</v>
      </c>
      <c r="P73" s="1"/>
    </row>
    <row r="74" spans="1:24" x14ac:dyDescent="0.25">
      <c r="A74">
        <f ca="1">IF(_34445073613[[#This Row],[instance]]&lt;OFFSET(_34445073613[[#This Row],[instance]],-1,0), OFFSET(_34445073613[[#This Row],[model]],-1,0)+1, OFFSET(_34445073613[[#This Row],[model]],-1,0))</f>
        <v>1</v>
      </c>
      <c r="B74">
        <v>8</v>
      </c>
      <c r="C74" s="5">
        <v>1.8865740740740738E-5</v>
      </c>
      <c r="D74">
        <v>15</v>
      </c>
      <c r="E74">
        <v>6</v>
      </c>
      <c r="F74">
        <v>3</v>
      </c>
      <c r="G74" s="5">
        <v>2.3148148148148148E-6</v>
      </c>
      <c r="H74" s="5">
        <v>6.9446759259259253E-3</v>
      </c>
      <c r="I74" s="5">
        <v>4.6686342592592587E-3</v>
      </c>
      <c r="J74" s="5">
        <v>2.3148148148148148E-6</v>
      </c>
      <c r="P74" s="1"/>
      <c r="Q74">
        <v>13</v>
      </c>
    </row>
    <row r="75" spans="1:24" x14ac:dyDescent="0.25">
      <c r="A75">
        <f ca="1">IF(_34445073613[[#This Row],[instance]]&lt;OFFSET(_34445073613[[#This Row],[instance]],-1,0), OFFSET(_34445073613[[#This Row],[model]],-1,0)+1, OFFSET(_34445073613[[#This Row],[model]],-1,0))</f>
        <v>1</v>
      </c>
      <c r="B75">
        <v>8</v>
      </c>
      <c r="C75" s="5">
        <v>1.8865740740740738E-5</v>
      </c>
      <c r="D75">
        <v>15</v>
      </c>
      <c r="E75">
        <v>6</v>
      </c>
      <c r="F75">
        <v>2</v>
      </c>
      <c r="G75" s="5">
        <v>2.3148148148148148E-6</v>
      </c>
      <c r="H75" s="5">
        <v>6.9446759259259253E-3</v>
      </c>
      <c r="I75" s="5">
        <v>4.6686342592592587E-3</v>
      </c>
      <c r="J75" s="5">
        <v>2.3148148148148148E-6</v>
      </c>
      <c r="P75" s="1"/>
      <c r="R75" s="2">
        <v>1</v>
      </c>
      <c r="S75" cm="1">
        <f t="array" aca="1" ref="S75" ca="1">_xlfn.MAXIFS(COL(bench,"wine"), COL(bench,"model"), $R75, COL(bench,"instance"), INDEX($Q:$Q, ROW()-$R75), COL(bench,"time"),"&lt;="&amp;S$1)</f>
        <v>13</v>
      </c>
      <c r="T75" cm="1">
        <f t="array" aca="1" ref="T75" ca="1">_xlfn.MAXIFS(COL(bench,"wine"), COL(bench,"model"), $R75, COL(bench,"instance"), INDEX($Q:$Q, ROW()-$R75), COL(bench,"time"),"&lt;="&amp;T$1)-SUM($S75:S75)</f>
        <v>1</v>
      </c>
      <c r="U75" cm="1">
        <f t="array" aca="1" ref="U75" ca="1">_xlfn.MAXIFS(COL(bench,"wine"), COL(bench,"model"), $R75, COL(bench,"instance"), INDEX($Q:$Q, ROW()-$R75), COL(bench,"time"),"&lt;="&amp;U$1)-SUM($S75:T75)</f>
        <v>0</v>
      </c>
      <c r="V75" cm="1">
        <f t="array" aca="1" ref="V75" ca="1">_xlfn.MAXIFS(COL(bench,"wine"), COL(bench,"model"), $R75, COL(bench,"instance"), INDEX($Q:$Q, ROW()-$R75), COL(bench,"time"),"&lt;="&amp;V$1)-SUM($S75:U75)</f>
        <v>0.375</v>
      </c>
      <c r="W75" cm="1">
        <f t="array" aca="1" ref="W75" ca="1">_xlfn.MAXIFS(COL(bench,"wine"), COL(bench,"model"), $R75, COL(bench,"instance"), INDEX($Q:$Q, ROW()-$R75), COL(bench,"time"),"&lt;="&amp;W$1)-SUM($S75:V75)</f>
        <v>0.625</v>
      </c>
      <c r="X75" t="e" cm="1">
        <f t="array" ref="X75" xml:space="preserve"> _xlfn.LET(
  _xlpm.idx, _xlfn.XMATCH(1,
      (COL(summary,"model")=$R75)*(COL(summary,"instance")=INDEX($Q:$Q, ROW()-$R75))),
  IFERROR(INDEX(COL(summary,"objective"), _xlpm.idx), #N/A)
)</f>
        <v>#N/A</v>
      </c>
    </row>
    <row r="76" spans="1:24" x14ac:dyDescent="0.25">
      <c r="A76">
        <f ca="1">IF(_34445073613[[#This Row],[instance]]&lt;OFFSET(_34445073613[[#This Row],[instance]],-1,0), OFFSET(_34445073613[[#This Row],[model]],-1,0)+1, OFFSET(_34445073613[[#This Row],[model]],-1,0))</f>
        <v>1</v>
      </c>
      <c r="B76">
        <v>8</v>
      </c>
      <c r="C76" s="5">
        <v>5.7060185185185186E-5</v>
      </c>
      <c r="D76">
        <v>16</v>
      </c>
      <c r="E76">
        <v>8</v>
      </c>
      <c r="F76">
        <v>4</v>
      </c>
      <c r="G76" s="5">
        <v>2.3148148148148148E-6</v>
      </c>
      <c r="H76" s="5">
        <v>6.9446759259259253E-3</v>
      </c>
      <c r="I76" s="5">
        <v>4.6686342592592587E-3</v>
      </c>
      <c r="J76" s="5">
        <v>2.3148148148148148E-6</v>
      </c>
      <c r="P76" s="1"/>
      <c r="R76" s="2">
        <v>2</v>
      </c>
      <c r="S76" cm="1">
        <f t="array" aca="1" ref="S76" ca="1">_xlfn.MAXIFS(COL(bench,"wine"), COL(bench,"model"), $R76, COL(bench,"instance"), INDEX($Q:$Q, ROW()-$R76), COL(bench,"time"),"&lt;="&amp;S$1)</f>
        <v>15.75</v>
      </c>
      <c r="T76" cm="1">
        <f t="array" aca="1" ref="T76" ca="1">_xlfn.MAXIFS(COL(bench,"wine"), COL(bench,"model"), $R76, COL(bench,"instance"), INDEX($Q:$Q, ROW()-$R76), COL(bench,"time"),"&lt;="&amp;T$1)-SUM($S76:S76)</f>
        <v>0</v>
      </c>
      <c r="U76" cm="1">
        <f t="array" aca="1" ref="U76" ca="1">_xlfn.MAXIFS(COL(bench,"wine"), COL(bench,"model"), $R76, COL(bench,"instance"), INDEX($Q:$Q, ROW()-$R76), COL(bench,"time"),"&lt;="&amp;U$1)-SUM($S76:T76)</f>
        <v>0</v>
      </c>
      <c r="V76" cm="1">
        <f t="array" aca="1" ref="V76" ca="1">_xlfn.MAXIFS(COL(bench,"wine"), COL(bench,"model"), $R76, COL(bench,"instance"), INDEX($Q:$Q, ROW()-$R76), COL(bench,"time"),"&lt;="&amp;V$1)-SUM($S76:U76)</f>
        <v>0</v>
      </c>
      <c r="W76" cm="1">
        <f t="array" aca="1" ref="W76" ca="1">_xlfn.MAXIFS(COL(bench,"wine"), COL(bench,"model"), $R76, COL(bench,"instance"), INDEX($Q:$Q, ROW()-$R76), COL(bench,"time"),"&lt;="&amp;W$1)-SUM($S76:V76)</f>
        <v>0</v>
      </c>
      <c r="X76" t="e" cm="1">
        <f t="array" ref="X76" xml:space="preserve"> _xlfn.LET(
  _xlpm.idx, _xlfn.XMATCH(1,
      (COL(summary,"model")=$R76)*(COL(summary,"instance")=INDEX($Q:$Q, ROW()-$R76))),
  IFERROR(INDEX(COL(summary,"objective"), _xlpm.idx), #N/A)
)</f>
        <v>#N/A</v>
      </c>
    </row>
    <row r="77" spans="1:24" x14ac:dyDescent="0.25">
      <c r="A77">
        <f ca="1">IF(_34445073613[[#This Row],[instance]]&lt;OFFSET(_34445073613[[#This Row],[instance]],-1,0), OFFSET(_34445073613[[#This Row],[model]],-1,0)+1, OFFSET(_34445073613[[#This Row],[model]],-1,0))</f>
        <v>1</v>
      </c>
      <c r="B77">
        <v>8</v>
      </c>
      <c r="C77" s="5">
        <v>5.7060185185185186E-5</v>
      </c>
      <c r="D77">
        <v>16.5</v>
      </c>
      <c r="E77">
        <v>7</v>
      </c>
      <c r="F77">
        <v>3</v>
      </c>
      <c r="G77" s="5">
        <v>2.3148148148148148E-6</v>
      </c>
      <c r="H77" s="5">
        <v>6.9446759259259253E-3</v>
      </c>
      <c r="I77" s="5">
        <v>4.6686342592592587E-3</v>
      </c>
      <c r="J77" s="5">
        <v>2.3148148148148148E-6</v>
      </c>
      <c r="P77" s="1"/>
      <c r="R77" s="2">
        <v>3</v>
      </c>
      <c r="S77" cm="1">
        <f t="array" aca="1" ref="S77" ca="1">_xlfn.MAXIFS(COL(bench,"wine"), COL(bench,"model"), $R77, COL(bench,"instance"), INDEX($Q:$Q, ROW()-$R77), COL(bench,"time"),"&lt;="&amp;S$1)</f>
        <v>7.5</v>
      </c>
      <c r="T77" cm="1">
        <f t="array" aca="1" ref="T77" ca="1">_xlfn.MAXIFS(COL(bench,"wine"), COL(bench,"model"), $R77, COL(bench,"instance"), INDEX($Q:$Q, ROW()-$R77), COL(bench,"time"),"&lt;="&amp;T$1)-SUM($S77:S77)</f>
        <v>0</v>
      </c>
      <c r="U77" cm="1">
        <f t="array" aca="1" ref="U77" ca="1">_xlfn.MAXIFS(COL(bench,"wine"), COL(bench,"model"), $R77, COL(bench,"instance"), INDEX($Q:$Q, ROW()-$R77), COL(bench,"time"),"&lt;="&amp;U$1)-SUM($S77:T77)</f>
        <v>0</v>
      </c>
      <c r="V77" cm="1">
        <f t="array" aca="1" ref="V77" ca="1">_xlfn.MAXIFS(COL(bench,"wine"), COL(bench,"model"), $R77, COL(bench,"instance"), INDEX($Q:$Q, ROW()-$R77), COL(bench,"time"),"&lt;="&amp;V$1)-SUM($S77:U77)</f>
        <v>0</v>
      </c>
      <c r="W77" cm="1">
        <f t="array" aca="1" ref="W77" ca="1">_xlfn.MAXIFS(COL(bench,"wine"), COL(bench,"model"), $R77, COL(bench,"instance"), INDEX($Q:$Q, ROW()-$R77), COL(bench,"time"),"&lt;="&amp;W$1)-SUM($S77:V77)</f>
        <v>0</v>
      </c>
      <c r="X77" t="e" cm="1">
        <f t="array" ref="X77" xml:space="preserve"> _xlfn.LET(
  _xlpm.idx, _xlfn.XMATCH(1,
      (COL(summary,"model")=$R77)*(COL(summary,"instance")=INDEX($Q:$Q, ROW()-$R77))),
  IFERROR(INDEX(COL(summary,"objective"), _xlpm.idx), #N/A)
)</f>
        <v>#N/A</v>
      </c>
    </row>
    <row r="78" spans="1:24" x14ac:dyDescent="0.25">
      <c r="A78">
        <f ca="1">IF(_34445073613[[#This Row],[instance]]&lt;OFFSET(_34445073613[[#This Row],[instance]],-1,0), OFFSET(_34445073613[[#This Row],[model]],-1,0)+1, OFFSET(_34445073613[[#This Row],[model]],-1,0))</f>
        <v>1</v>
      </c>
      <c r="B78">
        <v>8</v>
      </c>
      <c r="C78" s="5">
        <v>5.7060185185185186E-5</v>
      </c>
      <c r="D78">
        <v>16.5</v>
      </c>
      <c r="E78">
        <v>7</v>
      </c>
      <c r="F78">
        <v>2</v>
      </c>
      <c r="G78" s="5">
        <v>2.3148148148148148E-6</v>
      </c>
      <c r="H78" s="5">
        <v>6.9446759259259253E-3</v>
      </c>
      <c r="I78" s="5">
        <v>4.6686342592592587E-3</v>
      </c>
      <c r="J78" s="5">
        <v>2.3148148148148148E-6</v>
      </c>
      <c r="P78" s="1"/>
      <c r="R78" s="2">
        <v>4</v>
      </c>
      <c r="S78" cm="1">
        <f t="array" aca="1" ref="S78" ca="1">_xlfn.MAXIFS(COL(bench,"wine"), COL(bench,"model"), $R78, COL(bench,"instance"), INDEX($Q:$Q, ROW()-$R78), COL(bench,"time"),"&lt;="&amp;S$1)</f>
        <v>3.75</v>
      </c>
      <c r="T78" cm="1">
        <f t="array" aca="1" ref="T78" ca="1">_xlfn.MAXIFS(COL(bench,"wine"), COL(bench,"model"), $R78, COL(bench,"instance"), INDEX($Q:$Q, ROW()-$R78), COL(bench,"time"),"&lt;="&amp;T$1)-SUM($S78:S78)</f>
        <v>0</v>
      </c>
      <c r="U78" cm="1">
        <f t="array" aca="1" ref="U78" ca="1">_xlfn.MAXIFS(COL(bench,"wine"), COL(bench,"model"), $R78, COL(bench,"instance"), INDEX($Q:$Q, ROW()-$R78), COL(bench,"time"),"&lt;="&amp;U$1)-SUM($S78:T78)</f>
        <v>0.125</v>
      </c>
      <c r="V78" cm="1">
        <f t="array" aca="1" ref="V78" ca="1">_xlfn.MAXIFS(COL(bench,"wine"), COL(bench,"model"), $R78, COL(bench,"instance"), INDEX($Q:$Q, ROW()-$R78), COL(bench,"time"),"&lt;="&amp;V$1)-SUM($S78:U78)</f>
        <v>0.75</v>
      </c>
      <c r="W78" cm="1">
        <f t="array" aca="1" ref="W78" ca="1">_xlfn.MAXIFS(COL(bench,"wine"), COL(bench,"model"), $R78, COL(bench,"instance"), INDEX($Q:$Q, ROW()-$R78), COL(bench,"time"),"&lt;="&amp;W$1)-SUM($S78:V78)</f>
        <v>0</v>
      </c>
      <c r="X78" t="e" cm="1">
        <f t="array" ref="X78" xml:space="preserve"> _xlfn.LET(
  _xlpm.idx, _xlfn.XMATCH(1,
      (COL(summary,"model")=$R78)*(COL(summary,"instance")=INDEX($Q:$Q, ROW()-$R78))),
  IFERROR(INDEX(COL(summary,"objective"), _xlpm.idx), #N/A)
)</f>
        <v>#N/A</v>
      </c>
    </row>
    <row r="79" spans="1:24" x14ac:dyDescent="0.25">
      <c r="A79">
        <f ca="1">IF(_34445073613[[#This Row],[instance]]&lt;OFFSET(_34445073613[[#This Row],[instance]],-1,0), OFFSET(_34445073613[[#This Row],[model]],-1,0)+1, OFFSET(_34445073613[[#This Row],[model]],-1,0))</f>
        <v>1</v>
      </c>
      <c r="B79">
        <v>8</v>
      </c>
      <c r="C79" s="5">
        <v>8.4259259259259251E-5</v>
      </c>
      <c r="D79">
        <v>17.5</v>
      </c>
      <c r="E79">
        <v>8</v>
      </c>
      <c r="F79">
        <v>3</v>
      </c>
      <c r="G79" s="5">
        <v>2.3148148148148148E-6</v>
      </c>
      <c r="H79" s="5">
        <v>6.9446759259259253E-3</v>
      </c>
      <c r="I79" s="5">
        <v>4.6686342592592587E-3</v>
      </c>
      <c r="J79" s="5">
        <v>2.3148148148148148E-6</v>
      </c>
      <c r="P79" s="1"/>
    </row>
    <row r="80" spans="1:24" x14ac:dyDescent="0.25">
      <c r="A80">
        <f ca="1">IF(_34445073613[[#This Row],[instance]]&lt;OFFSET(_34445073613[[#This Row],[instance]],-1,0), OFFSET(_34445073613[[#This Row],[model]],-1,0)+1, OFFSET(_34445073613[[#This Row],[model]],-1,0))</f>
        <v>1</v>
      </c>
      <c r="B80">
        <v>8</v>
      </c>
      <c r="C80" s="5">
        <v>8.4259259259259251E-5</v>
      </c>
      <c r="D80">
        <v>18</v>
      </c>
      <c r="E80">
        <v>8</v>
      </c>
      <c r="F80">
        <v>3</v>
      </c>
      <c r="G80" s="5">
        <v>2.3148148148148148E-6</v>
      </c>
      <c r="H80" s="5">
        <v>6.9446759259259253E-3</v>
      </c>
      <c r="I80" s="5">
        <v>4.6686342592592587E-3</v>
      </c>
      <c r="J80" s="5">
        <v>2.3148148148148148E-6</v>
      </c>
      <c r="P80" s="1"/>
      <c r="Q80">
        <v>14</v>
      </c>
    </row>
    <row r="81" spans="1:24" x14ac:dyDescent="0.25">
      <c r="A81">
        <f ca="1">IF(_34445073613[[#This Row],[instance]]&lt;OFFSET(_34445073613[[#This Row],[instance]],-1,0), OFFSET(_34445073613[[#This Row],[model]],-1,0)+1, OFFSET(_34445073613[[#This Row],[model]],-1,0))</f>
        <v>1</v>
      </c>
      <c r="B81">
        <v>8</v>
      </c>
      <c r="C81" s="5">
        <v>8.4259259259259251E-5</v>
      </c>
      <c r="D81">
        <v>18</v>
      </c>
      <c r="E81">
        <v>8</v>
      </c>
      <c r="F81">
        <v>2</v>
      </c>
      <c r="G81" s="5">
        <v>2.3148148148148148E-6</v>
      </c>
      <c r="H81" s="5">
        <v>6.9446759259259253E-3</v>
      </c>
      <c r="I81" s="5">
        <v>4.6686342592592587E-3</v>
      </c>
      <c r="J81" s="5">
        <v>2.3148148148148148E-6</v>
      </c>
      <c r="P81" s="1"/>
      <c r="R81" s="2">
        <v>1</v>
      </c>
      <c r="S81" cm="1">
        <f t="array" aca="1" ref="S81" ca="1">_xlfn.MAXIFS(COL(bench,"wine"), COL(bench,"model"), $R81, COL(bench,"instance"), INDEX($Q:$Q, ROW()-$R81), COL(bench,"time"),"&lt;="&amp;S$1)</f>
        <v>12</v>
      </c>
      <c r="T81" cm="1">
        <f t="array" aca="1" ref="T81" ca="1">_xlfn.MAXIFS(COL(bench,"wine"), COL(bench,"model"), $R81, COL(bench,"instance"), INDEX($Q:$Q, ROW()-$R81), COL(bench,"time"),"&lt;="&amp;T$1)-SUM($S81:S81)</f>
        <v>0</v>
      </c>
      <c r="U81" cm="1">
        <f t="array" aca="1" ref="U81" ca="1">_xlfn.MAXIFS(COL(bench,"wine"), COL(bench,"model"), $R81, COL(bench,"instance"), INDEX($Q:$Q, ROW()-$R81), COL(bench,"time"),"&lt;="&amp;U$1)-SUM($S81:T81)</f>
        <v>0</v>
      </c>
      <c r="V81" cm="1">
        <f t="array" aca="1" ref="V81" ca="1">_xlfn.MAXIFS(COL(bench,"wine"), COL(bench,"model"), $R81, COL(bench,"instance"), INDEX($Q:$Q, ROW()-$R81), COL(bench,"time"),"&lt;="&amp;V$1)-SUM($S81:U81)</f>
        <v>9.75</v>
      </c>
      <c r="W81" cm="1">
        <f t="array" aca="1" ref="W81" ca="1">_xlfn.MAXIFS(COL(bench,"wine"), COL(bench,"model"), $R81, COL(bench,"instance"), INDEX($Q:$Q, ROW()-$R81), COL(bench,"time"),"&lt;="&amp;W$1)-SUM($S81:V81)</f>
        <v>0</v>
      </c>
      <c r="X81" t="e" cm="1">
        <f t="array" ref="X81" xml:space="preserve"> _xlfn.LET(
  _xlpm.idx, _xlfn.XMATCH(1,
      (COL(summary,"model")=$R81)*(COL(summary,"instance")=INDEX($Q:$Q, ROW()-$R81))),
  IFERROR(INDEX(COL(summary,"objective"), _xlpm.idx), #N/A)
)</f>
        <v>#N/A</v>
      </c>
    </row>
    <row r="82" spans="1:24" x14ac:dyDescent="0.25">
      <c r="A82">
        <f ca="1">IF(_34445073613[[#This Row],[instance]]&lt;OFFSET(_34445073613[[#This Row],[instance]],-1,0), OFFSET(_34445073613[[#This Row],[model]],-1,0)+1, OFFSET(_34445073613[[#This Row],[model]],-1,0))</f>
        <v>1</v>
      </c>
      <c r="B82">
        <v>8</v>
      </c>
      <c r="C82" s="5">
        <v>8.4259259259259251E-5</v>
      </c>
      <c r="D82">
        <v>19</v>
      </c>
      <c r="E82">
        <v>9</v>
      </c>
      <c r="F82">
        <v>4</v>
      </c>
      <c r="G82" s="5">
        <v>2.3148148148148148E-6</v>
      </c>
      <c r="H82" s="5">
        <v>6.9446759259259253E-3</v>
      </c>
      <c r="I82" s="5">
        <v>4.6686342592592587E-3</v>
      </c>
      <c r="J82" s="5">
        <v>2.3148148148148148E-6</v>
      </c>
      <c r="P82" s="1"/>
      <c r="R82" s="2">
        <v>2</v>
      </c>
      <c r="S82" cm="1">
        <f t="array" aca="1" ref="S82" ca="1">_xlfn.MAXIFS(COL(bench,"wine"), COL(bench,"model"), $R82, COL(bench,"instance"), INDEX($Q:$Q, ROW()-$R82), COL(bench,"time"),"&lt;="&amp;S$1)</f>
        <v>19.5</v>
      </c>
      <c r="T82" cm="1">
        <f t="array" aca="1" ref="T82" ca="1">_xlfn.MAXIFS(COL(bench,"wine"), COL(bench,"model"), $R82, COL(bench,"instance"), INDEX($Q:$Q, ROW()-$R82), COL(bench,"time"),"&lt;="&amp;T$1)-SUM($S82:S82)</f>
        <v>0</v>
      </c>
      <c r="U82" cm="1">
        <f t="array" aca="1" ref="U82" ca="1">_xlfn.MAXIFS(COL(bench,"wine"), COL(bench,"model"), $R82, COL(bench,"instance"), INDEX($Q:$Q, ROW()-$R82), COL(bench,"time"),"&lt;="&amp;U$1)-SUM($S82:T82)</f>
        <v>0</v>
      </c>
      <c r="V82" cm="1">
        <f t="array" aca="1" ref="V82" ca="1">_xlfn.MAXIFS(COL(bench,"wine"), COL(bench,"model"), $R82, COL(bench,"instance"), INDEX($Q:$Q, ROW()-$R82), COL(bench,"time"),"&lt;="&amp;V$1)-SUM($S82:U82)</f>
        <v>0</v>
      </c>
      <c r="W82" cm="1">
        <f t="array" aca="1" ref="W82" ca="1">_xlfn.MAXIFS(COL(bench,"wine"), COL(bench,"model"), $R82, COL(bench,"instance"), INDEX($Q:$Q, ROW()-$R82), COL(bench,"time"),"&lt;="&amp;W$1)-SUM($S82:V82)</f>
        <v>0</v>
      </c>
      <c r="X82" t="e" cm="1">
        <f t="array" ref="X82" xml:space="preserve"> _xlfn.LET(
  _xlpm.idx, _xlfn.XMATCH(1,
      (COL(summary,"model")=$R82)*(COL(summary,"instance")=INDEX($Q:$Q, ROW()-$R82))),
  IFERROR(INDEX(COL(summary,"objective"), _xlpm.idx), #N/A)
)</f>
        <v>#N/A</v>
      </c>
    </row>
    <row r="83" spans="1:24" x14ac:dyDescent="0.25">
      <c r="A83">
        <f ca="1">IF(_34445073613[[#This Row],[instance]]&lt;OFFSET(_34445073613[[#This Row],[instance]],-1,0), OFFSET(_34445073613[[#This Row],[model]],-1,0)+1, OFFSET(_34445073613[[#This Row],[model]],-1,0))</f>
        <v>1</v>
      </c>
      <c r="B83">
        <v>8</v>
      </c>
      <c r="C83" s="5">
        <v>8.4259259259259251E-5</v>
      </c>
      <c r="D83">
        <v>19</v>
      </c>
      <c r="E83">
        <v>9</v>
      </c>
      <c r="F83">
        <v>3</v>
      </c>
      <c r="G83" s="5">
        <v>2.3148148148148148E-6</v>
      </c>
      <c r="H83" s="5">
        <v>6.9446759259259253E-3</v>
      </c>
      <c r="I83" s="5">
        <v>4.6686342592592587E-3</v>
      </c>
      <c r="J83" s="5">
        <v>2.3148148148148148E-6</v>
      </c>
      <c r="P83" s="1"/>
      <c r="R83" s="2">
        <v>3</v>
      </c>
      <c r="S83" cm="1">
        <f t="array" aca="1" ref="S83" ca="1">_xlfn.MAXIFS(COL(bench,"wine"), COL(bench,"model"), $R83, COL(bench,"instance"), INDEX($Q:$Q, ROW()-$R83), COL(bench,"time"),"&lt;="&amp;S$1)</f>
        <v>12</v>
      </c>
      <c r="T83" cm="1">
        <f t="array" aca="1" ref="T83" ca="1">_xlfn.MAXIFS(COL(bench,"wine"), COL(bench,"model"), $R83, COL(bench,"instance"), INDEX($Q:$Q, ROW()-$R83), COL(bench,"time"),"&lt;="&amp;T$1)-SUM($S83:S83)</f>
        <v>0</v>
      </c>
      <c r="U83" cm="1">
        <f t="array" aca="1" ref="U83" ca="1">_xlfn.MAXIFS(COL(bench,"wine"), COL(bench,"model"), $R83, COL(bench,"instance"), INDEX($Q:$Q, ROW()-$R83), COL(bench,"time"),"&lt;="&amp;U$1)-SUM($S83:T83)</f>
        <v>0</v>
      </c>
      <c r="V83" cm="1">
        <f t="array" aca="1" ref="V83" ca="1">_xlfn.MAXIFS(COL(bench,"wine"), COL(bench,"model"), $R83, COL(bench,"instance"), INDEX($Q:$Q, ROW()-$R83), COL(bench,"time"),"&lt;="&amp;V$1)-SUM($S83:U83)</f>
        <v>0</v>
      </c>
      <c r="W83" cm="1">
        <f t="array" aca="1" ref="W83" ca="1">_xlfn.MAXIFS(COL(bench,"wine"), COL(bench,"model"), $R83, COL(bench,"instance"), INDEX($Q:$Q, ROW()-$R83), COL(bench,"time"),"&lt;="&amp;W$1)-SUM($S83:V83)</f>
        <v>0</v>
      </c>
      <c r="X83" t="e" cm="1">
        <f t="array" ref="X83" xml:space="preserve"> _xlfn.LET(
  _xlpm.idx, _xlfn.XMATCH(1,
      (COL(summary,"model")=$R83)*(COL(summary,"instance")=INDEX($Q:$Q, ROW()-$R83))),
  IFERROR(INDEX(COL(summary,"objective"), _xlpm.idx), #N/A)
)</f>
        <v>#N/A</v>
      </c>
    </row>
    <row r="84" spans="1:24" x14ac:dyDescent="0.25">
      <c r="A84">
        <f ca="1">IF(_34445073613[[#This Row],[instance]]&lt;OFFSET(_34445073613[[#This Row],[instance]],-1,0), OFFSET(_34445073613[[#This Row],[model]],-1,0)+1, OFFSET(_34445073613[[#This Row],[model]],-1,0))</f>
        <v>1</v>
      </c>
      <c r="B84">
        <v>8</v>
      </c>
      <c r="C84" s="5">
        <v>8.4490740740740731E-5</v>
      </c>
      <c r="D84">
        <v>19</v>
      </c>
      <c r="E84">
        <v>9</v>
      </c>
      <c r="F84">
        <v>2</v>
      </c>
      <c r="G84" s="5">
        <v>2.3148148148148148E-6</v>
      </c>
      <c r="H84" s="5">
        <v>6.9446759259259253E-3</v>
      </c>
      <c r="I84" s="5">
        <v>4.6686342592592587E-3</v>
      </c>
      <c r="J84" s="5">
        <v>2.3148148148148148E-6</v>
      </c>
      <c r="P84" s="1"/>
      <c r="R84" s="2">
        <v>4</v>
      </c>
      <c r="S84" cm="1">
        <f t="array" aca="1" ref="S84" ca="1">_xlfn.MAXIFS(COL(bench,"wine"), COL(bench,"model"), $R84, COL(bench,"instance"), INDEX($Q:$Q, ROW()-$R84), COL(bench,"time"),"&lt;="&amp;S$1)</f>
        <v>7.5</v>
      </c>
      <c r="T84" cm="1">
        <f t="array" aca="1" ref="T84" ca="1">_xlfn.MAXIFS(COL(bench,"wine"), COL(bench,"model"), $R84, COL(bench,"instance"), INDEX($Q:$Q, ROW()-$R84), COL(bench,"time"),"&lt;="&amp;T$1)-SUM($S84:S84)</f>
        <v>0</v>
      </c>
      <c r="U84" cm="1">
        <f t="array" aca="1" ref="U84" ca="1">_xlfn.MAXIFS(COL(bench,"wine"), COL(bench,"model"), $R84, COL(bench,"instance"), INDEX($Q:$Q, ROW()-$R84), COL(bench,"time"),"&lt;="&amp;U$1)-SUM($S84:T84)</f>
        <v>0</v>
      </c>
      <c r="V84" cm="1">
        <f t="array" aca="1" ref="V84" ca="1">_xlfn.MAXIFS(COL(bench,"wine"), COL(bench,"model"), $R84, COL(bench,"instance"), INDEX($Q:$Q, ROW()-$R84), COL(bench,"time"),"&lt;="&amp;V$1)-SUM($S84:U84)</f>
        <v>0</v>
      </c>
      <c r="W84" cm="1">
        <f t="array" aca="1" ref="W84" ca="1">_xlfn.MAXIFS(COL(bench,"wine"), COL(bench,"model"), $R84, COL(bench,"instance"), INDEX($Q:$Q, ROW()-$R84), COL(bench,"time"),"&lt;="&amp;W$1)-SUM($S84:V84)</f>
        <v>0</v>
      </c>
      <c r="X84" t="e" cm="1">
        <f t="array" ref="X84" xml:space="preserve"> _xlfn.LET(
  _xlpm.idx, _xlfn.XMATCH(1,
      (COL(summary,"model")=$R84)*(COL(summary,"instance")=INDEX($Q:$Q, ROW()-$R84))),
  IFERROR(INDEX(COL(summary,"objective"), _xlpm.idx), #N/A)
)</f>
        <v>#N/A</v>
      </c>
    </row>
    <row r="85" spans="1:24" x14ac:dyDescent="0.25">
      <c r="A85">
        <f ca="1">IF(_34445073613[[#This Row],[instance]]&lt;OFFSET(_34445073613[[#This Row],[instance]],-1,0), OFFSET(_34445073613[[#This Row],[model]],-1,0)+1, OFFSET(_34445073613[[#This Row],[model]],-1,0))</f>
        <v>1</v>
      </c>
      <c r="B85">
        <v>8</v>
      </c>
      <c r="C85" s="5">
        <v>1.3734953703703704E-3</v>
      </c>
      <c r="D85">
        <v>19.75</v>
      </c>
      <c r="E85">
        <v>10</v>
      </c>
      <c r="F85">
        <v>3</v>
      </c>
      <c r="G85" s="5">
        <v>2.3148148148148148E-6</v>
      </c>
      <c r="H85" s="5">
        <v>6.9446759259259253E-3</v>
      </c>
      <c r="I85" s="5">
        <v>4.6686342592592587E-3</v>
      </c>
      <c r="J85" s="5">
        <v>2.3148148148148148E-6</v>
      </c>
      <c r="P85" s="1"/>
    </row>
    <row r="86" spans="1:24" x14ac:dyDescent="0.25">
      <c r="A86">
        <f ca="1">IF(_34445073613[[#This Row],[instance]]&lt;OFFSET(_34445073613[[#This Row],[instance]],-1,0), OFFSET(_34445073613[[#This Row],[model]],-1,0)+1, OFFSET(_34445073613[[#This Row],[model]],-1,0))</f>
        <v>1</v>
      </c>
      <c r="B86">
        <v>8</v>
      </c>
      <c r="C86" s="5">
        <v>1.3734953703703704E-3</v>
      </c>
      <c r="D86">
        <v>19.75</v>
      </c>
      <c r="E86">
        <v>10</v>
      </c>
      <c r="F86">
        <v>2</v>
      </c>
      <c r="G86" s="5">
        <v>2.3148148148148148E-6</v>
      </c>
      <c r="H86" s="5">
        <v>6.9446759259259253E-3</v>
      </c>
      <c r="I86" s="5">
        <v>4.6686342592592587E-3</v>
      </c>
      <c r="J86" s="5">
        <v>2.3148148148148148E-6</v>
      </c>
      <c r="P86" s="1"/>
      <c r="Q86">
        <v>15</v>
      </c>
    </row>
    <row r="87" spans="1:24" x14ac:dyDescent="0.25">
      <c r="A87">
        <f ca="1">IF(_34445073613[[#This Row],[instance]]&lt;OFFSET(_34445073613[[#This Row],[instance]],-1,0), OFFSET(_34445073613[[#This Row],[model]],-1,0)+1, OFFSET(_34445073613[[#This Row],[model]],-1,0))</f>
        <v>1</v>
      </c>
      <c r="B87">
        <v>8</v>
      </c>
      <c r="C87" s="5">
        <v>1.4181712962962963E-3</v>
      </c>
      <c r="D87">
        <v>20.5</v>
      </c>
      <c r="E87">
        <v>11</v>
      </c>
      <c r="F87">
        <v>3</v>
      </c>
      <c r="G87" s="5">
        <v>2.3148148148148148E-6</v>
      </c>
      <c r="H87" s="5">
        <v>6.9446759259259253E-3</v>
      </c>
      <c r="I87" s="5">
        <v>4.6686342592592587E-3</v>
      </c>
      <c r="J87" s="5">
        <v>2.3148148148148148E-6</v>
      </c>
      <c r="P87" s="1"/>
      <c r="R87" s="2">
        <v>1</v>
      </c>
      <c r="S87" cm="1">
        <f t="array" aca="1" ref="S87" ca="1">_xlfn.MAXIFS(COL(bench,"wine"), COL(bench,"model"), $R87, COL(bench,"instance"), INDEX($Q:$Q, ROW()-$R87), COL(bench,"time"),"&lt;="&amp;S$1)</f>
        <v>16.875</v>
      </c>
      <c r="T87" cm="1">
        <f t="array" aca="1" ref="T87" ca="1">_xlfn.MAXIFS(COL(bench,"wine"), COL(bench,"model"), $R87, COL(bench,"instance"), INDEX($Q:$Q, ROW()-$R87), COL(bench,"time"),"&lt;="&amp;T$1)-SUM($S87:S87)</f>
        <v>0</v>
      </c>
      <c r="U87" cm="1">
        <f t="array" aca="1" ref="U87" ca="1">_xlfn.MAXIFS(COL(bench,"wine"), COL(bench,"model"), $R87, COL(bench,"instance"), INDEX($Q:$Q, ROW()-$R87), COL(bench,"time"),"&lt;="&amp;U$1)-SUM($S87:T87)</f>
        <v>0</v>
      </c>
      <c r="V87" cm="1">
        <f t="array" aca="1" ref="V87" ca="1">_xlfn.MAXIFS(COL(bench,"wine"), COL(bench,"model"), $R87, COL(bench,"instance"), INDEX($Q:$Q, ROW()-$R87), COL(bench,"time"),"&lt;="&amp;V$1)-SUM($S87:U87)</f>
        <v>4.875</v>
      </c>
      <c r="W87" cm="1">
        <f t="array" aca="1" ref="W87" ca="1">_xlfn.MAXIFS(COL(bench,"wine"), COL(bench,"model"), $R87, COL(bench,"instance"), INDEX($Q:$Q, ROW()-$R87), COL(bench,"time"),"&lt;="&amp;W$1)-SUM($S87:V87)</f>
        <v>0</v>
      </c>
      <c r="X87" t="e" cm="1">
        <f t="array" ref="X87" xml:space="preserve"> _xlfn.LET(
  _xlpm.idx, _xlfn.XMATCH(1,
      (COL(summary,"model")=$R87)*(COL(summary,"instance")=INDEX($Q:$Q, ROW()-$R87))),
  IFERROR(INDEX(COL(summary,"objective"), _xlpm.idx), #N/A)
)</f>
        <v>#N/A</v>
      </c>
    </row>
    <row r="88" spans="1:24" x14ac:dyDescent="0.25">
      <c r="A88">
        <f ca="1">IF(_34445073613[[#This Row],[instance]]&lt;OFFSET(_34445073613[[#This Row],[instance]],-1,0), OFFSET(_34445073613[[#This Row],[model]],-1,0)+1, OFFSET(_34445073613[[#This Row],[model]],-1,0))</f>
        <v>1</v>
      </c>
      <c r="B88">
        <v>9</v>
      </c>
      <c r="C88" s="5">
        <v>5.555555555555555E-6</v>
      </c>
      <c r="D88">
        <v>0</v>
      </c>
      <c r="E88">
        <v>0</v>
      </c>
      <c r="F88">
        <v>0</v>
      </c>
      <c r="G88" s="5">
        <v>2.3148148148148148E-6</v>
      </c>
      <c r="H88" s="5">
        <v>2.7777777777777775E-6</v>
      </c>
      <c r="I88" s="5">
        <v>4.6686342592592587E-3</v>
      </c>
      <c r="J88" s="5">
        <v>2.3148148148148148E-6</v>
      </c>
      <c r="P88" s="1"/>
      <c r="R88" s="2">
        <v>2</v>
      </c>
      <c r="S88" cm="1">
        <f t="array" aca="1" ref="S88" ca="1">_xlfn.MAXIFS(COL(bench,"wine"), COL(bench,"model"), $R88, COL(bench,"instance"), INDEX($Q:$Q, ROW()-$R88), COL(bench,"time"),"&lt;="&amp;S$1)</f>
        <v>21.375</v>
      </c>
      <c r="T88" cm="1">
        <f t="array" aca="1" ref="T88" ca="1">_xlfn.MAXIFS(COL(bench,"wine"), COL(bench,"model"), $R88, COL(bench,"instance"), INDEX($Q:$Q, ROW()-$R88), COL(bench,"time"),"&lt;="&amp;T$1)-SUM($S88:S88)</f>
        <v>0</v>
      </c>
      <c r="U88" cm="1">
        <f t="array" aca="1" ref="U88" ca="1">_xlfn.MAXIFS(COL(bench,"wine"), COL(bench,"model"), $R88, COL(bench,"instance"), INDEX($Q:$Q, ROW()-$R88), COL(bench,"time"),"&lt;="&amp;U$1)-SUM($S88:T88)</f>
        <v>0</v>
      </c>
      <c r="V88" cm="1">
        <f t="array" aca="1" ref="V88" ca="1">_xlfn.MAXIFS(COL(bench,"wine"), COL(bench,"model"), $R88, COL(bench,"instance"), INDEX($Q:$Q, ROW()-$R88), COL(bench,"time"),"&lt;="&amp;V$1)-SUM($S88:U88)</f>
        <v>0</v>
      </c>
      <c r="W88" cm="1">
        <f t="array" aca="1" ref="W88" ca="1">_xlfn.MAXIFS(COL(bench,"wine"), COL(bench,"model"), $R88, COL(bench,"instance"), INDEX($Q:$Q, ROW()-$R88), COL(bench,"time"),"&lt;="&amp;W$1)-SUM($S88:V88)</f>
        <v>0</v>
      </c>
      <c r="X88" t="e" cm="1">
        <f t="array" ref="X88" xml:space="preserve"> _xlfn.LET(
  _xlpm.idx, _xlfn.XMATCH(1,
      (COL(summary,"model")=$R88)*(COL(summary,"instance")=INDEX($Q:$Q, ROW()-$R88))),
  IFERROR(INDEX(COL(summary,"objective"), _xlpm.idx), #N/A)
)</f>
        <v>#N/A</v>
      </c>
    </row>
    <row r="89" spans="1:24" x14ac:dyDescent="0.25">
      <c r="A89">
        <f ca="1">IF(_34445073613[[#This Row],[instance]]&lt;OFFSET(_34445073613[[#This Row],[instance]],-1,0), OFFSET(_34445073613[[#This Row],[model]],-1,0)+1, OFFSET(_34445073613[[#This Row],[model]],-1,0))</f>
        <v>1</v>
      </c>
      <c r="B89">
        <v>10</v>
      </c>
      <c r="C89" s="5">
        <v>5.555555555555555E-6</v>
      </c>
      <c r="D89">
        <v>0</v>
      </c>
      <c r="E89">
        <v>0</v>
      </c>
      <c r="F89">
        <v>0</v>
      </c>
      <c r="G89" s="5">
        <v>2.3148148148148148E-6</v>
      </c>
      <c r="H89" s="5">
        <v>5.0115740740740736E-5</v>
      </c>
      <c r="I89" s="5">
        <v>4.6686342592592587E-3</v>
      </c>
      <c r="J89" s="5">
        <v>2.3148148148148148E-6</v>
      </c>
      <c r="P89" s="1"/>
      <c r="R89" s="2">
        <v>3</v>
      </c>
      <c r="S89" cm="1">
        <f t="array" aca="1" ref="S89" ca="1">_xlfn.MAXIFS(COL(bench,"wine"), COL(bench,"model"), $R89, COL(bench,"instance"), INDEX($Q:$Q, ROW()-$R89), COL(bench,"time"),"&lt;="&amp;S$1)</f>
        <v>12</v>
      </c>
      <c r="T89" cm="1">
        <f t="array" aca="1" ref="T89" ca="1">_xlfn.MAXIFS(COL(bench,"wine"), COL(bench,"model"), $R89, COL(bench,"instance"), INDEX($Q:$Q, ROW()-$R89), COL(bench,"time"),"&lt;="&amp;T$1)-SUM($S89:S89)</f>
        <v>0</v>
      </c>
      <c r="U89" cm="1">
        <f t="array" aca="1" ref="U89" ca="1">_xlfn.MAXIFS(COL(bench,"wine"), COL(bench,"model"), $R89, COL(bench,"instance"), INDEX($Q:$Q, ROW()-$R89), COL(bench,"time"),"&lt;="&amp;U$1)-SUM($S89:T89)</f>
        <v>0</v>
      </c>
      <c r="V89" cm="1">
        <f t="array" aca="1" ref="V89" ca="1">_xlfn.MAXIFS(COL(bench,"wine"), COL(bench,"model"), $R89, COL(bench,"instance"), INDEX($Q:$Q, ROW()-$R89), COL(bench,"time"),"&lt;="&amp;V$1)-SUM($S89:U89)</f>
        <v>0</v>
      </c>
      <c r="W89" cm="1">
        <f t="array" aca="1" ref="W89" ca="1">_xlfn.MAXIFS(COL(bench,"wine"), COL(bench,"model"), $R89, COL(bench,"instance"), INDEX($Q:$Q, ROW()-$R89), COL(bench,"time"),"&lt;="&amp;W$1)-SUM($S89:V89)</f>
        <v>0</v>
      </c>
      <c r="X89" t="e" cm="1">
        <f t="array" ref="X89" xml:space="preserve"> _xlfn.LET(
  _xlpm.idx, _xlfn.XMATCH(1,
      (COL(summary,"model")=$R89)*(COL(summary,"instance")=INDEX($Q:$Q, ROW()-$R89))),
  IFERROR(INDEX(COL(summary,"objective"), _xlpm.idx), #N/A)
)</f>
        <v>#N/A</v>
      </c>
    </row>
    <row r="90" spans="1:24" x14ac:dyDescent="0.25">
      <c r="A90">
        <f ca="1">IF(_34445073613[[#This Row],[instance]]&lt;OFFSET(_34445073613[[#This Row],[instance]],-1,0), OFFSET(_34445073613[[#This Row],[model]],-1,0)+1, OFFSET(_34445073613[[#This Row],[model]],-1,0))</f>
        <v>1</v>
      </c>
      <c r="B90">
        <v>10</v>
      </c>
      <c r="C90" s="5">
        <v>5.555555555555555E-6</v>
      </c>
      <c r="D90">
        <v>1.5</v>
      </c>
      <c r="E90">
        <v>1</v>
      </c>
      <c r="F90">
        <v>1</v>
      </c>
      <c r="G90" s="5">
        <v>2.3148148148148148E-6</v>
      </c>
      <c r="H90" s="5">
        <v>5.0115740740740736E-5</v>
      </c>
      <c r="I90" s="5">
        <v>4.6686342592592587E-3</v>
      </c>
      <c r="J90" s="5">
        <v>2.3148148148148148E-6</v>
      </c>
      <c r="P90" s="1"/>
      <c r="R90" s="2">
        <v>4</v>
      </c>
      <c r="S90" cm="1">
        <f t="array" aca="1" ref="S90" ca="1">_xlfn.MAXIFS(COL(bench,"wine"), COL(bench,"model"), $R90, COL(bench,"instance"), INDEX($Q:$Q, ROW()-$R90), COL(bench,"time"),"&lt;="&amp;S$1)</f>
        <v>0</v>
      </c>
      <c r="T90" cm="1">
        <f t="array" aca="1" ref="T90" ca="1">_xlfn.MAXIFS(COL(bench,"wine"), COL(bench,"model"), $R90, COL(bench,"instance"), INDEX($Q:$Q, ROW()-$R90), COL(bench,"time"),"&lt;="&amp;T$1)-SUM($S90:S90)</f>
        <v>0</v>
      </c>
      <c r="U90" cm="1">
        <f t="array" aca="1" ref="U90" ca="1">_xlfn.MAXIFS(COL(bench,"wine"), COL(bench,"model"), $R90, COL(bench,"instance"), INDEX($Q:$Q, ROW()-$R90), COL(bench,"time"),"&lt;="&amp;U$1)-SUM($S90:T90)</f>
        <v>0</v>
      </c>
      <c r="V90" cm="1">
        <f t="array" aca="1" ref="V90" ca="1">_xlfn.MAXIFS(COL(bench,"wine"), COL(bench,"model"), $R90, COL(bench,"instance"), INDEX($Q:$Q, ROW()-$R90), COL(bench,"time"),"&lt;="&amp;V$1)-SUM($S90:U90)</f>
        <v>0</v>
      </c>
      <c r="W90" cm="1">
        <f t="array" aca="1" ref="W90" ca="1">_xlfn.MAXIFS(COL(bench,"wine"), COL(bench,"model"), $R90, COL(bench,"instance"), INDEX($Q:$Q, ROW()-$R90), COL(bench,"time"),"&lt;="&amp;W$1)-SUM($S90:V90)</f>
        <v>0</v>
      </c>
      <c r="X90" t="e" cm="1">
        <f t="array" ref="X90" xml:space="preserve"> _xlfn.LET(
  _xlpm.idx, _xlfn.XMATCH(1,
      (COL(summary,"model")=$R90)*(COL(summary,"instance")=INDEX($Q:$Q, ROW()-$R90))),
  IFERROR(INDEX(COL(summary,"objective"), _xlpm.idx), #N/A)
)</f>
        <v>#N/A</v>
      </c>
    </row>
    <row r="91" spans="1:24" x14ac:dyDescent="0.25">
      <c r="A91">
        <f ca="1">IF(_34445073613[[#This Row],[instance]]&lt;OFFSET(_34445073613[[#This Row],[instance]],-1,0), OFFSET(_34445073613[[#This Row],[model]],-1,0)+1, OFFSET(_34445073613[[#This Row],[model]],-1,0))</f>
        <v>1</v>
      </c>
      <c r="B91">
        <v>10</v>
      </c>
      <c r="C91" s="5">
        <v>5.555555555555555E-6</v>
      </c>
      <c r="D91">
        <v>2.5</v>
      </c>
      <c r="E91">
        <v>2</v>
      </c>
      <c r="F91">
        <v>1</v>
      </c>
      <c r="G91" s="5">
        <v>2.3148148148148148E-6</v>
      </c>
      <c r="H91" s="5">
        <v>5.0115740740740736E-5</v>
      </c>
      <c r="I91" s="5">
        <v>4.6686342592592587E-3</v>
      </c>
      <c r="J91" s="5">
        <v>2.3148148148148148E-6</v>
      </c>
      <c r="P91" s="1"/>
    </row>
    <row r="92" spans="1:24" x14ac:dyDescent="0.25">
      <c r="A92">
        <f ca="1">IF(_34445073613[[#This Row],[instance]]&lt;OFFSET(_34445073613[[#This Row],[instance]],-1,0), OFFSET(_34445073613[[#This Row],[model]],-1,0)+1, OFFSET(_34445073613[[#This Row],[model]],-1,0))</f>
        <v>1</v>
      </c>
      <c r="B92">
        <v>10</v>
      </c>
      <c r="C92" s="5">
        <v>5.6712962962962959E-6</v>
      </c>
      <c r="D92">
        <v>3.25</v>
      </c>
      <c r="E92">
        <v>3</v>
      </c>
      <c r="F92">
        <v>1</v>
      </c>
      <c r="G92" s="5">
        <v>2.3148148148148148E-6</v>
      </c>
      <c r="H92" s="5">
        <v>5.0115740740740736E-5</v>
      </c>
      <c r="I92" s="5">
        <v>4.6686342592592587E-3</v>
      </c>
      <c r="J92" s="5">
        <v>2.3148148148148148E-6</v>
      </c>
      <c r="P92" s="1"/>
      <c r="Q92">
        <v>16</v>
      </c>
    </row>
    <row r="93" spans="1:24" x14ac:dyDescent="0.25">
      <c r="A93">
        <f ca="1">IF(_34445073613[[#This Row],[instance]]&lt;OFFSET(_34445073613[[#This Row],[instance]],-1,0), OFFSET(_34445073613[[#This Row],[model]],-1,0)+1, OFFSET(_34445073613[[#This Row],[model]],-1,0))</f>
        <v>1</v>
      </c>
      <c r="B93">
        <v>10</v>
      </c>
      <c r="C93" s="5">
        <v>5.6712962962962959E-6</v>
      </c>
      <c r="D93">
        <v>3.5</v>
      </c>
      <c r="E93">
        <v>3</v>
      </c>
      <c r="F93">
        <v>1</v>
      </c>
      <c r="G93" s="5">
        <v>2.3148148148148148E-6</v>
      </c>
      <c r="H93" s="5">
        <v>5.0115740740740736E-5</v>
      </c>
      <c r="I93" s="5">
        <v>4.6686342592592587E-3</v>
      </c>
      <c r="J93" s="5">
        <v>2.3148148148148148E-6</v>
      </c>
      <c r="P93" s="1"/>
    </row>
    <row r="94" spans="1:24" x14ac:dyDescent="0.25">
      <c r="A94">
        <f ca="1">IF(_34445073613[[#This Row],[instance]]&lt;OFFSET(_34445073613[[#This Row],[instance]],-1,0), OFFSET(_34445073613[[#This Row],[model]],-1,0)+1, OFFSET(_34445073613[[#This Row],[model]],-1,0))</f>
        <v>1</v>
      </c>
      <c r="B94">
        <v>10</v>
      </c>
      <c r="C94" s="5">
        <v>5.6712962962962959E-6</v>
      </c>
      <c r="D94">
        <v>4.25</v>
      </c>
      <c r="E94">
        <v>4</v>
      </c>
      <c r="F94">
        <v>1</v>
      </c>
      <c r="G94" s="5">
        <v>2.3148148148148148E-6</v>
      </c>
      <c r="H94" s="5">
        <v>5.0115740740740736E-5</v>
      </c>
      <c r="I94" s="5">
        <v>4.6686342592592587E-3</v>
      </c>
      <c r="J94" s="5">
        <v>2.3148148148148148E-6</v>
      </c>
      <c r="P94" s="1"/>
    </row>
    <row r="95" spans="1:24" x14ac:dyDescent="0.25">
      <c r="A95">
        <f ca="1">IF(_34445073613[[#This Row],[instance]]&lt;OFFSET(_34445073613[[#This Row],[instance]],-1,0), OFFSET(_34445073613[[#This Row],[model]],-1,0)+1, OFFSET(_34445073613[[#This Row],[model]],-1,0))</f>
        <v>1</v>
      </c>
      <c r="B95">
        <v>10</v>
      </c>
      <c r="C95" s="5">
        <v>8.5648148148148138E-6</v>
      </c>
      <c r="D95">
        <v>4.625</v>
      </c>
      <c r="E95">
        <v>5</v>
      </c>
      <c r="F95">
        <v>3</v>
      </c>
      <c r="G95" s="5">
        <v>2.3148148148148148E-6</v>
      </c>
      <c r="H95" s="5">
        <v>5.0115740740740736E-5</v>
      </c>
      <c r="I95" s="5">
        <v>4.6686342592592587E-3</v>
      </c>
      <c r="J95" s="5">
        <v>2.3148148148148148E-6</v>
      </c>
      <c r="P95" s="1"/>
    </row>
    <row r="96" spans="1:24" x14ac:dyDescent="0.25">
      <c r="A96">
        <f ca="1">IF(_34445073613[[#This Row],[instance]]&lt;OFFSET(_34445073613[[#This Row],[instance]],-1,0), OFFSET(_34445073613[[#This Row],[model]],-1,0)+1, OFFSET(_34445073613[[#This Row],[model]],-1,0))</f>
        <v>1</v>
      </c>
      <c r="B96">
        <v>10</v>
      </c>
      <c r="C96" s="5">
        <v>8.5648148148148138E-6</v>
      </c>
      <c r="D96">
        <v>4.625</v>
      </c>
      <c r="E96">
        <v>5</v>
      </c>
      <c r="F96">
        <v>2</v>
      </c>
      <c r="G96" s="5">
        <v>2.3148148148148148E-6</v>
      </c>
      <c r="H96" s="5">
        <v>5.0115740740740736E-5</v>
      </c>
      <c r="I96" s="5">
        <v>4.6686342592592587E-3</v>
      </c>
      <c r="J96" s="5">
        <v>2.3148148148148148E-6</v>
      </c>
      <c r="P96" s="1"/>
    </row>
    <row r="97" spans="1:16" x14ac:dyDescent="0.25">
      <c r="A97">
        <f ca="1">IF(_34445073613[[#This Row],[instance]]&lt;OFFSET(_34445073613[[#This Row],[instance]],-1,0), OFFSET(_34445073613[[#This Row],[model]],-1,0)+1, OFFSET(_34445073613[[#This Row],[model]],-1,0))</f>
        <v>1</v>
      </c>
      <c r="B97">
        <v>10</v>
      </c>
      <c r="C97" s="5">
        <v>3.8425925925925924E-5</v>
      </c>
      <c r="D97">
        <v>5</v>
      </c>
      <c r="E97">
        <v>6</v>
      </c>
      <c r="F97">
        <v>3</v>
      </c>
      <c r="G97" s="5">
        <v>2.3148148148148148E-6</v>
      </c>
      <c r="H97" s="5">
        <v>5.0115740740740736E-5</v>
      </c>
      <c r="I97" s="5">
        <v>4.6686342592592587E-3</v>
      </c>
      <c r="J97" s="5">
        <v>2.3148148148148148E-6</v>
      </c>
      <c r="P97" s="1"/>
    </row>
    <row r="98" spans="1:16" x14ac:dyDescent="0.25">
      <c r="A98">
        <f ca="1">IF(_34445073613[[#This Row],[instance]]&lt;OFFSET(_34445073613[[#This Row],[instance]],-1,0), OFFSET(_34445073613[[#This Row],[model]],-1,0)+1, OFFSET(_34445073613[[#This Row],[model]],-1,0))</f>
        <v>1</v>
      </c>
      <c r="B98">
        <v>10</v>
      </c>
      <c r="C98" s="5">
        <v>3.8425925925925924E-5</v>
      </c>
      <c r="D98">
        <v>5</v>
      </c>
      <c r="E98">
        <v>6</v>
      </c>
      <c r="F98">
        <v>2</v>
      </c>
      <c r="G98" s="5">
        <v>2.3148148148148148E-6</v>
      </c>
      <c r="H98" s="5">
        <v>5.0115740740740736E-5</v>
      </c>
      <c r="I98" s="5">
        <v>4.6686342592592587E-3</v>
      </c>
      <c r="J98" s="5">
        <v>2.3148148148148148E-6</v>
      </c>
      <c r="P98" s="1"/>
    </row>
    <row r="99" spans="1:16" x14ac:dyDescent="0.25">
      <c r="A99">
        <f ca="1">IF(_34445073613[[#This Row],[instance]]&lt;OFFSET(_34445073613[[#This Row],[instance]],-1,0), OFFSET(_34445073613[[#This Row],[model]],-1,0)+1, OFFSET(_34445073613[[#This Row],[model]],-1,0))</f>
        <v>1</v>
      </c>
      <c r="B99">
        <v>11</v>
      </c>
      <c r="C99" s="5">
        <v>5.9027777777777776E-6</v>
      </c>
      <c r="D99">
        <v>0</v>
      </c>
      <c r="E99">
        <v>0</v>
      </c>
      <c r="F99">
        <v>0</v>
      </c>
      <c r="G99" s="5">
        <v>2.3148148148148148E-6</v>
      </c>
      <c r="H99" s="5">
        <v>4.8877314814814812E-4</v>
      </c>
      <c r="I99" s="5">
        <v>4.6686342592592587E-3</v>
      </c>
      <c r="J99" s="5">
        <v>2.3148148148148148E-6</v>
      </c>
      <c r="P99" s="1"/>
    </row>
    <row r="100" spans="1:16" x14ac:dyDescent="0.25">
      <c r="A100">
        <f ca="1">IF(_34445073613[[#This Row],[instance]]&lt;OFFSET(_34445073613[[#This Row],[instance]],-1,0), OFFSET(_34445073613[[#This Row],[model]],-1,0)+1, OFFSET(_34445073613[[#This Row],[model]],-1,0))</f>
        <v>1</v>
      </c>
      <c r="B100">
        <v>11</v>
      </c>
      <c r="C100" s="5">
        <v>5.9027777777777776E-6</v>
      </c>
      <c r="D100">
        <v>1.5</v>
      </c>
      <c r="E100">
        <v>1</v>
      </c>
      <c r="F100">
        <v>1</v>
      </c>
      <c r="G100" s="5">
        <v>2.3148148148148148E-6</v>
      </c>
      <c r="H100" s="5">
        <v>4.8877314814814812E-4</v>
      </c>
      <c r="I100" s="5">
        <v>4.6686342592592587E-3</v>
      </c>
      <c r="J100" s="5">
        <v>2.3148148148148148E-6</v>
      </c>
      <c r="P100" s="1"/>
    </row>
    <row r="101" spans="1:16" x14ac:dyDescent="0.25">
      <c r="A101">
        <f ca="1">IF(_34445073613[[#This Row],[instance]]&lt;OFFSET(_34445073613[[#This Row],[instance]],-1,0), OFFSET(_34445073613[[#This Row],[model]],-1,0)+1, OFFSET(_34445073613[[#This Row],[model]],-1,0))</f>
        <v>1</v>
      </c>
      <c r="B101">
        <v>11</v>
      </c>
      <c r="C101" s="5">
        <v>5.9027777777777776E-6</v>
      </c>
      <c r="D101">
        <v>7.5</v>
      </c>
      <c r="E101">
        <v>3</v>
      </c>
      <c r="F101">
        <v>1</v>
      </c>
      <c r="G101" s="5">
        <v>2.3148148148148148E-6</v>
      </c>
      <c r="H101" s="5">
        <v>4.8877314814814812E-4</v>
      </c>
      <c r="I101" s="5">
        <v>4.6686342592592587E-3</v>
      </c>
      <c r="J101" s="5">
        <v>2.3148148148148148E-6</v>
      </c>
      <c r="P101" s="1"/>
    </row>
    <row r="102" spans="1:16" x14ac:dyDescent="0.25">
      <c r="A102">
        <f ca="1">IF(_34445073613[[#This Row],[instance]]&lt;OFFSET(_34445073613[[#This Row],[instance]],-1,0), OFFSET(_34445073613[[#This Row],[model]],-1,0)+1, OFFSET(_34445073613[[#This Row],[model]],-1,0))</f>
        <v>1</v>
      </c>
      <c r="B102">
        <v>11</v>
      </c>
      <c r="C102" s="5">
        <v>6.0185185185185185E-6</v>
      </c>
      <c r="D102">
        <v>9</v>
      </c>
      <c r="E102">
        <v>3</v>
      </c>
      <c r="F102">
        <v>1</v>
      </c>
      <c r="G102" s="5">
        <v>2.3148148148148148E-6</v>
      </c>
      <c r="H102" s="5">
        <v>4.8877314814814812E-4</v>
      </c>
      <c r="I102" s="5">
        <v>4.6686342592592587E-3</v>
      </c>
      <c r="J102" s="5">
        <v>2.3148148148148148E-6</v>
      </c>
      <c r="P102" s="1"/>
    </row>
    <row r="103" spans="1:16" x14ac:dyDescent="0.25">
      <c r="A103">
        <f ca="1">IF(_34445073613[[#This Row],[instance]]&lt;OFFSET(_34445073613[[#This Row],[instance]],-1,0), OFFSET(_34445073613[[#This Row],[model]],-1,0)+1, OFFSET(_34445073613[[#This Row],[model]],-1,0))</f>
        <v>1</v>
      </c>
      <c r="B103">
        <v>11</v>
      </c>
      <c r="C103" s="5">
        <v>6.0185185185185185E-6</v>
      </c>
      <c r="D103">
        <v>10.5</v>
      </c>
      <c r="E103">
        <v>4</v>
      </c>
      <c r="F103">
        <v>2</v>
      </c>
      <c r="G103" s="5">
        <v>2.3148148148148148E-6</v>
      </c>
      <c r="H103" s="5">
        <v>4.8877314814814812E-4</v>
      </c>
      <c r="I103" s="5">
        <v>4.6686342592592587E-3</v>
      </c>
      <c r="J103" s="5">
        <v>2.3148148148148148E-6</v>
      </c>
      <c r="P103" s="1"/>
    </row>
    <row r="104" spans="1:16" x14ac:dyDescent="0.25">
      <c r="A104">
        <f ca="1">IF(_34445073613[[#This Row],[instance]]&lt;OFFSET(_34445073613[[#This Row],[instance]],-1,0), OFFSET(_34445073613[[#This Row],[model]],-1,0)+1, OFFSET(_34445073613[[#This Row],[model]],-1,0))</f>
        <v>1</v>
      </c>
      <c r="B104">
        <v>11</v>
      </c>
      <c r="C104" s="5">
        <v>6.1342592592592594E-6</v>
      </c>
      <c r="D104">
        <v>11.25</v>
      </c>
      <c r="E104">
        <v>5</v>
      </c>
      <c r="F104">
        <v>2</v>
      </c>
      <c r="G104" s="5">
        <v>2.3148148148148148E-6</v>
      </c>
      <c r="H104" s="5">
        <v>4.8877314814814812E-4</v>
      </c>
      <c r="I104" s="5">
        <v>4.6686342592592587E-3</v>
      </c>
      <c r="J104" s="5">
        <v>2.3148148148148148E-6</v>
      </c>
      <c r="P104" s="1"/>
    </row>
    <row r="105" spans="1:16" x14ac:dyDescent="0.25">
      <c r="A105">
        <f ca="1">IF(_34445073613[[#This Row],[instance]]&lt;OFFSET(_34445073613[[#This Row],[instance]],-1,0), OFFSET(_34445073613[[#This Row],[model]],-1,0)+1, OFFSET(_34445073613[[#This Row],[model]],-1,0))</f>
        <v>1</v>
      </c>
      <c r="B105">
        <v>11</v>
      </c>
      <c r="C105" s="5">
        <v>8.5069444444444445E-5</v>
      </c>
      <c r="D105">
        <v>12</v>
      </c>
      <c r="E105">
        <v>5</v>
      </c>
      <c r="F105">
        <v>2</v>
      </c>
      <c r="G105" s="5">
        <v>2.3148148148148148E-6</v>
      </c>
      <c r="H105" s="5">
        <v>4.8877314814814812E-4</v>
      </c>
      <c r="I105" s="5">
        <v>4.6686342592592587E-3</v>
      </c>
      <c r="J105" s="5">
        <v>2.3148148148148148E-6</v>
      </c>
      <c r="P105" s="1"/>
    </row>
    <row r="106" spans="1:16" x14ac:dyDescent="0.25">
      <c r="A106">
        <f ca="1">IF(_34445073613[[#This Row],[instance]]&lt;OFFSET(_34445073613[[#This Row],[instance]],-1,0), OFFSET(_34445073613[[#This Row],[model]],-1,0)+1, OFFSET(_34445073613[[#This Row],[model]],-1,0))</f>
        <v>1</v>
      </c>
      <c r="B106">
        <v>11</v>
      </c>
      <c r="C106" s="5">
        <v>8.5069444444444445E-5</v>
      </c>
      <c r="D106">
        <v>12.375</v>
      </c>
      <c r="E106">
        <v>6</v>
      </c>
      <c r="F106">
        <v>2</v>
      </c>
      <c r="G106" s="5">
        <v>2.3148148148148148E-6</v>
      </c>
      <c r="H106" s="5">
        <v>4.8877314814814812E-4</v>
      </c>
      <c r="I106" s="5">
        <v>4.6686342592592587E-3</v>
      </c>
      <c r="J106" s="5">
        <v>2.3148148148148148E-6</v>
      </c>
      <c r="P106" s="1"/>
    </row>
    <row r="107" spans="1:16" x14ac:dyDescent="0.25">
      <c r="A107">
        <f ca="1">IF(_34445073613[[#This Row],[instance]]&lt;OFFSET(_34445073613[[#This Row],[instance]],-1,0), OFFSET(_34445073613[[#This Row],[model]],-1,0)+1, OFFSET(_34445073613[[#This Row],[model]],-1,0))</f>
        <v>1</v>
      </c>
      <c r="B107">
        <v>11</v>
      </c>
      <c r="C107" s="5">
        <v>8.5069444444444445E-5</v>
      </c>
      <c r="D107">
        <v>12.75</v>
      </c>
      <c r="E107">
        <v>6</v>
      </c>
      <c r="F107">
        <v>3</v>
      </c>
      <c r="G107" s="5">
        <v>2.3148148148148148E-6</v>
      </c>
      <c r="H107" s="5">
        <v>4.8877314814814812E-4</v>
      </c>
      <c r="I107" s="5">
        <v>4.6686342592592587E-3</v>
      </c>
      <c r="J107" s="5">
        <v>2.3148148148148148E-6</v>
      </c>
      <c r="P107" s="1"/>
    </row>
    <row r="108" spans="1:16" x14ac:dyDescent="0.25">
      <c r="A108">
        <f ca="1">IF(_34445073613[[#This Row],[instance]]&lt;OFFSET(_34445073613[[#This Row],[instance]],-1,0), OFFSET(_34445073613[[#This Row],[model]],-1,0)+1, OFFSET(_34445073613[[#This Row],[model]],-1,0))</f>
        <v>1</v>
      </c>
      <c r="B108">
        <v>11</v>
      </c>
      <c r="C108" s="5">
        <v>8.5069444444444445E-5</v>
      </c>
      <c r="D108">
        <v>12.75</v>
      </c>
      <c r="E108">
        <v>6</v>
      </c>
      <c r="F108">
        <v>2</v>
      </c>
      <c r="G108" s="5">
        <v>2.3148148148148148E-6</v>
      </c>
      <c r="H108" s="5">
        <v>4.8877314814814812E-4</v>
      </c>
      <c r="I108" s="5">
        <v>4.6686342592592587E-3</v>
      </c>
      <c r="J108" s="5">
        <v>2.3148148148148148E-6</v>
      </c>
      <c r="P108" s="1"/>
    </row>
    <row r="109" spans="1:16" x14ac:dyDescent="0.25">
      <c r="A109">
        <f ca="1">IF(_34445073613[[#This Row],[instance]]&lt;OFFSET(_34445073613[[#This Row],[instance]],-1,0), OFFSET(_34445073613[[#This Row],[model]],-1,0)+1, OFFSET(_34445073613[[#This Row],[model]],-1,0))</f>
        <v>1</v>
      </c>
      <c r="B109">
        <v>11</v>
      </c>
      <c r="C109" s="5">
        <v>8.5069444444444445E-5</v>
      </c>
      <c r="D109">
        <v>13.5</v>
      </c>
      <c r="E109">
        <v>6</v>
      </c>
      <c r="F109">
        <v>3</v>
      </c>
      <c r="G109" s="5">
        <v>2.3148148148148148E-6</v>
      </c>
      <c r="H109" s="5">
        <v>4.8877314814814812E-4</v>
      </c>
      <c r="I109" s="5">
        <v>4.6686342592592587E-3</v>
      </c>
      <c r="J109" s="5">
        <v>2.3148148148148148E-6</v>
      </c>
      <c r="P109" s="1"/>
    </row>
    <row r="110" spans="1:16" x14ac:dyDescent="0.25">
      <c r="A110">
        <f ca="1">IF(_34445073613[[#This Row],[instance]]&lt;OFFSET(_34445073613[[#This Row],[instance]],-1,0), OFFSET(_34445073613[[#This Row],[model]],-1,0)+1, OFFSET(_34445073613[[#This Row],[model]],-1,0))</f>
        <v>1</v>
      </c>
      <c r="B110">
        <v>11</v>
      </c>
      <c r="C110" s="5">
        <v>8.5069444444444445E-5</v>
      </c>
      <c r="D110">
        <v>13.875</v>
      </c>
      <c r="E110">
        <v>7</v>
      </c>
      <c r="F110">
        <v>4</v>
      </c>
      <c r="G110" s="5">
        <v>2.3148148148148148E-6</v>
      </c>
      <c r="H110" s="5">
        <v>4.8877314814814812E-4</v>
      </c>
      <c r="I110" s="5">
        <v>4.6686342592592587E-3</v>
      </c>
      <c r="J110" s="5">
        <v>2.3148148148148148E-6</v>
      </c>
      <c r="P110" s="1"/>
    </row>
    <row r="111" spans="1:16" x14ac:dyDescent="0.25">
      <c r="A111">
        <f ca="1">IF(_34445073613[[#This Row],[instance]]&lt;OFFSET(_34445073613[[#This Row],[instance]],-1,0), OFFSET(_34445073613[[#This Row],[model]],-1,0)+1, OFFSET(_34445073613[[#This Row],[model]],-1,0))</f>
        <v>1</v>
      </c>
      <c r="B111">
        <v>11</v>
      </c>
      <c r="C111" s="5">
        <v>8.5069444444444445E-5</v>
      </c>
      <c r="D111">
        <v>14.25</v>
      </c>
      <c r="E111">
        <v>7</v>
      </c>
      <c r="F111">
        <v>3</v>
      </c>
      <c r="G111" s="5">
        <v>2.3148148148148148E-6</v>
      </c>
      <c r="H111" s="5">
        <v>4.8877314814814812E-4</v>
      </c>
      <c r="I111" s="5">
        <v>4.6686342592592587E-3</v>
      </c>
      <c r="J111" s="5">
        <v>2.3148148148148148E-6</v>
      </c>
      <c r="P111" s="1"/>
    </row>
    <row r="112" spans="1:16" x14ac:dyDescent="0.25">
      <c r="A112">
        <f ca="1">IF(_34445073613[[#This Row],[instance]]&lt;OFFSET(_34445073613[[#This Row],[instance]],-1,0), OFFSET(_34445073613[[#This Row],[model]],-1,0)+1, OFFSET(_34445073613[[#This Row],[model]],-1,0))</f>
        <v>1</v>
      </c>
      <c r="B112">
        <v>11</v>
      </c>
      <c r="C112" s="5">
        <v>8.5069444444444445E-5</v>
      </c>
      <c r="D112">
        <v>15</v>
      </c>
      <c r="E112">
        <v>7</v>
      </c>
      <c r="F112">
        <v>3</v>
      </c>
      <c r="G112" s="5">
        <v>2.3148148148148148E-6</v>
      </c>
      <c r="H112" s="5">
        <v>4.8877314814814812E-4</v>
      </c>
      <c r="I112" s="5">
        <v>4.6686342592592587E-3</v>
      </c>
      <c r="J112" s="5">
        <v>2.3148148148148148E-6</v>
      </c>
      <c r="P112" s="1"/>
    </row>
    <row r="113" spans="1:16" x14ac:dyDescent="0.25">
      <c r="A113">
        <f ca="1">IF(_34445073613[[#This Row],[instance]]&lt;OFFSET(_34445073613[[#This Row],[instance]],-1,0), OFFSET(_34445073613[[#This Row],[model]],-1,0)+1, OFFSET(_34445073613[[#This Row],[model]],-1,0))</f>
        <v>1</v>
      </c>
      <c r="B113">
        <v>11</v>
      </c>
      <c r="C113" s="5">
        <v>8.6689814814814805E-5</v>
      </c>
      <c r="D113">
        <v>15.75</v>
      </c>
      <c r="E113">
        <v>8</v>
      </c>
      <c r="F113">
        <v>2</v>
      </c>
      <c r="G113" s="5">
        <v>2.3148148148148148E-6</v>
      </c>
      <c r="H113" s="5">
        <v>4.8877314814814812E-4</v>
      </c>
      <c r="I113" s="5">
        <v>4.6686342592592587E-3</v>
      </c>
      <c r="J113" s="5">
        <v>2.3148148148148148E-6</v>
      </c>
      <c r="P113" s="1"/>
    </row>
    <row r="114" spans="1:16" x14ac:dyDescent="0.25">
      <c r="A114">
        <f ca="1">IF(_34445073613[[#This Row],[instance]]&lt;OFFSET(_34445073613[[#This Row],[instance]],-1,0), OFFSET(_34445073613[[#This Row],[model]],-1,0)+1, OFFSET(_34445073613[[#This Row],[model]],-1,0))</f>
        <v>1</v>
      </c>
      <c r="B114">
        <v>11</v>
      </c>
      <c r="C114" s="5">
        <v>1.2534722222222222E-4</v>
      </c>
      <c r="D114">
        <v>16.5</v>
      </c>
      <c r="E114">
        <v>10</v>
      </c>
      <c r="F114">
        <v>4</v>
      </c>
      <c r="G114" s="5">
        <v>2.3148148148148148E-6</v>
      </c>
      <c r="H114" s="5">
        <v>4.8877314814814812E-4</v>
      </c>
      <c r="I114" s="5">
        <v>4.6686342592592587E-3</v>
      </c>
      <c r="J114" s="5">
        <v>2.3148148148148148E-6</v>
      </c>
      <c r="P114" s="1"/>
    </row>
    <row r="115" spans="1:16" x14ac:dyDescent="0.25">
      <c r="A115">
        <f ca="1">IF(_34445073613[[#This Row],[instance]]&lt;OFFSET(_34445073613[[#This Row],[instance]],-1,0), OFFSET(_34445073613[[#This Row],[model]],-1,0)+1, OFFSET(_34445073613[[#This Row],[model]],-1,0))</f>
        <v>1</v>
      </c>
      <c r="B115">
        <v>11</v>
      </c>
      <c r="C115" s="5">
        <v>1.2534722222222222E-4</v>
      </c>
      <c r="D115">
        <v>16.875</v>
      </c>
      <c r="E115">
        <v>10</v>
      </c>
      <c r="F115">
        <v>4</v>
      </c>
      <c r="G115" s="5">
        <v>2.3148148148148148E-6</v>
      </c>
      <c r="H115" s="5">
        <v>4.8877314814814812E-4</v>
      </c>
      <c r="I115" s="5">
        <v>4.6686342592592587E-3</v>
      </c>
      <c r="J115" s="5">
        <v>2.3148148148148148E-6</v>
      </c>
      <c r="P115" s="1"/>
    </row>
    <row r="116" spans="1:16" x14ac:dyDescent="0.25">
      <c r="A116">
        <f ca="1">IF(_34445073613[[#This Row],[instance]]&lt;OFFSET(_34445073613[[#This Row],[instance]],-1,0), OFFSET(_34445073613[[#This Row],[model]],-1,0)+1, OFFSET(_34445073613[[#This Row],[model]],-1,0))</f>
        <v>1</v>
      </c>
      <c r="B116">
        <v>11</v>
      </c>
      <c r="C116" s="5">
        <v>1.2546296296296296E-4</v>
      </c>
      <c r="D116">
        <v>16.875</v>
      </c>
      <c r="E116">
        <v>10</v>
      </c>
      <c r="F116">
        <v>3</v>
      </c>
      <c r="G116" s="5">
        <v>2.3148148148148148E-6</v>
      </c>
      <c r="H116" s="5">
        <v>4.8877314814814812E-4</v>
      </c>
      <c r="I116" s="5">
        <v>4.6686342592592587E-3</v>
      </c>
      <c r="J116" s="5">
        <v>2.3148148148148148E-6</v>
      </c>
      <c r="P116" s="1"/>
    </row>
    <row r="117" spans="1:16" x14ac:dyDescent="0.25">
      <c r="A117">
        <f ca="1">IF(_34445073613[[#This Row],[instance]]&lt;OFFSET(_34445073613[[#This Row],[instance]],-1,0), OFFSET(_34445073613[[#This Row],[model]],-1,0)+1, OFFSET(_34445073613[[#This Row],[model]],-1,0))</f>
        <v>1</v>
      </c>
      <c r="B117">
        <v>11</v>
      </c>
      <c r="C117" s="5">
        <v>1.7696759259259258E-4</v>
      </c>
      <c r="D117">
        <v>16.875</v>
      </c>
      <c r="E117">
        <v>10</v>
      </c>
      <c r="F117">
        <v>2</v>
      </c>
      <c r="G117" s="5">
        <v>2.3148148148148148E-6</v>
      </c>
      <c r="H117" s="5">
        <v>4.8877314814814812E-4</v>
      </c>
      <c r="I117" s="5">
        <v>4.6686342592592587E-3</v>
      </c>
      <c r="J117" s="5">
        <v>2.3148148148148148E-6</v>
      </c>
      <c r="P117" s="1"/>
    </row>
    <row r="118" spans="1:16" x14ac:dyDescent="0.25">
      <c r="A118">
        <f ca="1">IF(_34445073613[[#This Row],[instance]]&lt;OFFSET(_34445073613[[#This Row],[instance]],-1,0), OFFSET(_34445073613[[#This Row],[model]],-1,0)+1, OFFSET(_34445073613[[#This Row],[model]],-1,0))</f>
        <v>1</v>
      </c>
      <c r="B118">
        <v>11</v>
      </c>
      <c r="C118" s="5">
        <v>1.7696759259259258E-4</v>
      </c>
      <c r="D118">
        <v>17.25</v>
      </c>
      <c r="E118">
        <v>11</v>
      </c>
      <c r="F118">
        <v>3</v>
      </c>
      <c r="G118" s="5">
        <v>2.3148148148148148E-6</v>
      </c>
      <c r="H118" s="5">
        <v>4.8877314814814812E-4</v>
      </c>
      <c r="I118" s="5">
        <v>4.6686342592592587E-3</v>
      </c>
      <c r="J118" s="5">
        <v>2.3148148148148148E-6</v>
      </c>
      <c r="P118" s="1"/>
    </row>
    <row r="119" spans="1:16" x14ac:dyDescent="0.25">
      <c r="A119">
        <f ca="1">IF(_34445073613[[#This Row],[instance]]&lt;OFFSET(_34445073613[[#This Row],[instance]],-1,0), OFFSET(_34445073613[[#This Row],[model]],-1,0)+1, OFFSET(_34445073613[[#This Row],[model]],-1,0))</f>
        <v>1</v>
      </c>
      <c r="B119">
        <v>11</v>
      </c>
      <c r="C119" s="5">
        <v>1.7708333333333332E-4</v>
      </c>
      <c r="D119">
        <v>17.25</v>
      </c>
      <c r="E119">
        <v>11</v>
      </c>
      <c r="F119">
        <v>2</v>
      </c>
      <c r="G119" s="5">
        <v>2.3148148148148148E-6</v>
      </c>
      <c r="H119" s="5">
        <v>4.8877314814814812E-4</v>
      </c>
      <c r="I119" s="5">
        <v>4.6686342592592587E-3</v>
      </c>
      <c r="J119" s="5">
        <v>2.3148148148148148E-6</v>
      </c>
      <c r="P119" s="1"/>
    </row>
    <row r="120" spans="1:16" x14ac:dyDescent="0.25">
      <c r="A120">
        <f ca="1">IF(_34445073613[[#This Row],[instance]]&lt;OFFSET(_34445073613[[#This Row],[instance]],-1,0), OFFSET(_34445073613[[#This Row],[model]],-1,0)+1, OFFSET(_34445073613[[#This Row],[model]],-1,0))</f>
        <v>1</v>
      </c>
      <c r="B120">
        <v>11</v>
      </c>
      <c r="C120" s="5">
        <v>4.6550925925925926E-4</v>
      </c>
      <c r="D120">
        <v>17.625</v>
      </c>
      <c r="E120">
        <v>12</v>
      </c>
      <c r="F120">
        <v>3</v>
      </c>
      <c r="G120" s="5">
        <v>2.3148148148148148E-6</v>
      </c>
      <c r="H120" s="5">
        <v>4.8877314814814812E-4</v>
      </c>
      <c r="I120" s="5">
        <v>4.6686342592592587E-3</v>
      </c>
      <c r="J120" s="5">
        <v>2.3148148148148148E-6</v>
      </c>
      <c r="P120" s="1"/>
    </row>
    <row r="121" spans="1:16" x14ac:dyDescent="0.25">
      <c r="A121">
        <f ca="1">IF(_34445073613[[#This Row],[instance]]&lt;OFFSET(_34445073613[[#This Row],[instance]],-1,0), OFFSET(_34445073613[[#This Row],[model]],-1,0)+1, OFFSET(_34445073613[[#This Row],[model]],-1,0))</f>
        <v>1</v>
      </c>
      <c r="B121">
        <v>11</v>
      </c>
      <c r="C121" s="5">
        <v>4.667824074074074E-4</v>
      </c>
      <c r="D121">
        <v>17.625</v>
      </c>
      <c r="E121">
        <v>12</v>
      </c>
      <c r="F121">
        <v>2</v>
      </c>
      <c r="G121" s="5">
        <v>2.3148148148148148E-6</v>
      </c>
      <c r="H121" s="5">
        <v>4.8877314814814812E-4</v>
      </c>
      <c r="I121" s="5">
        <v>4.6686342592592587E-3</v>
      </c>
      <c r="J121" s="5">
        <v>2.3148148148148148E-6</v>
      </c>
      <c r="P121" s="1"/>
    </row>
    <row r="122" spans="1:16" x14ac:dyDescent="0.25">
      <c r="A122">
        <f ca="1">IF(_34445073613[[#This Row],[instance]]&lt;OFFSET(_34445073613[[#This Row],[instance]],-1,0), OFFSET(_34445073613[[#This Row],[model]],-1,0)+1, OFFSET(_34445073613[[#This Row],[model]],-1,0))</f>
        <v>1</v>
      </c>
      <c r="B122">
        <v>12</v>
      </c>
      <c r="C122" s="5">
        <v>5.9027777777777776E-6</v>
      </c>
      <c r="D122">
        <v>0</v>
      </c>
      <c r="E122">
        <v>0</v>
      </c>
      <c r="F122">
        <v>0</v>
      </c>
      <c r="G122" s="5">
        <v>2.3148148148148148E-6</v>
      </c>
      <c r="H122" s="5">
        <v>6.9446759259259253E-3</v>
      </c>
      <c r="I122" s="5">
        <v>4.6686342592592587E-3</v>
      </c>
      <c r="J122" s="5">
        <v>2.3148148148148148E-6</v>
      </c>
      <c r="P122" s="1"/>
    </row>
    <row r="123" spans="1:16" x14ac:dyDescent="0.25">
      <c r="A123">
        <f ca="1">IF(_34445073613[[#This Row],[instance]]&lt;OFFSET(_34445073613[[#This Row],[instance]],-1,0), OFFSET(_34445073613[[#This Row],[model]],-1,0)+1, OFFSET(_34445073613[[#This Row],[model]],-1,0))</f>
        <v>1</v>
      </c>
      <c r="B123">
        <v>12</v>
      </c>
      <c r="C123" s="5">
        <v>5.9027777777777776E-6</v>
      </c>
      <c r="D123">
        <v>3</v>
      </c>
      <c r="E123">
        <v>1</v>
      </c>
      <c r="F123">
        <v>1</v>
      </c>
      <c r="G123" s="5">
        <v>2.3148148148148148E-6</v>
      </c>
      <c r="H123" s="5">
        <v>6.9446759259259253E-3</v>
      </c>
      <c r="I123" s="5">
        <v>4.6686342592592587E-3</v>
      </c>
      <c r="J123" s="5">
        <v>2.3148148148148148E-6</v>
      </c>
      <c r="P123" s="1"/>
    </row>
    <row r="124" spans="1:16" x14ac:dyDescent="0.25">
      <c r="A124">
        <f ca="1">IF(_34445073613[[#This Row],[instance]]&lt;OFFSET(_34445073613[[#This Row],[instance]],-1,0), OFFSET(_34445073613[[#This Row],[model]],-1,0)+1, OFFSET(_34445073613[[#This Row],[model]],-1,0))</f>
        <v>1</v>
      </c>
      <c r="B124">
        <v>12</v>
      </c>
      <c r="C124" s="5">
        <v>5.9027777777777776E-6</v>
      </c>
      <c r="D124">
        <v>6</v>
      </c>
      <c r="E124">
        <v>2</v>
      </c>
      <c r="F124">
        <v>2</v>
      </c>
      <c r="G124" s="5">
        <v>2.3148148148148148E-6</v>
      </c>
      <c r="H124" s="5">
        <v>6.9446759259259253E-3</v>
      </c>
      <c r="I124" s="5">
        <v>4.6686342592592587E-3</v>
      </c>
      <c r="J124" s="5">
        <v>2.3148148148148148E-6</v>
      </c>
      <c r="P124" s="1"/>
    </row>
    <row r="125" spans="1:16" x14ac:dyDescent="0.25">
      <c r="A125">
        <f ca="1">IF(_34445073613[[#This Row],[instance]]&lt;OFFSET(_34445073613[[#This Row],[instance]],-1,0), OFFSET(_34445073613[[#This Row],[model]],-1,0)+1, OFFSET(_34445073613[[#This Row],[model]],-1,0))</f>
        <v>1</v>
      </c>
      <c r="B125">
        <v>12</v>
      </c>
      <c r="C125" s="5">
        <v>5.9027777777777776E-6</v>
      </c>
      <c r="D125">
        <v>9</v>
      </c>
      <c r="E125">
        <v>3</v>
      </c>
      <c r="F125">
        <v>3</v>
      </c>
      <c r="G125" s="5">
        <v>2.3148148148148148E-6</v>
      </c>
      <c r="H125" s="5">
        <v>6.9446759259259253E-3</v>
      </c>
      <c r="I125" s="5">
        <v>4.6686342592592587E-3</v>
      </c>
      <c r="J125" s="5">
        <v>2.3148148148148148E-6</v>
      </c>
      <c r="P125" s="1"/>
    </row>
    <row r="126" spans="1:16" x14ac:dyDescent="0.25">
      <c r="A126">
        <f ca="1">IF(_34445073613[[#This Row],[instance]]&lt;OFFSET(_34445073613[[#This Row],[instance]],-1,0), OFFSET(_34445073613[[#This Row],[model]],-1,0)+1, OFFSET(_34445073613[[#This Row],[model]],-1,0))</f>
        <v>1</v>
      </c>
      <c r="B126">
        <v>12</v>
      </c>
      <c r="C126" s="5">
        <v>1.7013888888888888E-5</v>
      </c>
      <c r="D126">
        <v>12</v>
      </c>
      <c r="E126">
        <v>4</v>
      </c>
      <c r="F126">
        <v>4</v>
      </c>
      <c r="G126" s="5">
        <v>2.3148148148148148E-6</v>
      </c>
      <c r="H126" s="5">
        <v>6.9446759259259253E-3</v>
      </c>
      <c r="I126" s="5">
        <v>4.6686342592592587E-3</v>
      </c>
      <c r="J126" s="5">
        <v>2.3148148148148148E-6</v>
      </c>
      <c r="P126" s="1"/>
    </row>
    <row r="127" spans="1:16" x14ac:dyDescent="0.25">
      <c r="A127">
        <f ca="1">IF(_34445073613[[#This Row],[instance]]&lt;OFFSET(_34445073613[[#This Row],[instance]],-1,0), OFFSET(_34445073613[[#This Row],[model]],-1,0)+1, OFFSET(_34445073613[[#This Row],[model]],-1,0))</f>
        <v>1</v>
      </c>
      <c r="B127">
        <v>13</v>
      </c>
      <c r="C127" s="5">
        <v>5.9027777777777776E-6</v>
      </c>
      <c r="D127">
        <v>0</v>
      </c>
      <c r="E127">
        <v>0</v>
      </c>
      <c r="F127">
        <v>0</v>
      </c>
      <c r="G127" s="5">
        <v>2.3148148148148148E-6</v>
      </c>
      <c r="H127" s="5">
        <v>6.9446759259259253E-3</v>
      </c>
      <c r="I127" s="5">
        <v>4.6686342592592587E-3</v>
      </c>
      <c r="J127" s="5">
        <v>2.3148148148148148E-6</v>
      </c>
      <c r="P127" s="1"/>
    </row>
    <row r="128" spans="1:16" x14ac:dyDescent="0.25">
      <c r="A128">
        <f ca="1">IF(_34445073613[[#This Row],[instance]]&lt;OFFSET(_34445073613[[#This Row],[instance]],-1,0), OFFSET(_34445073613[[#This Row],[model]],-1,0)+1, OFFSET(_34445073613[[#This Row],[model]],-1,0))</f>
        <v>1</v>
      </c>
      <c r="B128">
        <v>13</v>
      </c>
      <c r="C128" s="5">
        <v>5.9027777777777776E-6</v>
      </c>
      <c r="D128">
        <v>3</v>
      </c>
      <c r="E128">
        <v>1</v>
      </c>
      <c r="F128">
        <v>1</v>
      </c>
      <c r="G128" s="5">
        <v>2.3148148148148148E-6</v>
      </c>
      <c r="H128" s="5">
        <v>6.9446759259259253E-3</v>
      </c>
      <c r="I128" s="5">
        <v>4.6686342592592587E-3</v>
      </c>
      <c r="J128" s="5">
        <v>2.3148148148148148E-6</v>
      </c>
      <c r="P128" s="1"/>
    </row>
    <row r="129" spans="1:16" x14ac:dyDescent="0.25">
      <c r="A129">
        <f ca="1">IF(_34445073613[[#This Row],[instance]]&lt;OFFSET(_34445073613[[#This Row],[instance]],-1,0), OFFSET(_34445073613[[#This Row],[model]],-1,0)+1, OFFSET(_34445073613[[#This Row],[model]],-1,0))</f>
        <v>1</v>
      </c>
      <c r="B129">
        <v>13</v>
      </c>
      <c r="C129" s="5">
        <v>5.9027777777777776E-6</v>
      </c>
      <c r="D129">
        <v>4.5</v>
      </c>
      <c r="E129">
        <v>2</v>
      </c>
      <c r="F129">
        <v>2</v>
      </c>
      <c r="G129" s="5">
        <v>2.3148148148148148E-6</v>
      </c>
      <c r="H129" s="5">
        <v>6.9446759259259253E-3</v>
      </c>
      <c r="I129" s="5">
        <v>4.6686342592592587E-3</v>
      </c>
      <c r="J129" s="5">
        <v>2.3148148148148148E-6</v>
      </c>
      <c r="P129" s="1"/>
    </row>
    <row r="130" spans="1:16" x14ac:dyDescent="0.25">
      <c r="A130">
        <f ca="1">IF(_34445073613[[#This Row],[instance]]&lt;OFFSET(_34445073613[[#This Row],[instance]],-1,0), OFFSET(_34445073613[[#This Row],[model]],-1,0)+1, OFFSET(_34445073613[[#This Row],[model]],-1,0))</f>
        <v>1</v>
      </c>
      <c r="B130">
        <v>13</v>
      </c>
      <c r="C130" s="5">
        <v>5.9027777777777776E-6</v>
      </c>
      <c r="D130">
        <v>6</v>
      </c>
      <c r="E130">
        <v>2</v>
      </c>
      <c r="F130">
        <v>2</v>
      </c>
      <c r="G130" s="5">
        <v>2.3148148148148148E-6</v>
      </c>
      <c r="H130" s="5">
        <v>6.9446759259259253E-3</v>
      </c>
      <c r="I130" s="5">
        <v>4.6686342592592587E-3</v>
      </c>
      <c r="J130" s="5">
        <v>2.3148148148148148E-6</v>
      </c>
      <c r="P130" s="1"/>
    </row>
    <row r="131" spans="1:16" x14ac:dyDescent="0.25">
      <c r="A131">
        <f ca="1">IF(_34445073613[[#This Row],[instance]]&lt;OFFSET(_34445073613[[#This Row],[instance]],-1,0), OFFSET(_34445073613[[#This Row],[model]],-1,0)+1, OFFSET(_34445073613[[#This Row],[model]],-1,0))</f>
        <v>1</v>
      </c>
      <c r="B131">
        <v>13</v>
      </c>
      <c r="C131" s="5">
        <v>6.0185185185185185E-6</v>
      </c>
      <c r="D131">
        <v>7.5</v>
      </c>
      <c r="E131">
        <v>3</v>
      </c>
      <c r="F131">
        <v>3</v>
      </c>
      <c r="G131" s="5">
        <v>2.3148148148148148E-6</v>
      </c>
      <c r="H131" s="5">
        <v>6.9446759259259253E-3</v>
      </c>
      <c r="I131" s="5">
        <v>4.6686342592592587E-3</v>
      </c>
      <c r="J131" s="5">
        <v>2.3148148148148148E-6</v>
      </c>
      <c r="P131" s="1"/>
    </row>
    <row r="132" spans="1:16" x14ac:dyDescent="0.25">
      <c r="A132">
        <f ca="1">IF(_34445073613[[#This Row],[instance]]&lt;OFFSET(_34445073613[[#This Row],[instance]],-1,0), OFFSET(_34445073613[[#This Row],[model]],-1,0)+1, OFFSET(_34445073613[[#This Row],[model]],-1,0))</f>
        <v>1</v>
      </c>
      <c r="B132">
        <v>13</v>
      </c>
      <c r="C132" s="5">
        <v>7.0601851851851848E-6</v>
      </c>
      <c r="D132">
        <v>8.5</v>
      </c>
      <c r="E132">
        <v>4</v>
      </c>
      <c r="F132">
        <v>3</v>
      </c>
      <c r="G132" s="5">
        <v>2.3148148148148148E-6</v>
      </c>
      <c r="H132" s="5">
        <v>6.9446759259259253E-3</v>
      </c>
      <c r="I132" s="5">
        <v>4.6686342592592587E-3</v>
      </c>
      <c r="J132" s="5">
        <v>2.3148148148148148E-6</v>
      </c>
      <c r="P132" s="1"/>
    </row>
    <row r="133" spans="1:16" x14ac:dyDescent="0.25">
      <c r="A133">
        <f ca="1">IF(_34445073613[[#This Row],[instance]]&lt;OFFSET(_34445073613[[#This Row],[instance]],-1,0), OFFSET(_34445073613[[#This Row],[model]],-1,0)+1, OFFSET(_34445073613[[#This Row],[model]],-1,0))</f>
        <v>1</v>
      </c>
      <c r="B133">
        <v>13</v>
      </c>
      <c r="C133" s="5">
        <v>7.0601851851851848E-6</v>
      </c>
      <c r="D133">
        <v>9</v>
      </c>
      <c r="E133">
        <v>4</v>
      </c>
      <c r="F133">
        <v>3</v>
      </c>
      <c r="G133" s="5">
        <v>2.3148148148148148E-6</v>
      </c>
      <c r="H133" s="5">
        <v>6.9446759259259253E-3</v>
      </c>
      <c r="I133" s="5">
        <v>4.6686342592592587E-3</v>
      </c>
      <c r="J133" s="5">
        <v>2.3148148148148148E-6</v>
      </c>
      <c r="P133" s="1"/>
    </row>
    <row r="134" spans="1:16" x14ac:dyDescent="0.25">
      <c r="A134">
        <f ca="1">IF(_34445073613[[#This Row],[instance]]&lt;OFFSET(_34445073613[[#This Row],[instance]],-1,0), OFFSET(_34445073613[[#This Row],[model]],-1,0)+1, OFFSET(_34445073613[[#This Row],[model]],-1,0))</f>
        <v>1</v>
      </c>
      <c r="B134">
        <v>13</v>
      </c>
      <c r="C134" s="5">
        <v>7.0601851851851848E-6</v>
      </c>
      <c r="D134">
        <v>10</v>
      </c>
      <c r="E134">
        <v>5</v>
      </c>
      <c r="F134">
        <v>4</v>
      </c>
      <c r="G134" s="5">
        <v>2.3148148148148148E-6</v>
      </c>
      <c r="H134" s="5">
        <v>6.9446759259259253E-3</v>
      </c>
      <c r="I134" s="5">
        <v>4.6686342592592587E-3</v>
      </c>
      <c r="J134" s="5">
        <v>2.3148148148148148E-6</v>
      </c>
      <c r="P134" s="1"/>
    </row>
    <row r="135" spans="1:16" x14ac:dyDescent="0.25">
      <c r="A135">
        <f ca="1">IF(_34445073613[[#This Row],[instance]]&lt;OFFSET(_34445073613[[#This Row],[instance]],-1,0), OFFSET(_34445073613[[#This Row],[model]],-1,0)+1, OFFSET(_34445073613[[#This Row],[model]],-1,0))</f>
        <v>1</v>
      </c>
      <c r="B135">
        <v>13</v>
      </c>
      <c r="C135" s="5">
        <v>7.5231481481481475E-6</v>
      </c>
      <c r="D135">
        <v>10.5</v>
      </c>
      <c r="E135">
        <v>5</v>
      </c>
      <c r="F135">
        <v>4</v>
      </c>
      <c r="G135" s="5">
        <v>2.3148148148148148E-6</v>
      </c>
      <c r="H135" s="5">
        <v>6.9446759259259253E-3</v>
      </c>
      <c r="I135" s="5">
        <v>4.6686342592592587E-3</v>
      </c>
      <c r="J135" s="5">
        <v>2.3148148148148148E-6</v>
      </c>
      <c r="P135" s="1"/>
    </row>
    <row r="136" spans="1:16" x14ac:dyDescent="0.25">
      <c r="A136">
        <f ca="1">IF(_34445073613[[#This Row],[instance]]&lt;OFFSET(_34445073613[[#This Row],[instance]],-1,0), OFFSET(_34445073613[[#This Row],[model]],-1,0)+1, OFFSET(_34445073613[[#This Row],[model]],-1,0))</f>
        <v>1</v>
      </c>
      <c r="B136">
        <v>13</v>
      </c>
      <c r="C136" s="5">
        <v>1.8865740740740738E-5</v>
      </c>
      <c r="D136">
        <v>11.5</v>
      </c>
      <c r="E136">
        <v>6</v>
      </c>
      <c r="F136">
        <v>5</v>
      </c>
      <c r="G136" s="5">
        <v>2.3148148148148148E-6</v>
      </c>
      <c r="H136" s="5">
        <v>6.9446759259259253E-3</v>
      </c>
      <c r="I136" s="5">
        <v>4.6686342592592587E-3</v>
      </c>
      <c r="J136" s="5">
        <v>2.3148148148148148E-6</v>
      </c>
      <c r="P136" s="1"/>
    </row>
    <row r="137" spans="1:16" x14ac:dyDescent="0.25">
      <c r="A137">
        <f ca="1">IF(_34445073613[[#This Row],[instance]]&lt;OFFSET(_34445073613[[#This Row],[instance]],-1,0), OFFSET(_34445073613[[#This Row],[model]],-1,0)+1, OFFSET(_34445073613[[#This Row],[model]],-1,0))</f>
        <v>1</v>
      </c>
      <c r="B137">
        <v>13</v>
      </c>
      <c r="C137" s="5">
        <v>1.8865740740740738E-5</v>
      </c>
      <c r="D137">
        <v>12</v>
      </c>
      <c r="E137">
        <v>6</v>
      </c>
      <c r="F137">
        <v>6</v>
      </c>
      <c r="G137" s="5">
        <v>2.3148148148148148E-6</v>
      </c>
      <c r="H137" s="5">
        <v>6.9446759259259253E-3</v>
      </c>
      <c r="I137" s="5">
        <v>4.6686342592592587E-3</v>
      </c>
      <c r="J137" s="5">
        <v>2.3148148148148148E-6</v>
      </c>
      <c r="P137" s="1"/>
    </row>
    <row r="138" spans="1:16" x14ac:dyDescent="0.25">
      <c r="A138">
        <f ca="1">IF(_34445073613[[#This Row],[instance]]&lt;OFFSET(_34445073613[[#This Row],[instance]],-1,0), OFFSET(_34445073613[[#This Row],[model]],-1,0)+1, OFFSET(_34445073613[[#This Row],[model]],-1,0))</f>
        <v>1</v>
      </c>
      <c r="B138">
        <v>13</v>
      </c>
      <c r="C138" s="5">
        <v>2.7546296296296296E-5</v>
      </c>
      <c r="D138">
        <v>12</v>
      </c>
      <c r="E138">
        <v>6</v>
      </c>
      <c r="F138">
        <v>5</v>
      </c>
      <c r="G138" s="5">
        <v>2.3148148148148148E-6</v>
      </c>
      <c r="H138" s="5">
        <v>6.9446759259259253E-3</v>
      </c>
      <c r="I138" s="5">
        <v>4.6686342592592587E-3</v>
      </c>
      <c r="J138" s="5">
        <v>2.3148148148148148E-6</v>
      </c>
      <c r="P138" s="1"/>
    </row>
    <row r="139" spans="1:16" x14ac:dyDescent="0.25">
      <c r="A139">
        <f ca="1">IF(_34445073613[[#This Row],[instance]]&lt;OFFSET(_34445073613[[#This Row],[instance]],-1,0), OFFSET(_34445073613[[#This Row],[model]],-1,0)+1, OFFSET(_34445073613[[#This Row],[model]],-1,0))</f>
        <v>1</v>
      </c>
      <c r="B139">
        <v>13</v>
      </c>
      <c r="C139" s="5">
        <v>3.0555555555555554E-5</v>
      </c>
      <c r="D139">
        <v>12</v>
      </c>
      <c r="E139">
        <v>6</v>
      </c>
      <c r="F139">
        <v>4</v>
      </c>
      <c r="G139" s="5">
        <v>2.3148148148148148E-6</v>
      </c>
      <c r="H139" s="5">
        <v>6.9446759259259253E-3</v>
      </c>
      <c r="I139" s="5">
        <v>4.6686342592592587E-3</v>
      </c>
      <c r="J139" s="5">
        <v>2.3148148148148148E-6</v>
      </c>
      <c r="P139" s="1"/>
    </row>
    <row r="140" spans="1:16" x14ac:dyDescent="0.25">
      <c r="A140">
        <f ca="1">IF(_34445073613[[#This Row],[instance]]&lt;OFFSET(_34445073613[[#This Row],[instance]],-1,0), OFFSET(_34445073613[[#This Row],[model]],-1,0)+1, OFFSET(_34445073613[[#This Row],[model]],-1,0))</f>
        <v>1</v>
      </c>
      <c r="B140">
        <v>13</v>
      </c>
      <c r="C140" s="5">
        <v>5.138888888888889E-5</v>
      </c>
      <c r="D140">
        <v>13</v>
      </c>
      <c r="E140">
        <v>7</v>
      </c>
      <c r="F140">
        <v>6</v>
      </c>
      <c r="G140" s="5">
        <v>2.3148148148148148E-6</v>
      </c>
      <c r="H140" s="5">
        <v>6.9446759259259253E-3</v>
      </c>
      <c r="I140" s="5">
        <v>4.6686342592592587E-3</v>
      </c>
      <c r="J140" s="5">
        <v>2.3148148148148148E-6</v>
      </c>
      <c r="P140" s="1"/>
    </row>
    <row r="141" spans="1:16" x14ac:dyDescent="0.25">
      <c r="A141">
        <f ca="1">IF(_34445073613[[#This Row],[instance]]&lt;OFFSET(_34445073613[[#This Row],[instance]],-1,0), OFFSET(_34445073613[[#This Row],[model]],-1,0)+1, OFFSET(_34445073613[[#This Row],[model]],-1,0))</f>
        <v>1</v>
      </c>
      <c r="B141">
        <v>13</v>
      </c>
      <c r="C141" s="5">
        <v>5.3819444444444444E-5</v>
      </c>
      <c r="D141">
        <v>13</v>
      </c>
      <c r="E141">
        <v>7</v>
      </c>
      <c r="F141">
        <v>4</v>
      </c>
      <c r="G141" s="5">
        <v>2.3148148148148148E-6</v>
      </c>
      <c r="H141" s="5">
        <v>6.9446759259259253E-3</v>
      </c>
      <c r="I141" s="5">
        <v>4.6686342592592587E-3</v>
      </c>
      <c r="J141" s="5">
        <v>2.3148148148148148E-6</v>
      </c>
      <c r="P141" s="1"/>
    </row>
    <row r="142" spans="1:16" x14ac:dyDescent="0.25">
      <c r="A142">
        <f ca="1">IF(_34445073613[[#This Row],[instance]]&lt;OFFSET(_34445073613[[#This Row],[instance]],-1,0), OFFSET(_34445073613[[#This Row],[model]],-1,0)+1, OFFSET(_34445073613[[#This Row],[model]],-1,0))</f>
        <v>1</v>
      </c>
      <c r="B142">
        <v>13</v>
      </c>
      <c r="C142" s="5">
        <v>3.0312500000000001E-4</v>
      </c>
      <c r="D142">
        <v>14</v>
      </c>
      <c r="E142">
        <v>8</v>
      </c>
      <c r="F142">
        <v>6</v>
      </c>
      <c r="G142" s="5">
        <v>2.3148148148148148E-6</v>
      </c>
      <c r="H142" s="5">
        <v>6.9446759259259253E-3</v>
      </c>
      <c r="I142" s="5">
        <v>4.6686342592592587E-3</v>
      </c>
      <c r="J142" s="5">
        <v>2.3148148148148148E-6</v>
      </c>
      <c r="P142" s="1"/>
    </row>
    <row r="143" spans="1:16" x14ac:dyDescent="0.25">
      <c r="A143">
        <f ca="1">IF(_34445073613[[#This Row],[instance]]&lt;OFFSET(_34445073613[[#This Row],[instance]],-1,0), OFFSET(_34445073613[[#This Row],[model]],-1,0)+1, OFFSET(_34445073613[[#This Row],[model]],-1,0))</f>
        <v>1</v>
      </c>
      <c r="B143">
        <v>13</v>
      </c>
      <c r="C143" s="5">
        <v>7.5682870370370368E-4</v>
      </c>
      <c r="D143">
        <v>14</v>
      </c>
      <c r="E143">
        <v>8</v>
      </c>
      <c r="F143">
        <v>5</v>
      </c>
      <c r="G143" s="5">
        <v>2.3148148148148148E-6</v>
      </c>
      <c r="H143" s="5">
        <v>6.9446759259259253E-3</v>
      </c>
      <c r="I143" s="5">
        <v>4.6686342592592587E-3</v>
      </c>
      <c r="J143" s="5">
        <v>2.3148148148148148E-6</v>
      </c>
      <c r="P143" s="1"/>
    </row>
    <row r="144" spans="1:16" x14ac:dyDescent="0.25">
      <c r="A144">
        <f ca="1">IF(_34445073613[[#This Row],[instance]]&lt;OFFSET(_34445073613[[#This Row],[instance]],-1,0), OFFSET(_34445073613[[#This Row],[model]],-1,0)+1, OFFSET(_34445073613[[#This Row],[model]],-1,0))</f>
        <v>1</v>
      </c>
      <c r="B144">
        <v>13</v>
      </c>
      <c r="C144" s="5">
        <v>7.5694444444444442E-4</v>
      </c>
      <c r="D144">
        <v>14</v>
      </c>
      <c r="E144">
        <v>8</v>
      </c>
      <c r="F144">
        <v>4</v>
      </c>
      <c r="G144" s="5">
        <v>2.3148148148148148E-6</v>
      </c>
      <c r="H144" s="5">
        <v>6.9446759259259253E-3</v>
      </c>
      <c r="I144" s="5">
        <v>4.6686342592592587E-3</v>
      </c>
      <c r="J144" s="5">
        <v>2.3148148148148148E-6</v>
      </c>
      <c r="P144" s="1"/>
    </row>
    <row r="145" spans="1:16" x14ac:dyDescent="0.25">
      <c r="A145">
        <f ca="1">IF(_34445073613[[#This Row],[instance]]&lt;OFFSET(_34445073613[[#This Row],[instance]],-1,0), OFFSET(_34445073613[[#This Row],[model]],-1,0)+1, OFFSET(_34445073613[[#This Row],[model]],-1,0))</f>
        <v>1</v>
      </c>
      <c r="B145">
        <v>13</v>
      </c>
      <c r="C145" s="5">
        <v>1.0047453703703703E-3</v>
      </c>
      <c r="D145">
        <v>14.375</v>
      </c>
      <c r="E145">
        <v>9</v>
      </c>
      <c r="F145">
        <v>6</v>
      </c>
      <c r="G145" s="5">
        <v>2.3148148148148148E-6</v>
      </c>
      <c r="H145" s="5">
        <v>6.9446759259259253E-3</v>
      </c>
      <c r="I145" s="5">
        <v>4.6686342592592587E-3</v>
      </c>
      <c r="J145" s="5">
        <v>2.3148148148148148E-6</v>
      </c>
      <c r="P145" s="1"/>
    </row>
    <row r="146" spans="1:16" x14ac:dyDescent="0.25">
      <c r="A146">
        <f ca="1">IF(_34445073613[[#This Row],[instance]]&lt;OFFSET(_34445073613[[#This Row],[instance]],-1,0), OFFSET(_34445073613[[#This Row],[model]],-1,0)+1, OFFSET(_34445073613[[#This Row],[model]],-1,0))</f>
        <v>1</v>
      </c>
      <c r="B146">
        <v>13</v>
      </c>
      <c r="C146" s="5">
        <v>1.4521990740740741E-3</v>
      </c>
      <c r="D146">
        <v>14.375</v>
      </c>
      <c r="E146">
        <v>9</v>
      </c>
      <c r="F146">
        <v>5</v>
      </c>
      <c r="G146" s="5">
        <v>2.3148148148148148E-6</v>
      </c>
      <c r="H146" s="5">
        <v>6.9446759259259253E-3</v>
      </c>
      <c r="I146" s="5">
        <v>4.6686342592592587E-3</v>
      </c>
      <c r="J146" s="5">
        <v>2.3148148148148148E-6</v>
      </c>
      <c r="P146" s="1"/>
    </row>
    <row r="147" spans="1:16" x14ac:dyDescent="0.25">
      <c r="A147">
        <f ca="1">IF(_34445073613[[#This Row],[instance]]&lt;OFFSET(_34445073613[[#This Row],[instance]],-1,0), OFFSET(_34445073613[[#This Row],[model]],-1,0)+1, OFFSET(_34445073613[[#This Row],[model]],-1,0))</f>
        <v>1</v>
      </c>
      <c r="B147">
        <v>13</v>
      </c>
      <c r="C147" s="5">
        <v>1.8973379629629629E-3</v>
      </c>
      <c r="D147">
        <v>14.375</v>
      </c>
      <c r="E147">
        <v>9</v>
      </c>
      <c r="F147">
        <v>4</v>
      </c>
      <c r="G147" s="5">
        <v>2.3148148148148148E-6</v>
      </c>
      <c r="H147" s="5">
        <v>6.9446759259259253E-3</v>
      </c>
      <c r="I147" s="5">
        <v>4.6686342592592587E-3</v>
      </c>
      <c r="J147" s="5">
        <v>2.3148148148148148E-6</v>
      </c>
      <c r="P147" s="1"/>
    </row>
    <row r="148" spans="1:16" x14ac:dyDescent="0.25">
      <c r="A148">
        <f ca="1">IF(_34445073613[[#This Row],[instance]]&lt;OFFSET(_34445073613[[#This Row],[instance]],-1,0), OFFSET(_34445073613[[#This Row],[model]],-1,0)+1, OFFSET(_34445073613[[#This Row],[model]],-1,0))</f>
        <v>1</v>
      </c>
      <c r="B148">
        <v>13</v>
      </c>
      <c r="C148" s="5">
        <v>6.9390046296296292E-3</v>
      </c>
      <c r="D148">
        <v>15</v>
      </c>
      <c r="E148">
        <v>9</v>
      </c>
      <c r="F148">
        <v>6</v>
      </c>
      <c r="G148" s="5">
        <v>2.3148148148148148E-6</v>
      </c>
      <c r="H148" s="5">
        <v>6.9446759259259253E-3</v>
      </c>
      <c r="I148" s="5">
        <v>4.6686342592592587E-3</v>
      </c>
      <c r="J148" s="5">
        <v>2.3148148148148148E-6</v>
      </c>
      <c r="P148" s="1"/>
    </row>
    <row r="149" spans="1:16" x14ac:dyDescent="0.25">
      <c r="A149">
        <f ca="1">IF(_34445073613[[#This Row],[instance]]&lt;OFFSET(_34445073613[[#This Row],[instance]],-1,0), OFFSET(_34445073613[[#This Row],[model]],-1,0)+1, OFFSET(_34445073613[[#This Row],[model]],-1,0))</f>
        <v>1</v>
      </c>
      <c r="B149">
        <v>14</v>
      </c>
      <c r="C149" s="5">
        <v>5.9027777777777776E-6</v>
      </c>
      <c r="D149">
        <v>0</v>
      </c>
      <c r="E149">
        <v>0</v>
      </c>
      <c r="F149">
        <v>0</v>
      </c>
      <c r="G149" s="5">
        <v>2.4305555555555552E-6</v>
      </c>
      <c r="H149" s="5">
        <v>6.9446759259259253E-3</v>
      </c>
      <c r="I149" s="5">
        <v>4.6686342592592587E-3</v>
      </c>
      <c r="J149" s="5">
        <v>2.3148148148148148E-6</v>
      </c>
      <c r="P149" s="1"/>
    </row>
    <row r="150" spans="1:16" x14ac:dyDescent="0.25">
      <c r="A150">
        <f ca="1">IF(_34445073613[[#This Row],[instance]]&lt;OFFSET(_34445073613[[#This Row],[instance]],-1,0), OFFSET(_34445073613[[#This Row],[model]],-1,0)+1, OFFSET(_34445073613[[#This Row],[model]],-1,0))</f>
        <v>1</v>
      </c>
      <c r="B150">
        <v>14</v>
      </c>
      <c r="C150" s="5">
        <v>6.0185185185185185E-6</v>
      </c>
      <c r="D150">
        <v>9</v>
      </c>
      <c r="E150">
        <v>3</v>
      </c>
      <c r="F150">
        <v>1</v>
      </c>
      <c r="G150" s="5">
        <v>2.4305555555555552E-6</v>
      </c>
      <c r="H150" s="5">
        <v>6.9446759259259253E-3</v>
      </c>
      <c r="I150" s="5">
        <v>4.6686342592592587E-3</v>
      </c>
      <c r="J150" s="5">
        <v>2.3148148148148148E-6</v>
      </c>
      <c r="P150" s="1"/>
    </row>
    <row r="151" spans="1:16" x14ac:dyDescent="0.25">
      <c r="A151">
        <f ca="1">IF(_34445073613[[#This Row],[instance]]&lt;OFFSET(_34445073613[[#This Row],[instance]],-1,0), OFFSET(_34445073613[[#This Row],[model]],-1,0)+1, OFFSET(_34445073613[[#This Row],[model]],-1,0))</f>
        <v>1</v>
      </c>
      <c r="B151">
        <v>14</v>
      </c>
      <c r="C151" s="5">
        <v>6.0185185185185185E-6</v>
      </c>
      <c r="D151">
        <v>12</v>
      </c>
      <c r="E151">
        <v>4</v>
      </c>
      <c r="F151">
        <v>1</v>
      </c>
      <c r="G151" s="5">
        <v>2.4305555555555552E-6</v>
      </c>
      <c r="H151" s="5">
        <v>6.9446759259259253E-3</v>
      </c>
      <c r="I151" s="5">
        <v>4.6686342592592587E-3</v>
      </c>
      <c r="J151" s="5">
        <v>2.3148148148148148E-6</v>
      </c>
      <c r="P151" s="1"/>
    </row>
    <row r="152" spans="1:16" x14ac:dyDescent="0.25">
      <c r="A152">
        <f ca="1">IF(_34445073613[[#This Row],[instance]]&lt;OFFSET(_34445073613[[#This Row],[instance]],-1,0), OFFSET(_34445073613[[#This Row],[model]],-1,0)+1, OFFSET(_34445073613[[#This Row],[model]],-1,0))</f>
        <v>1</v>
      </c>
      <c r="B152">
        <v>14</v>
      </c>
      <c r="C152" s="5">
        <v>1.4668981481481482E-3</v>
      </c>
      <c r="D152">
        <v>16</v>
      </c>
      <c r="E152">
        <v>6</v>
      </c>
      <c r="F152">
        <v>2</v>
      </c>
      <c r="G152" s="5">
        <v>2.4305555555555552E-6</v>
      </c>
      <c r="H152" s="5">
        <v>6.9446759259259253E-3</v>
      </c>
      <c r="I152" s="5">
        <v>4.6686342592592587E-3</v>
      </c>
      <c r="J152" s="5">
        <v>2.3148148148148148E-6</v>
      </c>
      <c r="P152" s="1"/>
    </row>
    <row r="153" spans="1:16" x14ac:dyDescent="0.25">
      <c r="A153">
        <f ca="1">IF(_34445073613[[#This Row],[instance]]&lt;OFFSET(_34445073613[[#This Row],[instance]],-1,0), OFFSET(_34445073613[[#This Row],[model]],-1,0)+1, OFFSET(_34445073613[[#This Row],[model]],-1,0))</f>
        <v>1</v>
      </c>
      <c r="B153">
        <v>14</v>
      </c>
      <c r="C153" s="5">
        <v>1.4668981481481482E-3</v>
      </c>
      <c r="D153">
        <v>16.5</v>
      </c>
      <c r="E153">
        <v>6</v>
      </c>
      <c r="F153">
        <v>2</v>
      </c>
      <c r="G153" s="5">
        <v>2.4305555555555552E-6</v>
      </c>
      <c r="H153" s="5">
        <v>6.9446759259259253E-3</v>
      </c>
      <c r="I153" s="5">
        <v>4.6686342592592587E-3</v>
      </c>
      <c r="J153" s="5">
        <v>2.3148148148148148E-6</v>
      </c>
      <c r="P153" s="1"/>
    </row>
    <row r="154" spans="1:16" x14ac:dyDescent="0.25">
      <c r="A154">
        <f ca="1">IF(_34445073613[[#This Row],[instance]]&lt;OFFSET(_34445073613[[#This Row],[instance]],-1,0), OFFSET(_34445073613[[#This Row],[model]],-1,0)+1, OFFSET(_34445073613[[#This Row],[model]],-1,0))</f>
        <v>1</v>
      </c>
      <c r="B154">
        <v>14</v>
      </c>
      <c r="C154" s="5">
        <v>1.4670138888888888E-3</v>
      </c>
      <c r="D154">
        <v>17.5</v>
      </c>
      <c r="E154">
        <v>7</v>
      </c>
      <c r="F154">
        <v>2</v>
      </c>
      <c r="G154" s="5">
        <v>2.4305555555555552E-6</v>
      </c>
      <c r="H154" s="5">
        <v>6.9446759259259253E-3</v>
      </c>
      <c r="I154" s="5">
        <v>4.6686342592592587E-3</v>
      </c>
      <c r="J154" s="5">
        <v>2.3148148148148148E-6</v>
      </c>
      <c r="P154" s="1"/>
    </row>
    <row r="155" spans="1:16" x14ac:dyDescent="0.25">
      <c r="A155">
        <f ca="1">IF(_34445073613[[#This Row],[instance]]&lt;OFFSET(_34445073613[[#This Row],[instance]],-1,0), OFFSET(_34445073613[[#This Row],[model]],-1,0)+1, OFFSET(_34445073613[[#This Row],[model]],-1,0))</f>
        <v>1</v>
      </c>
      <c r="B155">
        <v>14</v>
      </c>
      <c r="C155" s="5">
        <v>1.7109953703703703E-3</v>
      </c>
      <c r="D155">
        <v>18.5</v>
      </c>
      <c r="E155">
        <v>8</v>
      </c>
      <c r="F155">
        <v>2</v>
      </c>
      <c r="G155" s="5">
        <v>2.4305555555555552E-6</v>
      </c>
      <c r="H155" s="5">
        <v>6.9446759259259253E-3</v>
      </c>
      <c r="I155" s="5">
        <v>4.6686342592592587E-3</v>
      </c>
      <c r="J155" s="5">
        <v>2.3148148148148148E-6</v>
      </c>
      <c r="P155" s="1"/>
    </row>
    <row r="156" spans="1:16" x14ac:dyDescent="0.25">
      <c r="A156">
        <f ca="1">IF(_34445073613[[#This Row],[instance]]&lt;OFFSET(_34445073613[[#This Row],[instance]],-1,0), OFFSET(_34445073613[[#This Row],[model]],-1,0)+1, OFFSET(_34445073613[[#This Row],[model]],-1,0))</f>
        <v>1</v>
      </c>
      <c r="B156">
        <v>14</v>
      </c>
      <c r="C156" s="5">
        <v>1.7190972222222221E-3</v>
      </c>
      <c r="D156">
        <v>19.5</v>
      </c>
      <c r="E156">
        <v>9</v>
      </c>
      <c r="F156">
        <v>2</v>
      </c>
      <c r="G156" s="5">
        <v>2.4305555555555552E-6</v>
      </c>
      <c r="H156" s="5">
        <v>6.9446759259259253E-3</v>
      </c>
      <c r="I156" s="5">
        <v>4.6686342592592587E-3</v>
      </c>
      <c r="J156" s="5">
        <v>2.3148148148148148E-6</v>
      </c>
      <c r="P156" s="1"/>
    </row>
    <row r="157" spans="1:16" x14ac:dyDescent="0.25">
      <c r="A157">
        <f ca="1">IF(_34445073613[[#This Row],[instance]]&lt;OFFSET(_34445073613[[#This Row],[instance]],-1,0), OFFSET(_34445073613[[#This Row],[model]],-1,0)+1, OFFSET(_34445073613[[#This Row],[model]],-1,0))</f>
        <v>1</v>
      </c>
      <c r="B157">
        <v>14</v>
      </c>
      <c r="C157" s="5">
        <v>2.2709490740740741E-3</v>
      </c>
      <c r="D157">
        <v>20.25</v>
      </c>
      <c r="E157">
        <v>10</v>
      </c>
      <c r="F157">
        <v>2</v>
      </c>
      <c r="G157" s="5">
        <v>2.4305555555555552E-6</v>
      </c>
      <c r="H157" s="5">
        <v>6.9446759259259253E-3</v>
      </c>
      <c r="I157" s="5">
        <v>4.6686342592592587E-3</v>
      </c>
      <c r="J157" s="5">
        <v>2.3148148148148148E-6</v>
      </c>
      <c r="P157" s="1"/>
    </row>
    <row r="158" spans="1:16" x14ac:dyDescent="0.25">
      <c r="A158">
        <f ca="1">IF(_34445073613[[#This Row],[instance]]&lt;OFFSET(_34445073613[[#This Row],[instance]],-1,0), OFFSET(_34445073613[[#This Row],[model]],-1,0)+1, OFFSET(_34445073613[[#This Row],[model]],-1,0))</f>
        <v>1</v>
      </c>
      <c r="B158">
        <v>14</v>
      </c>
      <c r="C158" s="5">
        <v>2.2709490740740741E-3</v>
      </c>
      <c r="D158">
        <v>20.75</v>
      </c>
      <c r="E158">
        <v>11</v>
      </c>
      <c r="F158">
        <v>3</v>
      </c>
      <c r="G158" s="5">
        <v>2.4305555555555552E-6</v>
      </c>
      <c r="H158" s="5">
        <v>6.9446759259259253E-3</v>
      </c>
      <c r="I158" s="5">
        <v>4.6686342592592587E-3</v>
      </c>
      <c r="J158" s="5">
        <v>2.3148148148148148E-6</v>
      </c>
      <c r="P158" s="1"/>
    </row>
    <row r="159" spans="1:16" x14ac:dyDescent="0.25">
      <c r="A159">
        <f ca="1">IF(_34445073613[[#This Row],[instance]]&lt;OFFSET(_34445073613[[#This Row],[instance]],-1,0), OFFSET(_34445073613[[#This Row],[model]],-1,0)+1, OFFSET(_34445073613[[#This Row],[model]],-1,0))</f>
        <v>1</v>
      </c>
      <c r="B159">
        <v>14</v>
      </c>
      <c r="C159" s="5">
        <v>2.2781249999999998E-3</v>
      </c>
      <c r="D159">
        <v>21</v>
      </c>
      <c r="E159">
        <v>11</v>
      </c>
      <c r="F159">
        <v>3</v>
      </c>
      <c r="G159" s="5">
        <v>2.4305555555555552E-6</v>
      </c>
      <c r="H159" s="5">
        <v>6.9446759259259253E-3</v>
      </c>
      <c r="I159" s="5">
        <v>4.6686342592592587E-3</v>
      </c>
      <c r="J159" s="5">
        <v>2.3148148148148148E-6</v>
      </c>
      <c r="P159" s="1"/>
    </row>
    <row r="160" spans="1:16" x14ac:dyDescent="0.25">
      <c r="A160">
        <f ca="1">IF(_34445073613[[#This Row],[instance]]&lt;OFFSET(_34445073613[[#This Row],[instance]],-1,0), OFFSET(_34445073613[[#This Row],[model]],-1,0)+1, OFFSET(_34445073613[[#This Row],[model]],-1,0))</f>
        <v>1</v>
      </c>
      <c r="B160">
        <v>14</v>
      </c>
      <c r="C160" s="5">
        <v>2.2876157407407407E-3</v>
      </c>
      <c r="D160">
        <v>21.75</v>
      </c>
      <c r="E160">
        <v>12</v>
      </c>
      <c r="F160">
        <v>3</v>
      </c>
      <c r="G160" s="5">
        <v>2.4305555555555552E-6</v>
      </c>
      <c r="H160" s="5">
        <v>6.9446759259259253E-3</v>
      </c>
      <c r="I160" s="5">
        <v>4.6686342592592587E-3</v>
      </c>
      <c r="J160" s="5">
        <v>2.3148148148148148E-6</v>
      </c>
      <c r="P160" s="1"/>
    </row>
    <row r="161" spans="1:16" x14ac:dyDescent="0.25">
      <c r="A161">
        <f ca="1">IF(_34445073613[[#This Row],[instance]]&lt;OFFSET(_34445073613[[#This Row],[instance]],-1,0), OFFSET(_34445073613[[#This Row],[model]],-1,0)+1, OFFSET(_34445073613[[#This Row],[model]],-1,0))</f>
        <v>1</v>
      </c>
      <c r="B161">
        <v>15</v>
      </c>
      <c r="C161" s="5">
        <v>6.1342592592592594E-6</v>
      </c>
      <c r="D161">
        <v>0</v>
      </c>
      <c r="E161">
        <v>0</v>
      </c>
      <c r="F161">
        <v>0</v>
      </c>
      <c r="G161" s="5">
        <v>2.5462962962962961E-6</v>
      </c>
      <c r="H161" s="5">
        <v>6.9446759259259253E-3</v>
      </c>
      <c r="I161" s="5">
        <v>4.6686342592592587E-3</v>
      </c>
      <c r="J161" s="5">
        <v>2.3148148148148148E-6</v>
      </c>
      <c r="P161" s="1"/>
    </row>
    <row r="162" spans="1:16" x14ac:dyDescent="0.25">
      <c r="A162">
        <f ca="1">IF(_34445073613[[#This Row],[instance]]&lt;OFFSET(_34445073613[[#This Row],[instance]],-1,0), OFFSET(_34445073613[[#This Row],[model]],-1,0)+1, OFFSET(_34445073613[[#This Row],[model]],-1,0))</f>
        <v>1</v>
      </c>
      <c r="B162">
        <v>15</v>
      </c>
      <c r="C162" s="5">
        <v>6.1342592592592594E-6</v>
      </c>
      <c r="D162">
        <v>3</v>
      </c>
      <c r="E162">
        <v>1</v>
      </c>
      <c r="F162">
        <v>1</v>
      </c>
      <c r="G162" s="5">
        <v>2.5462962962962961E-6</v>
      </c>
      <c r="H162" s="5">
        <v>6.9446759259259253E-3</v>
      </c>
      <c r="I162" s="5">
        <v>4.6686342592592587E-3</v>
      </c>
      <c r="J162" s="5">
        <v>2.3148148148148148E-6</v>
      </c>
      <c r="P162" s="1"/>
    </row>
    <row r="163" spans="1:16" x14ac:dyDescent="0.25">
      <c r="A163">
        <f ca="1">IF(_34445073613[[#This Row],[instance]]&lt;OFFSET(_34445073613[[#This Row],[instance]],-1,0), OFFSET(_34445073613[[#This Row],[model]],-1,0)+1, OFFSET(_34445073613[[#This Row],[model]],-1,0))</f>
        <v>1</v>
      </c>
      <c r="B163">
        <v>15</v>
      </c>
      <c r="C163" s="5">
        <v>6.1342592592592594E-6</v>
      </c>
      <c r="D163">
        <v>6</v>
      </c>
      <c r="E163">
        <v>2</v>
      </c>
      <c r="F163">
        <v>2</v>
      </c>
      <c r="G163" s="5">
        <v>2.5462962962962961E-6</v>
      </c>
      <c r="H163" s="5">
        <v>6.9446759259259253E-3</v>
      </c>
      <c r="I163" s="5">
        <v>4.6686342592592587E-3</v>
      </c>
      <c r="J163" s="5">
        <v>2.3148148148148148E-6</v>
      </c>
      <c r="P163" s="1"/>
    </row>
    <row r="164" spans="1:16" x14ac:dyDescent="0.25">
      <c r="A164">
        <f ca="1">IF(_34445073613[[#This Row],[instance]]&lt;OFFSET(_34445073613[[#This Row],[instance]],-1,0), OFFSET(_34445073613[[#This Row],[model]],-1,0)+1, OFFSET(_34445073613[[#This Row],[model]],-1,0))</f>
        <v>1</v>
      </c>
      <c r="B164">
        <v>15</v>
      </c>
      <c r="C164" s="5">
        <v>6.2499999999999995E-6</v>
      </c>
      <c r="D164">
        <v>9</v>
      </c>
      <c r="E164">
        <v>3</v>
      </c>
      <c r="F164">
        <v>1</v>
      </c>
      <c r="G164" s="5">
        <v>2.5462962962962961E-6</v>
      </c>
      <c r="H164" s="5">
        <v>6.9446759259259253E-3</v>
      </c>
      <c r="I164" s="5">
        <v>4.6686342592592587E-3</v>
      </c>
      <c r="J164" s="5">
        <v>2.3148148148148148E-6</v>
      </c>
      <c r="P164" s="1"/>
    </row>
    <row r="165" spans="1:16" x14ac:dyDescent="0.25">
      <c r="A165">
        <f ca="1">IF(_34445073613[[#This Row],[instance]]&lt;OFFSET(_34445073613[[#This Row],[instance]],-1,0), OFFSET(_34445073613[[#This Row],[model]],-1,0)+1, OFFSET(_34445073613[[#This Row],[model]],-1,0))</f>
        <v>1</v>
      </c>
      <c r="B165">
        <v>15</v>
      </c>
      <c r="C165" s="5">
        <v>6.2499999999999995E-6</v>
      </c>
      <c r="D165">
        <v>12</v>
      </c>
      <c r="E165">
        <v>4</v>
      </c>
      <c r="F165">
        <v>1</v>
      </c>
      <c r="G165" s="5">
        <v>2.5462962962962961E-6</v>
      </c>
      <c r="H165" s="5">
        <v>6.9446759259259253E-3</v>
      </c>
      <c r="I165" s="5">
        <v>4.6686342592592587E-3</v>
      </c>
      <c r="J165" s="5">
        <v>2.3148148148148148E-6</v>
      </c>
      <c r="P165" s="1"/>
    </row>
    <row r="166" spans="1:16" x14ac:dyDescent="0.25">
      <c r="A166">
        <f ca="1">IF(_34445073613[[#This Row],[instance]]&lt;OFFSET(_34445073613[[#This Row],[instance]],-1,0), OFFSET(_34445073613[[#This Row],[model]],-1,0)+1, OFFSET(_34445073613[[#This Row],[model]],-1,0))</f>
        <v>1</v>
      </c>
      <c r="B166">
        <v>15</v>
      </c>
      <c r="C166" s="5">
        <v>6.4814814814814812E-6</v>
      </c>
      <c r="D166">
        <v>15</v>
      </c>
      <c r="E166">
        <v>5</v>
      </c>
      <c r="F166">
        <v>2</v>
      </c>
      <c r="G166" s="5">
        <v>2.5462962962962961E-6</v>
      </c>
      <c r="H166" s="5">
        <v>6.9446759259259253E-3</v>
      </c>
      <c r="I166" s="5">
        <v>4.6686342592592587E-3</v>
      </c>
      <c r="J166" s="5">
        <v>2.3148148148148148E-6</v>
      </c>
      <c r="P166" s="1"/>
    </row>
    <row r="167" spans="1:16" x14ac:dyDescent="0.25">
      <c r="A167">
        <f ca="1">IF(_34445073613[[#This Row],[instance]]&lt;OFFSET(_34445073613[[#This Row],[instance]],-1,0), OFFSET(_34445073613[[#This Row],[model]],-1,0)+1, OFFSET(_34445073613[[#This Row],[model]],-1,0))</f>
        <v>1</v>
      </c>
      <c r="B167">
        <v>15</v>
      </c>
      <c r="C167" s="5">
        <v>6.4814814814814812E-6</v>
      </c>
      <c r="D167">
        <v>16.5</v>
      </c>
      <c r="E167">
        <v>6</v>
      </c>
      <c r="F167">
        <v>4</v>
      </c>
      <c r="G167" s="5">
        <v>2.5462962962962961E-6</v>
      </c>
      <c r="H167" s="5">
        <v>6.9446759259259253E-3</v>
      </c>
      <c r="I167" s="5">
        <v>4.6686342592592587E-3</v>
      </c>
      <c r="J167" s="5">
        <v>2.3148148148148148E-6</v>
      </c>
      <c r="P167" s="1"/>
    </row>
    <row r="168" spans="1:16" x14ac:dyDescent="0.25">
      <c r="A168">
        <f ca="1">IF(_34445073613[[#This Row],[instance]]&lt;OFFSET(_34445073613[[#This Row],[instance]],-1,0), OFFSET(_34445073613[[#This Row],[model]],-1,0)+1, OFFSET(_34445073613[[#This Row],[model]],-1,0))</f>
        <v>1</v>
      </c>
      <c r="B168">
        <v>15</v>
      </c>
      <c r="C168" s="5">
        <v>1.099537037037037E-5</v>
      </c>
      <c r="D168">
        <v>16.875</v>
      </c>
      <c r="E168">
        <v>7</v>
      </c>
      <c r="F168">
        <v>2</v>
      </c>
      <c r="G168" s="5">
        <v>2.5462962962962961E-6</v>
      </c>
      <c r="H168" s="5">
        <v>6.9446759259259253E-3</v>
      </c>
      <c r="I168" s="5">
        <v>4.6686342592592587E-3</v>
      </c>
      <c r="J168" s="5">
        <v>2.3148148148148148E-6</v>
      </c>
      <c r="P168" s="1"/>
    </row>
    <row r="169" spans="1:16" x14ac:dyDescent="0.25">
      <c r="A169">
        <f ca="1">IF(_34445073613[[#This Row],[instance]]&lt;OFFSET(_34445073613[[#This Row],[instance]],-1,0), OFFSET(_34445073613[[#This Row],[model]],-1,0)+1, OFFSET(_34445073613[[#This Row],[model]],-1,0))</f>
        <v>1</v>
      </c>
      <c r="B169">
        <v>15</v>
      </c>
      <c r="C169" s="5">
        <v>1.4273148148148149E-3</v>
      </c>
      <c r="D169">
        <v>18</v>
      </c>
      <c r="E169">
        <v>7</v>
      </c>
      <c r="F169">
        <v>2</v>
      </c>
      <c r="G169" s="5">
        <v>2.5462962962962961E-6</v>
      </c>
      <c r="H169" s="5">
        <v>6.9446759259259253E-3</v>
      </c>
      <c r="I169" s="5">
        <v>4.6686342592592587E-3</v>
      </c>
      <c r="J169" s="5">
        <v>2.3148148148148148E-6</v>
      </c>
      <c r="P169" s="1"/>
    </row>
    <row r="170" spans="1:16" x14ac:dyDescent="0.25">
      <c r="A170">
        <f ca="1">IF(_34445073613[[#This Row],[instance]]&lt;OFFSET(_34445073613[[#This Row],[instance]],-1,0), OFFSET(_34445073613[[#This Row],[model]],-1,0)+1, OFFSET(_34445073613[[#This Row],[model]],-1,0))</f>
        <v>1</v>
      </c>
      <c r="B170">
        <v>15</v>
      </c>
      <c r="C170" s="5">
        <v>1.4273148148148149E-3</v>
      </c>
      <c r="D170">
        <v>19.5</v>
      </c>
      <c r="E170">
        <v>8</v>
      </c>
      <c r="F170">
        <v>3</v>
      </c>
      <c r="G170" s="5">
        <v>2.5462962962962961E-6</v>
      </c>
      <c r="H170" s="5">
        <v>6.9446759259259253E-3</v>
      </c>
      <c r="I170" s="5">
        <v>4.6686342592592587E-3</v>
      </c>
      <c r="J170" s="5">
        <v>2.3148148148148148E-6</v>
      </c>
      <c r="P170" s="1"/>
    </row>
    <row r="171" spans="1:16" x14ac:dyDescent="0.25">
      <c r="A171">
        <f ca="1">IF(_34445073613[[#This Row],[instance]]&lt;OFFSET(_34445073613[[#This Row],[instance]],-1,0), OFFSET(_34445073613[[#This Row],[model]],-1,0)+1, OFFSET(_34445073613[[#This Row],[model]],-1,0))</f>
        <v>1</v>
      </c>
      <c r="B171">
        <v>15</v>
      </c>
      <c r="C171" s="5">
        <v>1.4662037037037037E-3</v>
      </c>
      <c r="D171">
        <v>19.5</v>
      </c>
      <c r="E171">
        <v>8</v>
      </c>
      <c r="F171">
        <v>2</v>
      </c>
      <c r="G171" s="5">
        <v>2.5462962962962961E-6</v>
      </c>
      <c r="H171" s="5">
        <v>6.9446759259259253E-3</v>
      </c>
      <c r="I171" s="5">
        <v>4.6686342592592587E-3</v>
      </c>
      <c r="J171" s="5">
        <v>2.3148148148148148E-6</v>
      </c>
      <c r="P171" s="1"/>
    </row>
    <row r="172" spans="1:16" x14ac:dyDescent="0.25">
      <c r="A172">
        <f ca="1">IF(_34445073613[[#This Row],[instance]]&lt;OFFSET(_34445073613[[#This Row],[instance]],-1,0), OFFSET(_34445073613[[#This Row],[model]],-1,0)+1, OFFSET(_34445073613[[#This Row],[model]],-1,0))</f>
        <v>1</v>
      </c>
      <c r="B172">
        <v>15</v>
      </c>
      <c r="C172" s="5">
        <v>1.4908564814814815E-3</v>
      </c>
      <c r="D172">
        <v>19.875</v>
      </c>
      <c r="E172">
        <v>9</v>
      </c>
      <c r="F172">
        <v>3</v>
      </c>
      <c r="G172" s="5">
        <v>2.5462962962962961E-6</v>
      </c>
      <c r="H172" s="5">
        <v>6.9446759259259253E-3</v>
      </c>
      <c r="I172" s="5">
        <v>4.6686342592592587E-3</v>
      </c>
      <c r="J172" s="5">
        <v>2.3148148148148148E-6</v>
      </c>
      <c r="P172" s="1"/>
    </row>
    <row r="173" spans="1:16" x14ac:dyDescent="0.25">
      <c r="A173">
        <f ca="1">IF(_34445073613[[#This Row],[instance]]&lt;OFFSET(_34445073613[[#This Row],[instance]],-1,0), OFFSET(_34445073613[[#This Row],[model]],-1,0)+1, OFFSET(_34445073613[[#This Row],[model]],-1,0))</f>
        <v>1</v>
      </c>
      <c r="B173">
        <v>15</v>
      </c>
      <c r="C173" s="5">
        <v>1.4931712962962963E-3</v>
      </c>
      <c r="D173">
        <v>19.875</v>
      </c>
      <c r="E173">
        <v>9</v>
      </c>
      <c r="F173">
        <v>2</v>
      </c>
      <c r="G173" s="5">
        <v>2.5462962962962961E-6</v>
      </c>
      <c r="H173" s="5">
        <v>6.9446759259259253E-3</v>
      </c>
      <c r="I173" s="5">
        <v>4.6686342592592587E-3</v>
      </c>
      <c r="J173" s="5">
        <v>2.3148148148148148E-6</v>
      </c>
      <c r="P173" s="1"/>
    </row>
    <row r="174" spans="1:16" x14ac:dyDescent="0.25">
      <c r="A174">
        <f ca="1">IF(_34445073613[[#This Row],[instance]]&lt;OFFSET(_34445073613[[#This Row],[instance]],-1,0), OFFSET(_34445073613[[#This Row],[model]],-1,0)+1, OFFSET(_34445073613[[#This Row],[model]],-1,0))</f>
        <v>1</v>
      </c>
      <c r="B174">
        <v>15</v>
      </c>
      <c r="C174" s="5">
        <v>1.4931712962962963E-3</v>
      </c>
      <c r="D174">
        <v>21</v>
      </c>
      <c r="E174">
        <v>9</v>
      </c>
      <c r="F174">
        <v>4</v>
      </c>
      <c r="G174" s="5">
        <v>2.5462962962962961E-6</v>
      </c>
      <c r="H174" s="5">
        <v>6.9446759259259253E-3</v>
      </c>
      <c r="I174" s="5">
        <v>4.6686342592592587E-3</v>
      </c>
      <c r="J174" s="5">
        <v>2.3148148148148148E-6</v>
      </c>
      <c r="P174" s="1"/>
    </row>
    <row r="175" spans="1:16" x14ac:dyDescent="0.25">
      <c r="A175">
        <f ca="1">IF(_34445073613[[#This Row],[instance]]&lt;OFFSET(_34445073613[[#This Row],[instance]],-1,0), OFFSET(_34445073613[[#This Row],[model]],-1,0)+1, OFFSET(_34445073613[[#This Row],[model]],-1,0))</f>
        <v>1</v>
      </c>
      <c r="B175">
        <v>15</v>
      </c>
      <c r="C175" s="5">
        <v>1.5336805555555555E-3</v>
      </c>
      <c r="D175">
        <v>21.375</v>
      </c>
      <c r="E175">
        <v>10</v>
      </c>
      <c r="F175">
        <v>3</v>
      </c>
      <c r="G175" s="5">
        <v>2.5462962962962961E-6</v>
      </c>
      <c r="H175" s="5">
        <v>6.9446759259259253E-3</v>
      </c>
      <c r="I175" s="5">
        <v>4.6686342592592587E-3</v>
      </c>
      <c r="J175" s="5">
        <v>2.3148148148148148E-6</v>
      </c>
      <c r="P175" s="1"/>
    </row>
    <row r="176" spans="1:16" x14ac:dyDescent="0.25">
      <c r="A176">
        <f ca="1">IF(_34445073613[[#This Row],[instance]]&lt;OFFSET(_34445073613[[#This Row],[instance]],-1,0), OFFSET(_34445073613[[#This Row],[model]],-1,0)+1, OFFSET(_34445073613[[#This Row],[model]],-1,0))</f>
        <v>1</v>
      </c>
      <c r="B176">
        <v>15</v>
      </c>
      <c r="C176" s="5">
        <v>1.5340277777777778E-3</v>
      </c>
      <c r="D176">
        <v>21.75</v>
      </c>
      <c r="E176">
        <v>11</v>
      </c>
      <c r="F176">
        <v>3</v>
      </c>
      <c r="G176" s="5">
        <v>2.5462962962962961E-6</v>
      </c>
      <c r="H176" s="5">
        <v>6.9446759259259253E-3</v>
      </c>
      <c r="I176" s="5">
        <v>4.6686342592592587E-3</v>
      </c>
      <c r="J176" s="5">
        <v>2.3148148148148148E-6</v>
      </c>
      <c r="P176" s="1"/>
    </row>
    <row r="177" spans="1:16" x14ac:dyDescent="0.25">
      <c r="A177">
        <f ca="1">IF(_34445073613[[#This Row],[instance]]&lt;OFFSET(_34445073613[[#This Row],[instance]],-1,0), OFFSET(_34445073613[[#This Row],[model]],-1,0)+1, OFFSET(_34445073613[[#This Row],[model]],-1,0))</f>
        <v>2</v>
      </c>
      <c r="B177">
        <v>1</v>
      </c>
      <c r="C177" s="5">
        <v>5.6712962962962959E-6</v>
      </c>
      <c r="D177">
        <v>0</v>
      </c>
      <c r="E177">
        <v>0</v>
      </c>
      <c r="F177">
        <v>0</v>
      </c>
      <c r="G177" s="5">
        <v>2.4305555555555552E-6</v>
      </c>
      <c r="H177" s="5">
        <v>6.9446759259259253E-3</v>
      </c>
      <c r="I177" s="5">
        <v>4.5112268518518513E-3</v>
      </c>
      <c r="J177" s="5">
        <v>2.3148148148148148E-6</v>
      </c>
      <c r="P177" s="1"/>
    </row>
    <row r="178" spans="1:16" x14ac:dyDescent="0.25">
      <c r="A178">
        <f ca="1">IF(_34445073613[[#This Row],[instance]]&lt;OFFSET(_34445073613[[#This Row],[instance]],-1,0), OFFSET(_34445073613[[#This Row],[model]],-1,0)+1, OFFSET(_34445073613[[#This Row],[model]],-1,0))</f>
        <v>2</v>
      </c>
      <c r="B178">
        <v>1</v>
      </c>
      <c r="C178" s="5">
        <v>5.6712962962962959E-6</v>
      </c>
      <c r="D178">
        <v>3</v>
      </c>
      <c r="E178">
        <v>1</v>
      </c>
      <c r="F178">
        <v>1</v>
      </c>
      <c r="G178" s="5">
        <v>2.4305555555555552E-6</v>
      </c>
      <c r="H178" s="5">
        <v>6.9446759259259253E-3</v>
      </c>
      <c r="I178" s="5">
        <v>4.5112268518518513E-3</v>
      </c>
      <c r="J178" s="5">
        <v>2.3148148148148148E-6</v>
      </c>
      <c r="P178" s="1"/>
    </row>
    <row r="179" spans="1:16" x14ac:dyDescent="0.25">
      <c r="A179">
        <f ca="1">IF(_34445073613[[#This Row],[instance]]&lt;OFFSET(_34445073613[[#This Row],[instance]],-1,0), OFFSET(_34445073613[[#This Row],[model]],-1,0)+1, OFFSET(_34445073613[[#This Row],[model]],-1,0))</f>
        <v>2</v>
      </c>
      <c r="B179">
        <v>1</v>
      </c>
      <c r="C179" s="5">
        <v>5.6712962962962959E-6</v>
      </c>
      <c r="D179">
        <v>6</v>
      </c>
      <c r="E179">
        <v>2</v>
      </c>
      <c r="F179">
        <v>2</v>
      </c>
      <c r="G179" s="5">
        <v>2.4305555555555552E-6</v>
      </c>
      <c r="H179" s="5">
        <v>6.9446759259259253E-3</v>
      </c>
      <c r="I179" s="5">
        <v>4.5112268518518513E-3</v>
      </c>
      <c r="J179" s="5">
        <v>2.3148148148148148E-6</v>
      </c>
      <c r="P179" s="1"/>
    </row>
    <row r="180" spans="1:16" x14ac:dyDescent="0.25">
      <c r="A180">
        <f ca="1">IF(_34445073613[[#This Row],[instance]]&lt;OFFSET(_34445073613[[#This Row],[instance]],-1,0), OFFSET(_34445073613[[#This Row],[model]],-1,0)+1, OFFSET(_34445073613[[#This Row],[model]],-1,0))</f>
        <v>2</v>
      </c>
      <c r="B180">
        <v>2</v>
      </c>
      <c r="C180" s="5">
        <v>5.7870370370370367E-6</v>
      </c>
      <c r="D180">
        <v>0</v>
      </c>
      <c r="E180">
        <v>0</v>
      </c>
      <c r="F180">
        <v>0</v>
      </c>
      <c r="G180" s="5">
        <v>2.4305555555555552E-6</v>
      </c>
      <c r="H180" s="5">
        <v>6.9446759259259253E-3</v>
      </c>
      <c r="I180" s="5">
        <v>4.5112268518518513E-3</v>
      </c>
      <c r="J180" s="5">
        <v>2.3148148148148148E-6</v>
      </c>
      <c r="P180" s="1"/>
    </row>
    <row r="181" spans="1:16" x14ac:dyDescent="0.25">
      <c r="A181">
        <f ca="1">IF(_34445073613[[#This Row],[instance]]&lt;OFFSET(_34445073613[[#This Row],[instance]],-1,0), OFFSET(_34445073613[[#This Row],[model]],-1,0)+1, OFFSET(_34445073613[[#This Row],[model]],-1,0))</f>
        <v>2</v>
      </c>
      <c r="B181">
        <v>2</v>
      </c>
      <c r="C181" s="5">
        <v>5.7870370370370367E-6</v>
      </c>
      <c r="D181">
        <v>9</v>
      </c>
      <c r="E181">
        <v>3</v>
      </c>
      <c r="F181">
        <v>1</v>
      </c>
      <c r="G181" s="5">
        <v>2.4305555555555552E-6</v>
      </c>
      <c r="H181" s="5">
        <v>6.9446759259259253E-3</v>
      </c>
      <c r="I181" s="5">
        <v>4.5112268518518513E-3</v>
      </c>
      <c r="J181" s="5">
        <v>2.3148148148148148E-6</v>
      </c>
      <c r="P181" s="1"/>
    </row>
    <row r="182" spans="1:16" x14ac:dyDescent="0.25">
      <c r="A182">
        <f ca="1">IF(_34445073613[[#This Row],[instance]]&lt;OFFSET(_34445073613[[#This Row],[instance]],-1,0), OFFSET(_34445073613[[#This Row],[model]],-1,0)+1, OFFSET(_34445073613[[#This Row],[model]],-1,0))</f>
        <v>2</v>
      </c>
      <c r="B182">
        <v>2</v>
      </c>
      <c r="C182" s="5">
        <v>5.7870370370370367E-6</v>
      </c>
      <c r="D182">
        <v>12</v>
      </c>
      <c r="E182">
        <v>4</v>
      </c>
      <c r="F182">
        <v>1</v>
      </c>
      <c r="G182" s="5">
        <v>2.4305555555555552E-6</v>
      </c>
      <c r="H182" s="5">
        <v>6.9446759259259253E-3</v>
      </c>
      <c r="I182" s="5">
        <v>4.5112268518518513E-3</v>
      </c>
      <c r="J182" s="5">
        <v>2.3148148148148148E-6</v>
      </c>
      <c r="P182" s="1"/>
    </row>
    <row r="183" spans="1:16" x14ac:dyDescent="0.25">
      <c r="A183">
        <f ca="1">IF(_34445073613[[#This Row],[instance]]&lt;OFFSET(_34445073613[[#This Row],[instance]],-1,0), OFFSET(_34445073613[[#This Row],[model]],-1,0)+1, OFFSET(_34445073613[[#This Row],[model]],-1,0))</f>
        <v>2</v>
      </c>
      <c r="B183">
        <v>2</v>
      </c>
      <c r="C183" s="5">
        <v>2.0578703703703704E-4</v>
      </c>
      <c r="D183">
        <v>16</v>
      </c>
      <c r="E183">
        <v>6</v>
      </c>
      <c r="F183">
        <v>2</v>
      </c>
      <c r="G183" s="5">
        <v>2.4305555555555552E-6</v>
      </c>
      <c r="H183" s="5">
        <v>6.9446759259259253E-3</v>
      </c>
      <c r="I183" s="5">
        <v>4.5112268518518513E-3</v>
      </c>
      <c r="J183" s="5">
        <v>2.3148148148148148E-6</v>
      </c>
      <c r="P183" s="1"/>
    </row>
    <row r="184" spans="1:16" x14ac:dyDescent="0.25">
      <c r="A184">
        <f ca="1">IF(_34445073613[[#This Row],[instance]]&lt;OFFSET(_34445073613[[#This Row],[instance]],-1,0), OFFSET(_34445073613[[#This Row],[model]],-1,0)+1, OFFSET(_34445073613[[#This Row],[model]],-1,0))</f>
        <v>2</v>
      </c>
      <c r="B184">
        <v>2</v>
      </c>
      <c r="C184" s="5">
        <v>2.0613425925925926E-4</v>
      </c>
      <c r="D184">
        <v>16.5</v>
      </c>
      <c r="E184">
        <v>6</v>
      </c>
      <c r="F184">
        <v>2</v>
      </c>
      <c r="G184" s="5">
        <v>2.4305555555555552E-6</v>
      </c>
      <c r="H184" s="5">
        <v>6.9446759259259253E-3</v>
      </c>
      <c r="I184" s="5">
        <v>4.5112268518518513E-3</v>
      </c>
      <c r="J184" s="5">
        <v>2.3148148148148148E-6</v>
      </c>
      <c r="P184" s="1"/>
    </row>
    <row r="185" spans="1:16" x14ac:dyDescent="0.25">
      <c r="A185">
        <f ca="1">IF(_34445073613[[#This Row],[instance]]&lt;OFFSET(_34445073613[[#This Row],[instance]],-1,0), OFFSET(_34445073613[[#This Row],[model]],-1,0)+1, OFFSET(_34445073613[[#This Row],[model]],-1,0))</f>
        <v>2</v>
      </c>
      <c r="B185">
        <v>2</v>
      </c>
      <c r="C185" s="5">
        <v>2.2256944444444443E-4</v>
      </c>
      <c r="D185">
        <v>17.5</v>
      </c>
      <c r="E185">
        <v>7</v>
      </c>
      <c r="F185">
        <v>2</v>
      </c>
      <c r="G185" s="5">
        <v>2.4305555555555552E-6</v>
      </c>
      <c r="H185" s="5">
        <v>6.9446759259259253E-3</v>
      </c>
      <c r="I185" s="5">
        <v>4.5112268518518513E-3</v>
      </c>
      <c r="J185" s="5">
        <v>2.3148148148148148E-6</v>
      </c>
      <c r="P185" s="1"/>
    </row>
    <row r="186" spans="1:16" x14ac:dyDescent="0.25">
      <c r="A186">
        <f ca="1">IF(_34445073613[[#This Row],[instance]]&lt;OFFSET(_34445073613[[#This Row],[instance]],-1,0), OFFSET(_34445073613[[#This Row],[model]],-1,0)+1, OFFSET(_34445073613[[#This Row],[model]],-1,0))</f>
        <v>2</v>
      </c>
      <c r="B186">
        <v>2</v>
      </c>
      <c r="C186" s="5">
        <v>2.2650462962962961E-4</v>
      </c>
      <c r="D186">
        <v>17.875</v>
      </c>
      <c r="E186">
        <v>8</v>
      </c>
      <c r="F186">
        <v>2</v>
      </c>
      <c r="G186" s="5">
        <v>2.4305555555555552E-6</v>
      </c>
      <c r="H186" s="5">
        <v>6.9446759259259253E-3</v>
      </c>
      <c r="I186" s="5">
        <v>4.5112268518518513E-3</v>
      </c>
      <c r="J186" s="5">
        <v>2.3148148148148148E-6</v>
      </c>
      <c r="P186" s="1"/>
    </row>
    <row r="187" spans="1:16" x14ac:dyDescent="0.25">
      <c r="A187">
        <f ca="1">IF(_34445073613[[#This Row],[instance]]&lt;OFFSET(_34445073613[[#This Row],[instance]],-1,0), OFFSET(_34445073613[[#This Row],[model]],-1,0)+1, OFFSET(_34445073613[[#This Row],[model]],-1,0))</f>
        <v>2</v>
      </c>
      <c r="B187">
        <v>2</v>
      </c>
      <c r="C187" s="5">
        <v>2.292824074074074E-4</v>
      </c>
      <c r="D187">
        <v>18.25</v>
      </c>
      <c r="E187">
        <v>9</v>
      </c>
      <c r="F187">
        <v>2</v>
      </c>
      <c r="G187" s="5">
        <v>2.4305555555555552E-6</v>
      </c>
      <c r="H187" s="5">
        <v>6.9446759259259253E-3</v>
      </c>
      <c r="I187" s="5">
        <v>4.5112268518518513E-3</v>
      </c>
      <c r="J187" s="5">
        <v>2.3148148148148148E-6</v>
      </c>
      <c r="P187" s="1"/>
    </row>
    <row r="188" spans="1:16" x14ac:dyDescent="0.25">
      <c r="A188">
        <f ca="1">IF(_34445073613[[#This Row],[instance]]&lt;OFFSET(_34445073613[[#This Row],[instance]],-1,0), OFFSET(_34445073613[[#This Row],[model]],-1,0)+1, OFFSET(_34445073613[[#This Row],[model]],-1,0))</f>
        <v>2</v>
      </c>
      <c r="B188">
        <v>2</v>
      </c>
      <c r="C188" s="5">
        <v>6.180555555555555E-4</v>
      </c>
      <c r="D188">
        <v>18.625</v>
      </c>
      <c r="E188">
        <v>10</v>
      </c>
      <c r="F188">
        <v>2</v>
      </c>
      <c r="G188" s="5">
        <v>2.4305555555555552E-6</v>
      </c>
      <c r="H188" s="5">
        <v>6.9446759259259253E-3</v>
      </c>
      <c r="I188" s="5">
        <v>4.5112268518518513E-3</v>
      </c>
      <c r="J188" s="5">
        <v>2.3148148148148148E-6</v>
      </c>
      <c r="P188" s="1"/>
    </row>
    <row r="189" spans="1:16" x14ac:dyDescent="0.25">
      <c r="A189">
        <f ca="1">IF(_34445073613[[#This Row],[instance]]&lt;OFFSET(_34445073613[[#This Row],[instance]],-1,0), OFFSET(_34445073613[[#This Row],[model]],-1,0)+1, OFFSET(_34445073613[[#This Row],[model]],-1,0))</f>
        <v>2</v>
      </c>
      <c r="B189">
        <v>3</v>
      </c>
      <c r="C189" s="5">
        <v>5.6712962962962959E-6</v>
      </c>
      <c r="D189">
        <v>0</v>
      </c>
      <c r="E189">
        <v>0</v>
      </c>
      <c r="F189">
        <v>0</v>
      </c>
      <c r="G189" s="5">
        <v>2.4305555555555552E-6</v>
      </c>
      <c r="H189" s="5">
        <v>5.5729166666666666E-4</v>
      </c>
      <c r="I189" s="5">
        <v>4.5112268518518513E-3</v>
      </c>
      <c r="J189" s="5">
        <v>2.3148148148148148E-6</v>
      </c>
      <c r="P189" s="1"/>
    </row>
    <row r="190" spans="1:16" x14ac:dyDescent="0.25">
      <c r="A190">
        <f ca="1">IF(_34445073613[[#This Row],[instance]]&lt;OFFSET(_34445073613[[#This Row],[instance]],-1,0), OFFSET(_34445073613[[#This Row],[model]],-1,0)+1, OFFSET(_34445073613[[#This Row],[model]],-1,0))</f>
        <v>2</v>
      </c>
      <c r="B190">
        <v>3</v>
      </c>
      <c r="C190" s="5">
        <v>5.6712962962962959E-6</v>
      </c>
      <c r="D190">
        <v>1.5</v>
      </c>
      <c r="E190">
        <v>1</v>
      </c>
      <c r="F190">
        <v>1</v>
      </c>
      <c r="G190" s="5">
        <v>2.4305555555555552E-6</v>
      </c>
      <c r="H190" s="5">
        <v>5.5729166666666666E-4</v>
      </c>
      <c r="I190" s="5">
        <v>4.5112268518518513E-3</v>
      </c>
      <c r="J190" s="5">
        <v>2.3148148148148148E-6</v>
      </c>
      <c r="P190" s="1"/>
    </row>
    <row r="191" spans="1:16" x14ac:dyDescent="0.25">
      <c r="A191">
        <f ca="1">IF(_34445073613[[#This Row],[instance]]&lt;OFFSET(_34445073613[[#This Row],[instance]],-1,0), OFFSET(_34445073613[[#This Row],[model]],-1,0)+1, OFFSET(_34445073613[[#This Row],[model]],-1,0))</f>
        <v>2</v>
      </c>
      <c r="B191">
        <v>3</v>
      </c>
      <c r="C191" s="5">
        <v>5.6712962962962959E-6</v>
      </c>
      <c r="D191">
        <v>2.5</v>
      </c>
      <c r="E191">
        <v>2</v>
      </c>
      <c r="F191">
        <v>1</v>
      </c>
      <c r="G191" s="5">
        <v>2.4305555555555552E-6</v>
      </c>
      <c r="H191" s="5">
        <v>5.5729166666666666E-4</v>
      </c>
      <c r="I191" s="5">
        <v>4.5112268518518513E-3</v>
      </c>
      <c r="J191" s="5">
        <v>2.3148148148148148E-6</v>
      </c>
      <c r="P191" s="1"/>
    </row>
    <row r="192" spans="1:16" x14ac:dyDescent="0.25">
      <c r="A192">
        <f ca="1">IF(_34445073613[[#This Row],[instance]]&lt;OFFSET(_34445073613[[#This Row],[instance]],-1,0), OFFSET(_34445073613[[#This Row],[model]],-1,0)+1, OFFSET(_34445073613[[#This Row],[model]],-1,0))</f>
        <v>2</v>
      </c>
      <c r="B192">
        <v>3</v>
      </c>
      <c r="C192" s="5">
        <v>5.7870370370370367E-6</v>
      </c>
      <c r="D192">
        <v>3.5</v>
      </c>
      <c r="E192">
        <v>3</v>
      </c>
      <c r="F192">
        <v>1</v>
      </c>
      <c r="G192" s="5">
        <v>2.4305555555555552E-6</v>
      </c>
      <c r="H192" s="5">
        <v>5.5729166666666666E-4</v>
      </c>
      <c r="I192" s="5">
        <v>4.5112268518518513E-3</v>
      </c>
      <c r="J192" s="5">
        <v>2.3148148148148148E-6</v>
      </c>
      <c r="P192" s="1"/>
    </row>
    <row r="193" spans="1:16" x14ac:dyDescent="0.25">
      <c r="A193">
        <f ca="1">IF(_34445073613[[#This Row],[instance]]&lt;OFFSET(_34445073613[[#This Row],[instance]],-1,0), OFFSET(_34445073613[[#This Row],[model]],-1,0)+1, OFFSET(_34445073613[[#This Row],[model]],-1,0))</f>
        <v>2</v>
      </c>
      <c r="B193">
        <v>3</v>
      </c>
      <c r="C193" s="5">
        <v>5.7870370370370367E-6</v>
      </c>
      <c r="D193">
        <v>4.5</v>
      </c>
      <c r="E193">
        <v>4</v>
      </c>
      <c r="F193">
        <v>1</v>
      </c>
      <c r="G193" s="5">
        <v>2.4305555555555552E-6</v>
      </c>
      <c r="H193" s="5">
        <v>5.5729166666666666E-4</v>
      </c>
      <c r="I193" s="5">
        <v>4.5112268518518513E-3</v>
      </c>
      <c r="J193" s="5">
        <v>2.3148148148148148E-6</v>
      </c>
      <c r="P193" s="1"/>
    </row>
    <row r="194" spans="1:16" x14ac:dyDescent="0.25">
      <c r="A194">
        <f ca="1">IF(_34445073613[[#This Row],[instance]]&lt;OFFSET(_34445073613[[#This Row],[instance]],-1,0), OFFSET(_34445073613[[#This Row],[model]],-1,0)+1, OFFSET(_34445073613[[#This Row],[model]],-1,0))</f>
        <v>2</v>
      </c>
      <c r="B194">
        <v>3</v>
      </c>
      <c r="C194" s="5">
        <v>6.0185185185185185E-6</v>
      </c>
      <c r="D194">
        <v>5.5</v>
      </c>
      <c r="E194">
        <v>5</v>
      </c>
      <c r="F194">
        <v>2</v>
      </c>
      <c r="G194" s="5">
        <v>2.4305555555555552E-6</v>
      </c>
      <c r="H194" s="5">
        <v>5.5729166666666666E-4</v>
      </c>
      <c r="I194" s="5">
        <v>4.5112268518518513E-3</v>
      </c>
      <c r="J194" s="5">
        <v>2.3148148148148148E-6</v>
      </c>
      <c r="P194" s="1"/>
    </row>
    <row r="195" spans="1:16" x14ac:dyDescent="0.25">
      <c r="A195">
        <f ca="1">IF(_34445073613[[#This Row],[instance]]&lt;OFFSET(_34445073613[[#This Row],[instance]],-1,0), OFFSET(_34445073613[[#This Row],[model]],-1,0)+1, OFFSET(_34445073613[[#This Row],[model]],-1,0))</f>
        <v>2</v>
      </c>
      <c r="B195">
        <v>3</v>
      </c>
      <c r="C195" s="5">
        <v>1.0532407407407406E-5</v>
      </c>
      <c r="D195">
        <v>6.25</v>
      </c>
      <c r="E195">
        <v>6</v>
      </c>
      <c r="F195">
        <v>3</v>
      </c>
      <c r="G195" s="5">
        <v>2.4305555555555552E-6</v>
      </c>
      <c r="H195" s="5">
        <v>5.5729166666666666E-4</v>
      </c>
      <c r="I195" s="5">
        <v>4.5112268518518513E-3</v>
      </c>
      <c r="J195" s="5">
        <v>2.3148148148148148E-6</v>
      </c>
      <c r="P195" s="1"/>
    </row>
    <row r="196" spans="1:16" x14ac:dyDescent="0.25">
      <c r="A196">
        <f ca="1">IF(_34445073613[[#This Row],[instance]]&lt;OFFSET(_34445073613[[#This Row],[instance]],-1,0), OFFSET(_34445073613[[#This Row],[model]],-1,0)+1, OFFSET(_34445073613[[#This Row],[model]],-1,0))</f>
        <v>2</v>
      </c>
      <c r="B196">
        <v>3</v>
      </c>
      <c r="C196" s="5">
        <v>2.175925925925926E-5</v>
      </c>
      <c r="D196">
        <v>7</v>
      </c>
      <c r="E196">
        <v>7</v>
      </c>
      <c r="F196">
        <v>2</v>
      </c>
      <c r="G196" s="5">
        <v>2.4305555555555552E-6</v>
      </c>
      <c r="H196" s="5">
        <v>5.5729166666666666E-4</v>
      </c>
      <c r="I196" s="5">
        <v>4.5112268518518513E-3</v>
      </c>
      <c r="J196" s="5">
        <v>2.3148148148148148E-6</v>
      </c>
      <c r="P196" s="1"/>
    </row>
    <row r="197" spans="1:16" x14ac:dyDescent="0.25">
      <c r="A197">
        <f ca="1">IF(_34445073613[[#This Row],[instance]]&lt;OFFSET(_34445073613[[#This Row],[instance]],-1,0), OFFSET(_34445073613[[#This Row],[model]],-1,0)+1, OFFSET(_34445073613[[#This Row],[model]],-1,0))</f>
        <v>2</v>
      </c>
      <c r="B197">
        <v>3</v>
      </c>
      <c r="C197" s="5">
        <v>3.7662037037037037E-4</v>
      </c>
      <c r="D197">
        <v>7.75</v>
      </c>
      <c r="E197">
        <v>8</v>
      </c>
      <c r="F197">
        <v>4</v>
      </c>
      <c r="G197" s="5">
        <v>2.4305555555555552E-6</v>
      </c>
      <c r="H197" s="5">
        <v>5.5729166666666666E-4</v>
      </c>
      <c r="I197" s="5">
        <v>4.5112268518518513E-3</v>
      </c>
      <c r="J197" s="5">
        <v>2.3148148148148148E-6</v>
      </c>
      <c r="P197" s="1"/>
    </row>
    <row r="198" spans="1:16" x14ac:dyDescent="0.25">
      <c r="A198">
        <f ca="1">IF(_34445073613[[#This Row],[instance]]&lt;OFFSET(_34445073613[[#This Row],[instance]],-1,0), OFFSET(_34445073613[[#This Row],[model]],-1,0)+1, OFFSET(_34445073613[[#This Row],[model]],-1,0))</f>
        <v>2</v>
      </c>
      <c r="B198">
        <v>3</v>
      </c>
      <c r="C198" s="5">
        <v>3.8657407407407407E-4</v>
      </c>
      <c r="D198">
        <v>8.125</v>
      </c>
      <c r="E198">
        <v>9</v>
      </c>
      <c r="F198">
        <v>3</v>
      </c>
      <c r="G198" s="5">
        <v>2.4305555555555552E-6</v>
      </c>
      <c r="H198" s="5">
        <v>5.5729166666666666E-4</v>
      </c>
      <c r="I198" s="5">
        <v>4.5112268518518513E-3</v>
      </c>
      <c r="J198" s="5">
        <v>2.3148148148148148E-6</v>
      </c>
      <c r="P198" s="1"/>
    </row>
    <row r="199" spans="1:16" x14ac:dyDescent="0.25">
      <c r="A199">
        <f ca="1">IF(_34445073613[[#This Row],[instance]]&lt;OFFSET(_34445073613[[#This Row],[instance]],-1,0), OFFSET(_34445073613[[#This Row],[model]],-1,0)+1, OFFSET(_34445073613[[#This Row],[model]],-1,0))</f>
        <v>2</v>
      </c>
      <c r="B199">
        <v>3</v>
      </c>
      <c r="C199" s="5">
        <v>4.0706018518518516E-4</v>
      </c>
      <c r="D199">
        <v>8.25</v>
      </c>
      <c r="E199">
        <v>10</v>
      </c>
      <c r="F199">
        <v>5</v>
      </c>
      <c r="G199" s="5">
        <v>2.4305555555555552E-6</v>
      </c>
      <c r="H199" s="5">
        <v>5.5729166666666666E-4</v>
      </c>
      <c r="I199" s="5">
        <v>4.5112268518518513E-3</v>
      </c>
      <c r="J199" s="5">
        <v>2.3148148148148148E-6</v>
      </c>
      <c r="P199" s="1"/>
    </row>
    <row r="200" spans="1:16" x14ac:dyDescent="0.25">
      <c r="A200">
        <f ca="1">IF(_34445073613[[#This Row],[instance]]&lt;OFFSET(_34445073613[[#This Row],[instance]],-1,0), OFFSET(_34445073613[[#This Row],[model]],-1,0)+1, OFFSET(_34445073613[[#This Row],[model]],-1,0))</f>
        <v>2</v>
      </c>
      <c r="B200">
        <v>3</v>
      </c>
      <c r="C200" s="5">
        <v>4.3750000000000001E-4</v>
      </c>
      <c r="D200">
        <v>8.625</v>
      </c>
      <c r="E200">
        <v>11</v>
      </c>
      <c r="F200">
        <v>5</v>
      </c>
      <c r="G200" s="5">
        <v>2.4305555555555552E-6</v>
      </c>
      <c r="H200" s="5">
        <v>5.5729166666666666E-4</v>
      </c>
      <c r="I200" s="5">
        <v>4.5112268518518513E-3</v>
      </c>
      <c r="J200" s="5">
        <v>2.3148148148148148E-6</v>
      </c>
      <c r="P200" s="1"/>
    </row>
    <row r="201" spans="1:16" x14ac:dyDescent="0.25">
      <c r="A201">
        <f ca="1">IF(_34445073613[[#This Row],[instance]]&lt;OFFSET(_34445073613[[#This Row],[instance]],-1,0), OFFSET(_34445073613[[#This Row],[model]],-1,0)+1, OFFSET(_34445073613[[#This Row],[model]],-1,0))</f>
        <v>2</v>
      </c>
      <c r="B201">
        <v>3</v>
      </c>
      <c r="C201" s="5">
        <v>4.4942129629629629E-4</v>
      </c>
      <c r="D201">
        <v>9.25</v>
      </c>
      <c r="E201">
        <v>11</v>
      </c>
      <c r="F201">
        <v>6</v>
      </c>
      <c r="G201" s="5">
        <v>2.4305555555555552E-6</v>
      </c>
      <c r="H201" s="5">
        <v>5.5729166666666666E-4</v>
      </c>
      <c r="I201" s="5">
        <v>4.5112268518518513E-3</v>
      </c>
      <c r="J201" s="5">
        <v>2.3148148148148148E-6</v>
      </c>
      <c r="P201" s="1"/>
    </row>
    <row r="202" spans="1:16" x14ac:dyDescent="0.25">
      <c r="A202">
        <f ca="1">IF(_34445073613[[#This Row],[instance]]&lt;OFFSET(_34445073613[[#This Row],[instance]],-1,0), OFFSET(_34445073613[[#This Row],[model]],-1,0)+1, OFFSET(_34445073613[[#This Row],[model]],-1,0))</f>
        <v>2</v>
      </c>
      <c r="B202">
        <v>3</v>
      </c>
      <c r="C202" s="5">
        <v>5.603009259259259E-4</v>
      </c>
      <c r="D202">
        <v>9.625</v>
      </c>
      <c r="E202">
        <v>12</v>
      </c>
      <c r="F202">
        <v>6</v>
      </c>
      <c r="G202" s="5">
        <v>2.4305555555555552E-6</v>
      </c>
      <c r="H202" s="5">
        <v>5.5729166666666666E-4</v>
      </c>
      <c r="I202" s="5">
        <v>4.5112268518518513E-3</v>
      </c>
      <c r="J202" s="5">
        <v>2.3148148148148148E-6</v>
      </c>
      <c r="P202" s="1"/>
    </row>
    <row r="203" spans="1:16" x14ac:dyDescent="0.25">
      <c r="A203">
        <f ca="1">IF(_34445073613[[#This Row],[instance]]&lt;OFFSET(_34445073613[[#This Row],[instance]],-1,0), OFFSET(_34445073613[[#This Row],[model]],-1,0)+1, OFFSET(_34445073613[[#This Row],[model]],-1,0))</f>
        <v>2</v>
      </c>
      <c r="B203">
        <v>4</v>
      </c>
      <c r="C203" s="5">
        <v>5.6712962962962959E-6</v>
      </c>
      <c r="D203">
        <v>0</v>
      </c>
      <c r="E203">
        <v>0</v>
      </c>
      <c r="F203">
        <v>0</v>
      </c>
      <c r="G203" s="5">
        <v>2.4305555555555552E-6</v>
      </c>
      <c r="H203" s="5">
        <v>6.9446759259259253E-3</v>
      </c>
      <c r="I203" s="5">
        <v>4.5112268518518513E-3</v>
      </c>
      <c r="J203" s="5">
        <v>2.3148148148148148E-6</v>
      </c>
      <c r="P203" s="1"/>
    </row>
    <row r="204" spans="1:16" x14ac:dyDescent="0.25">
      <c r="A204">
        <f ca="1">IF(_34445073613[[#This Row],[instance]]&lt;OFFSET(_34445073613[[#This Row],[instance]],-1,0), OFFSET(_34445073613[[#This Row],[model]],-1,0)+1, OFFSET(_34445073613[[#This Row],[model]],-1,0))</f>
        <v>2</v>
      </c>
      <c r="B204">
        <v>5</v>
      </c>
      <c r="C204" s="5">
        <v>5.555555555555555E-6</v>
      </c>
      <c r="D204">
        <v>0</v>
      </c>
      <c r="E204">
        <v>0</v>
      </c>
      <c r="F204">
        <v>0</v>
      </c>
      <c r="G204" s="5">
        <v>2.4305555555555552E-6</v>
      </c>
      <c r="H204" s="5">
        <v>2.8935185185185184E-6</v>
      </c>
      <c r="I204" s="5">
        <v>4.5112268518518513E-3</v>
      </c>
      <c r="J204" s="5">
        <v>2.3148148148148148E-6</v>
      </c>
      <c r="P204" s="1"/>
    </row>
    <row r="205" spans="1:16" x14ac:dyDescent="0.25">
      <c r="A205">
        <f ca="1">IF(_34445073613[[#This Row],[instance]]&lt;OFFSET(_34445073613[[#This Row],[instance]],-1,0), OFFSET(_34445073613[[#This Row],[model]],-1,0)+1, OFFSET(_34445073613[[#This Row],[model]],-1,0))</f>
        <v>2</v>
      </c>
      <c r="B205">
        <v>5</v>
      </c>
      <c r="C205" s="5">
        <v>5.555555555555555E-6</v>
      </c>
      <c r="D205">
        <v>1.5</v>
      </c>
      <c r="E205">
        <v>1</v>
      </c>
      <c r="F205">
        <v>1</v>
      </c>
      <c r="G205" s="5">
        <v>2.4305555555555552E-6</v>
      </c>
      <c r="H205" s="5">
        <v>2.8935185185185184E-6</v>
      </c>
      <c r="I205" s="5">
        <v>4.5112268518518513E-3</v>
      </c>
      <c r="J205" s="5">
        <v>2.3148148148148148E-6</v>
      </c>
      <c r="P205" s="1"/>
    </row>
    <row r="206" spans="1:16" x14ac:dyDescent="0.25">
      <c r="A206">
        <f ca="1">IF(_34445073613[[#This Row],[instance]]&lt;OFFSET(_34445073613[[#This Row],[instance]],-1,0), OFFSET(_34445073613[[#This Row],[model]],-1,0)+1, OFFSET(_34445073613[[#This Row],[model]],-1,0))</f>
        <v>2</v>
      </c>
      <c r="B206">
        <v>5</v>
      </c>
      <c r="C206" s="5">
        <v>5.6712962962962959E-6</v>
      </c>
      <c r="D206">
        <v>3</v>
      </c>
      <c r="E206">
        <v>2</v>
      </c>
      <c r="F206">
        <v>1</v>
      </c>
      <c r="G206" s="5">
        <v>2.4305555555555552E-6</v>
      </c>
      <c r="H206" s="5">
        <v>2.8935185185185184E-6</v>
      </c>
      <c r="I206" s="5">
        <v>4.5112268518518513E-3</v>
      </c>
      <c r="J206" s="5">
        <v>2.3148148148148148E-6</v>
      </c>
      <c r="P206" s="1"/>
    </row>
    <row r="207" spans="1:16" x14ac:dyDescent="0.25">
      <c r="A207">
        <f ca="1">IF(_34445073613[[#This Row],[instance]]&lt;OFFSET(_34445073613[[#This Row],[instance]],-1,0), OFFSET(_34445073613[[#This Row],[model]],-1,0)+1, OFFSET(_34445073613[[#This Row],[model]],-1,0))</f>
        <v>2</v>
      </c>
      <c r="B207">
        <v>5</v>
      </c>
      <c r="C207" s="5">
        <v>5.6712962962962959E-6</v>
      </c>
      <c r="D207">
        <v>4.5</v>
      </c>
      <c r="E207">
        <v>3</v>
      </c>
      <c r="F207">
        <v>2</v>
      </c>
      <c r="G207" s="5">
        <v>2.4305555555555552E-6</v>
      </c>
      <c r="H207" s="5">
        <v>2.8935185185185184E-6</v>
      </c>
      <c r="I207" s="5">
        <v>4.5112268518518513E-3</v>
      </c>
      <c r="J207" s="5">
        <v>2.3148148148148148E-6</v>
      </c>
      <c r="P207" s="1"/>
    </row>
    <row r="208" spans="1:16" x14ac:dyDescent="0.25">
      <c r="A208">
        <f ca="1">IF(_34445073613[[#This Row],[instance]]&lt;OFFSET(_34445073613[[#This Row],[instance]],-1,0), OFFSET(_34445073613[[#This Row],[model]],-1,0)+1, OFFSET(_34445073613[[#This Row],[model]],-1,0))</f>
        <v>2</v>
      </c>
      <c r="B208">
        <v>5</v>
      </c>
      <c r="C208" s="5">
        <v>5.6712962962962959E-6</v>
      </c>
      <c r="D208">
        <v>6</v>
      </c>
      <c r="E208">
        <v>4</v>
      </c>
      <c r="F208">
        <v>2</v>
      </c>
      <c r="G208" s="5">
        <v>2.4305555555555552E-6</v>
      </c>
      <c r="H208" s="5">
        <v>2.8935185185185184E-6</v>
      </c>
      <c r="I208" s="5">
        <v>4.5112268518518513E-3</v>
      </c>
      <c r="J208" s="5">
        <v>2.3148148148148148E-6</v>
      </c>
      <c r="P208" s="1"/>
    </row>
    <row r="209" spans="1:16" x14ac:dyDescent="0.25">
      <c r="A209">
        <f ca="1">IF(_34445073613[[#This Row],[instance]]&lt;OFFSET(_34445073613[[#This Row],[instance]],-1,0), OFFSET(_34445073613[[#This Row],[model]],-1,0)+1, OFFSET(_34445073613[[#This Row],[model]],-1,0))</f>
        <v>2</v>
      </c>
      <c r="B209">
        <v>5</v>
      </c>
      <c r="C209" s="5">
        <v>5.6712962962962959E-6</v>
      </c>
      <c r="D209">
        <v>6.375</v>
      </c>
      <c r="E209">
        <v>5</v>
      </c>
      <c r="F209">
        <v>2</v>
      </c>
      <c r="G209" s="5">
        <v>2.4305555555555552E-6</v>
      </c>
      <c r="H209" s="5">
        <v>2.8935185185185184E-6</v>
      </c>
      <c r="I209" s="5">
        <v>4.5112268518518513E-3</v>
      </c>
      <c r="J209" s="5">
        <v>2.3148148148148148E-6</v>
      </c>
      <c r="P209" s="1"/>
    </row>
    <row r="210" spans="1:16" x14ac:dyDescent="0.25">
      <c r="A210">
        <f ca="1">IF(_34445073613[[#This Row],[instance]]&lt;OFFSET(_34445073613[[#This Row],[instance]],-1,0), OFFSET(_34445073613[[#This Row],[model]],-1,0)+1, OFFSET(_34445073613[[#This Row],[model]],-1,0))</f>
        <v>2</v>
      </c>
      <c r="B210">
        <v>5</v>
      </c>
      <c r="C210" s="5">
        <v>5.6712962962962959E-6</v>
      </c>
      <c r="D210">
        <v>7</v>
      </c>
      <c r="E210">
        <v>5</v>
      </c>
      <c r="F210">
        <v>2</v>
      </c>
      <c r="G210" s="5">
        <v>2.4305555555555552E-6</v>
      </c>
      <c r="H210" s="5">
        <v>2.8935185185185184E-6</v>
      </c>
      <c r="I210" s="5">
        <v>4.5112268518518513E-3</v>
      </c>
      <c r="J210" s="5">
        <v>2.3148148148148148E-6</v>
      </c>
      <c r="P210" s="1"/>
    </row>
    <row r="211" spans="1:16" x14ac:dyDescent="0.25">
      <c r="A211">
        <f ca="1">IF(_34445073613[[#This Row],[instance]]&lt;OFFSET(_34445073613[[#This Row],[instance]],-1,0), OFFSET(_34445073613[[#This Row],[model]],-1,0)+1, OFFSET(_34445073613[[#This Row],[model]],-1,0))</f>
        <v>2</v>
      </c>
      <c r="B211">
        <v>5</v>
      </c>
      <c r="C211" s="5">
        <v>5.6712962962962959E-6</v>
      </c>
      <c r="D211">
        <v>7.375</v>
      </c>
      <c r="E211">
        <v>6</v>
      </c>
      <c r="F211">
        <v>2</v>
      </c>
      <c r="G211" s="5">
        <v>2.4305555555555552E-6</v>
      </c>
      <c r="H211" s="5">
        <v>2.8935185185185184E-6</v>
      </c>
      <c r="I211" s="5">
        <v>4.5112268518518513E-3</v>
      </c>
      <c r="J211" s="5">
        <v>2.3148148148148148E-6</v>
      </c>
      <c r="P211" s="1"/>
    </row>
    <row r="212" spans="1:16" x14ac:dyDescent="0.25">
      <c r="A212">
        <f ca="1">IF(_34445073613[[#This Row],[instance]]&lt;OFFSET(_34445073613[[#This Row],[instance]],-1,0), OFFSET(_34445073613[[#This Row],[model]],-1,0)+1, OFFSET(_34445073613[[#This Row],[model]],-1,0))</f>
        <v>2</v>
      </c>
      <c r="B212">
        <v>5</v>
      </c>
      <c r="C212" s="5">
        <v>5.6712962962962959E-6</v>
      </c>
      <c r="D212">
        <v>7.75</v>
      </c>
      <c r="E212">
        <v>7</v>
      </c>
      <c r="F212">
        <v>2</v>
      </c>
      <c r="G212" s="5">
        <v>2.4305555555555552E-6</v>
      </c>
      <c r="H212" s="5">
        <v>2.8935185185185184E-6</v>
      </c>
      <c r="I212" s="5">
        <v>4.5112268518518513E-3</v>
      </c>
      <c r="J212" s="5">
        <v>2.3148148148148148E-6</v>
      </c>
      <c r="P212" s="1"/>
    </row>
    <row r="213" spans="1:16" x14ac:dyDescent="0.25">
      <c r="A213">
        <f ca="1">IF(_34445073613[[#This Row],[instance]]&lt;OFFSET(_34445073613[[#This Row],[instance]],-1,0), OFFSET(_34445073613[[#This Row],[model]],-1,0)+1, OFFSET(_34445073613[[#This Row],[model]],-1,0))</f>
        <v>2</v>
      </c>
      <c r="B213">
        <v>6</v>
      </c>
      <c r="C213" s="5">
        <v>5.6712962962962959E-6</v>
      </c>
      <c r="D213">
        <v>0</v>
      </c>
      <c r="E213">
        <v>0</v>
      </c>
      <c r="F213">
        <v>0</v>
      </c>
      <c r="G213" s="5">
        <v>2.3148148148148148E-6</v>
      </c>
      <c r="H213" s="5">
        <v>2.1069444444444443E-3</v>
      </c>
      <c r="I213" s="5">
        <v>4.5112268518518513E-3</v>
      </c>
      <c r="J213" s="5">
        <v>2.3148148148148148E-6</v>
      </c>
      <c r="P213" s="1"/>
    </row>
    <row r="214" spans="1:16" x14ac:dyDescent="0.25">
      <c r="A214">
        <f ca="1">IF(_34445073613[[#This Row],[instance]]&lt;OFFSET(_34445073613[[#This Row],[instance]],-1,0), OFFSET(_34445073613[[#This Row],[model]],-1,0)+1, OFFSET(_34445073613[[#This Row],[model]],-1,0))</f>
        <v>2</v>
      </c>
      <c r="B214">
        <v>6</v>
      </c>
      <c r="C214" s="5">
        <v>5.6712962962962959E-6</v>
      </c>
      <c r="D214">
        <v>3</v>
      </c>
      <c r="E214">
        <v>1</v>
      </c>
      <c r="F214">
        <v>1</v>
      </c>
      <c r="G214" s="5">
        <v>2.3148148148148148E-6</v>
      </c>
      <c r="H214" s="5">
        <v>2.1069444444444443E-3</v>
      </c>
      <c r="I214" s="5">
        <v>4.5112268518518513E-3</v>
      </c>
      <c r="J214" s="5">
        <v>2.3148148148148148E-6</v>
      </c>
      <c r="P214" s="1"/>
    </row>
    <row r="215" spans="1:16" x14ac:dyDescent="0.25">
      <c r="A215">
        <f ca="1">IF(_34445073613[[#This Row],[instance]]&lt;OFFSET(_34445073613[[#This Row],[instance]],-1,0), OFFSET(_34445073613[[#This Row],[model]],-1,0)+1, OFFSET(_34445073613[[#This Row],[model]],-1,0))</f>
        <v>2</v>
      </c>
      <c r="B215">
        <v>6</v>
      </c>
      <c r="C215" s="5">
        <v>5.6712962962962959E-6</v>
      </c>
      <c r="D215">
        <v>6</v>
      </c>
      <c r="E215">
        <v>2</v>
      </c>
      <c r="F215">
        <v>2</v>
      </c>
      <c r="G215" s="5">
        <v>2.3148148148148148E-6</v>
      </c>
      <c r="H215" s="5">
        <v>2.1069444444444443E-3</v>
      </c>
      <c r="I215" s="5">
        <v>4.5112268518518513E-3</v>
      </c>
      <c r="J215" s="5">
        <v>2.3148148148148148E-6</v>
      </c>
      <c r="P215" s="1"/>
    </row>
    <row r="216" spans="1:16" x14ac:dyDescent="0.25">
      <c r="A216">
        <f ca="1">IF(_34445073613[[#This Row],[instance]]&lt;OFFSET(_34445073613[[#This Row],[instance]],-1,0), OFFSET(_34445073613[[#This Row],[model]],-1,0)+1, OFFSET(_34445073613[[#This Row],[model]],-1,0))</f>
        <v>2</v>
      </c>
      <c r="B216">
        <v>6</v>
      </c>
      <c r="C216" s="5">
        <v>5.6712962962962959E-6</v>
      </c>
      <c r="D216">
        <v>9</v>
      </c>
      <c r="E216">
        <v>3</v>
      </c>
      <c r="F216">
        <v>3</v>
      </c>
      <c r="G216" s="5">
        <v>2.3148148148148148E-6</v>
      </c>
      <c r="H216" s="5">
        <v>2.1069444444444443E-3</v>
      </c>
      <c r="I216" s="5">
        <v>4.5112268518518513E-3</v>
      </c>
      <c r="J216" s="5">
        <v>2.3148148148148148E-6</v>
      </c>
      <c r="P216" s="1"/>
    </row>
    <row r="217" spans="1:16" x14ac:dyDescent="0.25">
      <c r="A217">
        <f ca="1">IF(_34445073613[[#This Row],[instance]]&lt;OFFSET(_34445073613[[#This Row],[instance]],-1,0), OFFSET(_34445073613[[#This Row],[model]],-1,0)+1, OFFSET(_34445073613[[#This Row],[model]],-1,0))</f>
        <v>2</v>
      </c>
      <c r="B217">
        <v>6</v>
      </c>
      <c r="C217" s="5">
        <v>5.6712962962962959E-6</v>
      </c>
      <c r="D217">
        <v>10.5</v>
      </c>
      <c r="E217">
        <v>4</v>
      </c>
      <c r="F217">
        <v>4</v>
      </c>
      <c r="G217" s="5">
        <v>2.3148148148148148E-6</v>
      </c>
      <c r="H217" s="5">
        <v>2.1069444444444443E-3</v>
      </c>
      <c r="I217" s="5">
        <v>4.5112268518518513E-3</v>
      </c>
      <c r="J217" s="5">
        <v>2.3148148148148148E-6</v>
      </c>
      <c r="P217" s="1"/>
    </row>
    <row r="218" spans="1:16" x14ac:dyDescent="0.25">
      <c r="A218">
        <f ca="1">IF(_34445073613[[#This Row],[instance]]&lt;OFFSET(_34445073613[[#This Row],[instance]],-1,0), OFFSET(_34445073613[[#This Row],[model]],-1,0)+1, OFFSET(_34445073613[[#This Row],[model]],-1,0))</f>
        <v>2</v>
      </c>
      <c r="B218">
        <v>6</v>
      </c>
      <c r="C218" s="5">
        <v>1.0763888888888888E-5</v>
      </c>
      <c r="D218">
        <v>12</v>
      </c>
      <c r="E218">
        <v>4</v>
      </c>
      <c r="F218">
        <v>4</v>
      </c>
      <c r="G218" s="5">
        <v>2.3148148148148148E-6</v>
      </c>
      <c r="H218" s="5">
        <v>2.1069444444444443E-3</v>
      </c>
      <c r="I218" s="5">
        <v>4.5112268518518513E-3</v>
      </c>
      <c r="J218" s="5">
        <v>2.3148148148148148E-6</v>
      </c>
      <c r="P218" s="1"/>
    </row>
    <row r="219" spans="1:16" x14ac:dyDescent="0.25">
      <c r="A219">
        <f ca="1">IF(_34445073613[[#This Row],[instance]]&lt;OFFSET(_34445073613[[#This Row],[instance]],-1,0), OFFSET(_34445073613[[#This Row],[model]],-1,0)+1, OFFSET(_34445073613[[#This Row],[model]],-1,0))</f>
        <v>2</v>
      </c>
      <c r="B219">
        <v>6</v>
      </c>
      <c r="C219" s="5">
        <v>1.0763888888888888E-5</v>
      </c>
      <c r="D219">
        <v>13.5</v>
      </c>
      <c r="E219">
        <v>5</v>
      </c>
      <c r="F219">
        <v>5</v>
      </c>
      <c r="G219" s="5">
        <v>2.3148148148148148E-6</v>
      </c>
      <c r="H219" s="5">
        <v>2.1069444444444443E-3</v>
      </c>
      <c r="I219" s="5">
        <v>4.5112268518518513E-3</v>
      </c>
      <c r="J219" s="5">
        <v>2.3148148148148148E-6</v>
      </c>
      <c r="P219" s="1"/>
    </row>
    <row r="220" spans="1:16" x14ac:dyDescent="0.25">
      <c r="A220">
        <f ca="1">IF(_34445073613[[#This Row],[instance]]&lt;OFFSET(_34445073613[[#This Row],[instance]],-1,0), OFFSET(_34445073613[[#This Row],[model]],-1,0)+1, OFFSET(_34445073613[[#This Row],[model]],-1,0))</f>
        <v>2</v>
      </c>
      <c r="B220">
        <v>6</v>
      </c>
      <c r="C220" s="5">
        <v>1.4930555555555555E-5</v>
      </c>
      <c r="D220">
        <v>15</v>
      </c>
      <c r="E220">
        <v>6</v>
      </c>
      <c r="F220">
        <v>5</v>
      </c>
      <c r="G220" s="5">
        <v>2.3148148148148148E-6</v>
      </c>
      <c r="H220" s="5">
        <v>2.1069444444444443E-3</v>
      </c>
      <c r="I220" s="5">
        <v>4.5112268518518513E-3</v>
      </c>
      <c r="J220" s="5">
        <v>2.3148148148148148E-6</v>
      </c>
      <c r="P220" s="1"/>
    </row>
    <row r="221" spans="1:16" x14ac:dyDescent="0.25">
      <c r="A221">
        <f ca="1">IF(_34445073613[[#This Row],[instance]]&lt;OFFSET(_34445073613[[#This Row],[instance]],-1,0), OFFSET(_34445073613[[#This Row],[model]],-1,0)+1, OFFSET(_34445073613[[#This Row],[model]],-1,0))</f>
        <v>2</v>
      </c>
      <c r="B221">
        <v>6</v>
      </c>
      <c r="C221" s="5">
        <v>1.7245370370370371E-5</v>
      </c>
      <c r="D221">
        <v>15.75</v>
      </c>
      <c r="E221">
        <v>7</v>
      </c>
      <c r="F221">
        <v>5</v>
      </c>
      <c r="G221" s="5">
        <v>2.3148148148148148E-6</v>
      </c>
      <c r="H221" s="5">
        <v>2.1069444444444443E-3</v>
      </c>
      <c r="I221" s="5">
        <v>4.5112268518518513E-3</v>
      </c>
      <c r="J221" s="5">
        <v>2.3148148148148148E-6</v>
      </c>
      <c r="P221" s="1"/>
    </row>
    <row r="222" spans="1:16" x14ac:dyDescent="0.25">
      <c r="A222">
        <f ca="1">IF(_34445073613[[#This Row],[instance]]&lt;OFFSET(_34445073613[[#This Row],[instance]],-1,0), OFFSET(_34445073613[[#This Row],[model]],-1,0)+1, OFFSET(_34445073613[[#This Row],[model]],-1,0))</f>
        <v>2</v>
      </c>
      <c r="B222">
        <v>6</v>
      </c>
      <c r="C222" s="5">
        <v>2.997685185185185E-5</v>
      </c>
      <c r="D222">
        <v>16.125</v>
      </c>
      <c r="E222">
        <v>8</v>
      </c>
      <c r="F222">
        <v>5</v>
      </c>
      <c r="G222" s="5">
        <v>2.3148148148148148E-6</v>
      </c>
      <c r="H222" s="5">
        <v>2.1069444444444443E-3</v>
      </c>
      <c r="I222" s="5">
        <v>4.5112268518518513E-3</v>
      </c>
      <c r="J222" s="5">
        <v>2.3148148148148148E-6</v>
      </c>
      <c r="P222" s="1"/>
    </row>
    <row r="223" spans="1:16" x14ac:dyDescent="0.25">
      <c r="A223">
        <f ca="1">IF(_34445073613[[#This Row],[instance]]&lt;OFFSET(_34445073613[[#This Row],[instance]],-1,0), OFFSET(_34445073613[[#This Row],[model]],-1,0)+1, OFFSET(_34445073613[[#This Row],[model]],-1,0))</f>
        <v>2</v>
      </c>
      <c r="B223">
        <v>6</v>
      </c>
      <c r="C223" s="5">
        <v>4.0740740740740738E-5</v>
      </c>
      <c r="D223">
        <v>16.5</v>
      </c>
      <c r="E223">
        <v>9</v>
      </c>
      <c r="F223">
        <v>5</v>
      </c>
      <c r="G223" s="5">
        <v>2.3148148148148148E-6</v>
      </c>
      <c r="H223" s="5">
        <v>2.1069444444444443E-3</v>
      </c>
      <c r="I223" s="5">
        <v>4.5112268518518513E-3</v>
      </c>
      <c r="J223" s="5">
        <v>2.3148148148148148E-6</v>
      </c>
      <c r="P223" s="1"/>
    </row>
    <row r="224" spans="1:16" x14ac:dyDescent="0.25">
      <c r="A224">
        <f ca="1">IF(_34445073613[[#This Row],[instance]]&lt;OFFSET(_34445073613[[#This Row],[instance]],-1,0), OFFSET(_34445073613[[#This Row],[model]],-1,0)+1, OFFSET(_34445073613[[#This Row],[model]],-1,0))</f>
        <v>2</v>
      </c>
      <c r="B224">
        <v>6</v>
      </c>
      <c r="C224" s="5">
        <v>1.8560185185185183E-3</v>
      </c>
      <c r="D224">
        <v>16.875</v>
      </c>
      <c r="E224">
        <v>10</v>
      </c>
      <c r="F224">
        <v>6</v>
      </c>
      <c r="G224" s="5">
        <v>2.3148148148148148E-6</v>
      </c>
      <c r="H224" s="5">
        <v>2.1069444444444443E-3</v>
      </c>
      <c r="I224" s="5">
        <v>4.5112268518518513E-3</v>
      </c>
      <c r="J224" s="5">
        <v>2.3148148148148148E-6</v>
      </c>
      <c r="P224" s="1"/>
    </row>
    <row r="225" spans="1:16" x14ac:dyDescent="0.25">
      <c r="A225">
        <f ca="1">IF(_34445073613[[#This Row],[instance]]&lt;OFFSET(_34445073613[[#This Row],[instance]],-1,0), OFFSET(_34445073613[[#This Row],[model]],-1,0)+1, OFFSET(_34445073613[[#This Row],[model]],-1,0))</f>
        <v>2</v>
      </c>
      <c r="B225">
        <v>6</v>
      </c>
      <c r="C225" s="5">
        <v>1.8837962962962962E-3</v>
      </c>
      <c r="D225">
        <v>17.25</v>
      </c>
      <c r="E225">
        <v>11</v>
      </c>
      <c r="F225">
        <v>6</v>
      </c>
      <c r="G225" s="5">
        <v>2.3148148148148148E-6</v>
      </c>
      <c r="H225" s="5">
        <v>2.1069444444444443E-3</v>
      </c>
      <c r="I225" s="5">
        <v>4.5112268518518513E-3</v>
      </c>
      <c r="J225" s="5">
        <v>2.3148148148148148E-6</v>
      </c>
      <c r="P225" s="1"/>
    </row>
    <row r="226" spans="1:16" x14ac:dyDescent="0.25">
      <c r="A226">
        <f ca="1">IF(_34445073613[[#This Row],[instance]]&lt;OFFSET(_34445073613[[#This Row],[instance]],-1,0), OFFSET(_34445073613[[#This Row],[model]],-1,0)+1, OFFSET(_34445073613[[#This Row],[model]],-1,0))</f>
        <v>2</v>
      </c>
      <c r="B226">
        <v>6</v>
      </c>
      <c r="C226" s="5">
        <v>2.091087962962963E-3</v>
      </c>
      <c r="D226">
        <v>17.625</v>
      </c>
      <c r="E226">
        <v>12</v>
      </c>
      <c r="F226">
        <v>6</v>
      </c>
      <c r="G226" s="5">
        <v>2.3148148148148148E-6</v>
      </c>
      <c r="H226" s="5">
        <v>2.1069444444444443E-3</v>
      </c>
      <c r="I226" s="5">
        <v>4.5112268518518513E-3</v>
      </c>
      <c r="J226" s="5">
        <v>2.3148148148148148E-6</v>
      </c>
      <c r="P226" s="1"/>
    </row>
    <row r="227" spans="1:16" x14ac:dyDescent="0.25">
      <c r="A227">
        <f ca="1">IF(_34445073613[[#This Row],[instance]]&lt;OFFSET(_34445073613[[#This Row],[instance]],-1,0), OFFSET(_34445073613[[#This Row],[model]],-1,0)+1, OFFSET(_34445073613[[#This Row],[model]],-1,0))</f>
        <v>2</v>
      </c>
      <c r="B227">
        <v>7</v>
      </c>
      <c r="C227" s="5">
        <v>5.7870370370370367E-6</v>
      </c>
      <c r="D227">
        <v>0</v>
      </c>
      <c r="E227">
        <v>0</v>
      </c>
      <c r="F227">
        <v>0</v>
      </c>
      <c r="G227" s="5">
        <v>2.4305555555555552E-6</v>
      </c>
      <c r="H227" s="5">
        <v>6.9446759259259253E-3</v>
      </c>
      <c r="I227" s="5">
        <v>4.5112268518518513E-3</v>
      </c>
      <c r="J227" s="5">
        <v>2.3148148148148148E-6</v>
      </c>
      <c r="P227" s="1"/>
    </row>
    <row r="228" spans="1:16" x14ac:dyDescent="0.25">
      <c r="A228">
        <f ca="1">IF(_34445073613[[#This Row],[instance]]&lt;OFFSET(_34445073613[[#This Row],[instance]],-1,0), OFFSET(_34445073613[[#This Row],[model]],-1,0)+1, OFFSET(_34445073613[[#This Row],[model]],-1,0))</f>
        <v>2</v>
      </c>
      <c r="B228">
        <v>7</v>
      </c>
      <c r="C228" s="5">
        <v>5.7870370370370367E-6</v>
      </c>
      <c r="D228">
        <v>3</v>
      </c>
      <c r="E228">
        <v>1</v>
      </c>
      <c r="F228">
        <v>1</v>
      </c>
      <c r="G228" s="5">
        <v>2.4305555555555552E-6</v>
      </c>
      <c r="H228" s="5">
        <v>6.9446759259259253E-3</v>
      </c>
      <c r="I228" s="5">
        <v>4.5112268518518513E-3</v>
      </c>
      <c r="J228" s="5">
        <v>2.3148148148148148E-6</v>
      </c>
      <c r="P228" s="1"/>
    </row>
    <row r="229" spans="1:16" x14ac:dyDescent="0.25">
      <c r="A229">
        <f ca="1">IF(_34445073613[[#This Row],[instance]]&lt;OFFSET(_34445073613[[#This Row],[instance]],-1,0), OFFSET(_34445073613[[#This Row],[model]],-1,0)+1, OFFSET(_34445073613[[#This Row],[model]],-1,0))</f>
        <v>2</v>
      </c>
      <c r="B229">
        <v>7</v>
      </c>
      <c r="C229" s="5">
        <v>5.7870370370370367E-6</v>
      </c>
      <c r="D229">
        <v>6</v>
      </c>
      <c r="E229">
        <v>2</v>
      </c>
      <c r="F229">
        <v>2</v>
      </c>
      <c r="G229" s="5">
        <v>2.4305555555555552E-6</v>
      </c>
      <c r="H229" s="5">
        <v>6.9446759259259253E-3</v>
      </c>
      <c r="I229" s="5">
        <v>4.5112268518518513E-3</v>
      </c>
      <c r="J229" s="5">
        <v>2.3148148148148148E-6</v>
      </c>
      <c r="P229" s="1"/>
    </row>
    <row r="230" spans="1:16" x14ac:dyDescent="0.25">
      <c r="A230">
        <f ca="1">IF(_34445073613[[#This Row],[instance]]&lt;OFFSET(_34445073613[[#This Row],[instance]],-1,0), OFFSET(_34445073613[[#This Row],[model]],-1,0)+1, OFFSET(_34445073613[[#This Row],[model]],-1,0))</f>
        <v>2</v>
      </c>
      <c r="B230">
        <v>7</v>
      </c>
      <c r="C230" s="5">
        <v>5.7870370370370367E-6</v>
      </c>
      <c r="D230">
        <v>9</v>
      </c>
      <c r="E230">
        <v>3</v>
      </c>
      <c r="F230">
        <v>3</v>
      </c>
      <c r="G230" s="5">
        <v>2.4305555555555552E-6</v>
      </c>
      <c r="H230" s="5">
        <v>6.9446759259259253E-3</v>
      </c>
      <c r="I230" s="5">
        <v>4.5112268518518513E-3</v>
      </c>
      <c r="J230" s="5">
        <v>2.3148148148148148E-6</v>
      </c>
      <c r="P230" s="1"/>
    </row>
    <row r="231" spans="1:16" x14ac:dyDescent="0.25">
      <c r="A231">
        <f ca="1">IF(_34445073613[[#This Row],[instance]]&lt;OFFSET(_34445073613[[#This Row],[instance]],-1,0), OFFSET(_34445073613[[#This Row],[model]],-1,0)+1, OFFSET(_34445073613[[#This Row],[model]],-1,0))</f>
        <v>2</v>
      </c>
      <c r="B231">
        <v>7</v>
      </c>
      <c r="C231" s="5">
        <v>5.7870370370370367E-6</v>
      </c>
      <c r="D231">
        <v>12</v>
      </c>
      <c r="E231">
        <v>4</v>
      </c>
      <c r="F231">
        <v>4</v>
      </c>
      <c r="G231" s="5">
        <v>2.4305555555555552E-6</v>
      </c>
      <c r="H231" s="5">
        <v>6.9446759259259253E-3</v>
      </c>
      <c r="I231" s="5">
        <v>4.5112268518518513E-3</v>
      </c>
      <c r="J231" s="5">
        <v>2.3148148148148148E-6</v>
      </c>
      <c r="P231" s="1"/>
    </row>
    <row r="232" spans="1:16" x14ac:dyDescent="0.25">
      <c r="A232">
        <f ca="1">IF(_34445073613[[#This Row],[instance]]&lt;OFFSET(_34445073613[[#This Row],[instance]],-1,0), OFFSET(_34445073613[[#This Row],[model]],-1,0)+1, OFFSET(_34445073613[[#This Row],[model]],-1,0))</f>
        <v>2</v>
      </c>
      <c r="B232">
        <v>8</v>
      </c>
      <c r="C232" s="5">
        <v>5.6712962962962959E-6</v>
      </c>
      <c r="D232">
        <v>0</v>
      </c>
      <c r="E232">
        <v>0</v>
      </c>
      <c r="F232">
        <v>0</v>
      </c>
      <c r="G232" s="5">
        <v>2.3148148148148148E-6</v>
      </c>
      <c r="H232" s="5">
        <v>6.9446759259259253E-3</v>
      </c>
      <c r="I232" s="5">
        <v>4.5112268518518513E-3</v>
      </c>
      <c r="J232" s="5">
        <v>2.3148148148148148E-6</v>
      </c>
      <c r="P232" s="1"/>
    </row>
    <row r="233" spans="1:16" x14ac:dyDescent="0.25">
      <c r="A233">
        <f ca="1">IF(_34445073613[[#This Row],[instance]]&lt;OFFSET(_34445073613[[#This Row],[instance]],-1,0), OFFSET(_34445073613[[#This Row],[model]],-1,0)+1, OFFSET(_34445073613[[#This Row],[model]],-1,0))</f>
        <v>2</v>
      </c>
      <c r="B233">
        <v>8</v>
      </c>
      <c r="C233" s="5">
        <v>5.9027777777777776E-6</v>
      </c>
      <c r="D233">
        <v>1.5</v>
      </c>
      <c r="E233">
        <v>1</v>
      </c>
      <c r="F233">
        <v>1</v>
      </c>
      <c r="G233" s="5">
        <v>2.3148148148148148E-6</v>
      </c>
      <c r="H233" s="5">
        <v>6.9446759259259253E-3</v>
      </c>
      <c r="I233" s="5">
        <v>4.5112268518518513E-3</v>
      </c>
      <c r="J233" s="5">
        <v>2.3148148148148148E-6</v>
      </c>
      <c r="P233" s="1"/>
    </row>
    <row r="234" spans="1:16" x14ac:dyDescent="0.25">
      <c r="A234">
        <f ca="1">IF(_34445073613[[#This Row],[instance]]&lt;OFFSET(_34445073613[[#This Row],[instance]],-1,0), OFFSET(_34445073613[[#This Row],[model]],-1,0)+1, OFFSET(_34445073613[[#This Row],[model]],-1,0))</f>
        <v>2</v>
      </c>
      <c r="B234">
        <v>8</v>
      </c>
      <c r="C234" s="5">
        <v>5.9027777777777776E-6</v>
      </c>
      <c r="D234">
        <v>9</v>
      </c>
      <c r="E234">
        <v>3</v>
      </c>
      <c r="F234">
        <v>1</v>
      </c>
      <c r="G234" s="5">
        <v>2.3148148148148148E-6</v>
      </c>
      <c r="H234" s="5">
        <v>6.9446759259259253E-3</v>
      </c>
      <c r="I234" s="5">
        <v>4.5112268518518513E-3</v>
      </c>
      <c r="J234" s="5">
        <v>2.3148148148148148E-6</v>
      </c>
      <c r="P234" s="1"/>
    </row>
    <row r="235" spans="1:16" x14ac:dyDescent="0.25">
      <c r="A235">
        <f ca="1">IF(_34445073613[[#This Row],[instance]]&lt;OFFSET(_34445073613[[#This Row],[instance]],-1,0), OFFSET(_34445073613[[#This Row],[model]],-1,0)+1, OFFSET(_34445073613[[#This Row],[model]],-1,0))</f>
        <v>2</v>
      </c>
      <c r="B235">
        <v>8</v>
      </c>
      <c r="C235" s="5">
        <v>5.9027777777777776E-6</v>
      </c>
      <c r="D235">
        <v>10.5</v>
      </c>
      <c r="E235">
        <v>4</v>
      </c>
      <c r="F235">
        <v>1</v>
      </c>
      <c r="G235" s="5">
        <v>2.3148148148148148E-6</v>
      </c>
      <c r="H235" s="5">
        <v>6.9446759259259253E-3</v>
      </c>
      <c r="I235" s="5">
        <v>4.5112268518518513E-3</v>
      </c>
      <c r="J235" s="5">
        <v>2.3148148148148148E-6</v>
      </c>
      <c r="P235" s="1"/>
    </row>
    <row r="236" spans="1:16" x14ac:dyDescent="0.25">
      <c r="A236">
        <f ca="1">IF(_34445073613[[#This Row],[instance]]&lt;OFFSET(_34445073613[[#This Row],[instance]],-1,0), OFFSET(_34445073613[[#This Row],[model]],-1,0)+1, OFFSET(_34445073613[[#This Row],[model]],-1,0))</f>
        <v>2</v>
      </c>
      <c r="B236">
        <v>8</v>
      </c>
      <c r="C236" s="5">
        <v>5.9027777777777776E-6</v>
      </c>
      <c r="D236">
        <v>12</v>
      </c>
      <c r="E236">
        <v>4</v>
      </c>
      <c r="F236">
        <v>1</v>
      </c>
      <c r="G236" s="5">
        <v>2.3148148148148148E-6</v>
      </c>
      <c r="H236" s="5">
        <v>6.9446759259259253E-3</v>
      </c>
      <c r="I236" s="5">
        <v>4.5112268518518513E-3</v>
      </c>
      <c r="J236" s="5">
        <v>2.3148148148148148E-6</v>
      </c>
      <c r="P236" s="1"/>
    </row>
    <row r="237" spans="1:16" x14ac:dyDescent="0.25">
      <c r="A237">
        <f ca="1">IF(_34445073613[[#This Row],[instance]]&lt;OFFSET(_34445073613[[#This Row],[instance]],-1,0), OFFSET(_34445073613[[#This Row],[model]],-1,0)+1, OFFSET(_34445073613[[#This Row],[model]],-1,0))</f>
        <v>2</v>
      </c>
      <c r="B237">
        <v>8</v>
      </c>
      <c r="C237" s="5">
        <v>7.7546296296296301E-6</v>
      </c>
      <c r="D237">
        <v>13.5</v>
      </c>
      <c r="E237">
        <v>5</v>
      </c>
      <c r="F237">
        <v>2</v>
      </c>
      <c r="G237" s="5">
        <v>2.3148148148148148E-6</v>
      </c>
      <c r="H237" s="5">
        <v>6.9446759259259253E-3</v>
      </c>
      <c r="I237" s="5">
        <v>4.5112268518518513E-3</v>
      </c>
      <c r="J237" s="5">
        <v>2.3148148148148148E-6</v>
      </c>
      <c r="P237" s="1"/>
    </row>
    <row r="238" spans="1:16" x14ac:dyDescent="0.25">
      <c r="A238">
        <f ca="1">IF(_34445073613[[#This Row],[instance]]&lt;OFFSET(_34445073613[[#This Row],[instance]],-1,0), OFFSET(_34445073613[[#This Row],[model]],-1,0)+1, OFFSET(_34445073613[[#This Row],[model]],-1,0))</f>
        <v>2</v>
      </c>
      <c r="B238">
        <v>8</v>
      </c>
      <c r="C238" s="5">
        <v>1.0335648148148148E-4</v>
      </c>
      <c r="D238">
        <v>14.5</v>
      </c>
      <c r="E238">
        <v>6</v>
      </c>
      <c r="F238">
        <v>2</v>
      </c>
      <c r="G238" s="5">
        <v>2.3148148148148148E-6</v>
      </c>
      <c r="H238" s="5">
        <v>6.9446759259259253E-3</v>
      </c>
      <c r="I238" s="5">
        <v>4.5112268518518513E-3</v>
      </c>
      <c r="J238" s="5">
        <v>2.3148148148148148E-6</v>
      </c>
      <c r="P238" s="1"/>
    </row>
    <row r="239" spans="1:16" x14ac:dyDescent="0.25">
      <c r="A239">
        <f ca="1">IF(_34445073613[[#This Row],[instance]]&lt;OFFSET(_34445073613[[#This Row],[instance]],-1,0), OFFSET(_34445073613[[#This Row],[model]],-1,0)+1, OFFSET(_34445073613[[#This Row],[model]],-1,0))</f>
        <v>2</v>
      </c>
      <c r="B239">
        <v>8</v>
      </c>
      <c r="C239" s="5">
        <v>1.6192129629629629E-4</v>
      </c>
      <c r="D239">
        <v>15</v>
      </c>
      <c r="E239">
        <v>6</v>
      </c>
      <c r="F239">
        <v>2</v>
      </c>
      <c r="G239" s="5">
        <v>2.3148148148148148E-6</v>
      </c>
      <c r="H239" s="5">
        <v>6.9446759259259253E-3</v>
      </c>
      <c r="I239" s="5">
        <v>4.5112268518518513E-3</v>
      </c>
      <c r="J239" s="5">
        <v>2.3148148148148148E-6</v>
      </c>
      <c r="P239" s="1"/>
    </row>
    <row r="240" spans="1:16" x14ac:dyDescent="0.25">
      <c r="A240">
        <f ca="1">IF(_34445073613[[#This Row],[instance]]&lt;OFFSET(_34445073613[[#This Row],[instance]],-1,0), OFFSET(_34445073613[[#This Row],[model]],-1,0)+1, OFFSET(_34445073613[[#This Row],[model]],-1,0))</f>
        <v>2</v>
      </c>
      <c r="B240">
        <v>8</v>
      </c>
      <c r="C240" s="5">
        <v>1.6192129629629629E-4</v>
      </c>
      <c r="D240">
        <v>16.5</v>
      </c>
      <c r="E240">
        <v>7</v>
      </c>
      <c r="F240">
        <v>2</v>
      </c>
      <c r="G240" s="5">
        <v>2.3148148148148148E-6</v>
      </c>
      <c r="H240" s="5">
        <v>6.9446759259259253E-3</v>
      </c>
      <c r="I240" s="5">
        <v>4.5112268518518513E-3</v>
      </c>
      <c r="J240" s="5">
        <v>2.3148148148148148E-6</v>
      </c>
      <c r="P240" s="1"/>
    </row>
    <row r="241" spans="1:16" x14ac:dyDescent="0.25">
      <c r="A241">
        <f ca="1">IF(_34445073613[[#This Row],[instance]]&lt;OFFSET(_34445073613[[#This Row],[instance]],-1,0), OFFSET(_34445073613[[#This Row],[model]],-1,0)+1, OFFSET(_34445073613[[#This Row],[model]],-1,0))</f>
        <v>2</v>
      </c>
      <c r="B241">
        <v>8</v>
      </c>
      <c r="C241" s="5">
        <v>1.6215277777777777E-4</v>
      </c>
      <c r="D241">
        <v>18</v>
      </c>
      <c r="E241">
        <v>8</v>
      </c>
      <c r="F241">
        <v>2</v>
      </c>
      <c r="G241" s="5">
        <v>2.3148148148148148E-6</v>
      </c>
      <c r="H241" s="5">
        <v>6.9446759259259253E-3</v>
      </c>
      <c r="I241" s="5">
        <v>4.5112268518518513E-3</v>
      </c>
      <c r="J241" s="5">
        <v>2.3148148148148148E-6</v>
      </c>
      <c r="P241" s="1"/>
    </row>
    <row r="242" spans="1:16" x14ac:dyDescent="0.25">
      <c r="A242">
        <f ca="1">IF(_34445073613[[#This Row],[instance]]&lt;OFFSET(_34445073613[[#This Row],[instance]],-1,0), OFFSET(_34445073613[[#This Row],[model]],-1,0)+1, OFFSET(_34445073613[[#This Row],[model]],-1,0))</f>
        <v>2</v>
      </c>
      <c r="B242">
        <v>8</v>
      </c>
      <c r="C242" s="5">
        <v>1.6342592592592591E-4</v>
      </c>
      <c r="D242">
        <v>18.25</v>
      </c>
      <c r="E242">
        <v>9</v>
      </c>
      <c r="F242">
        <v>2</v>
      </c>
      <c r="G242" s="5">
        <v>2.3148148148148148E-6</v>
      </c>
      <c r="H242" s="5">
        <v>6.9446759259259253E-3</v>
      </c>
      <c r="I242" s="5">
        <v>4.5112268518518513E-3</v>
      </c>
      <c r="J242" s="5">
        <v>2.3148148148148148E-6</v>
      </c>
      <c r="P242" s="1"/>
    </row>
    <row r="243" spans="1:16" x14ac:dyDescent="0.25">
      <c r="A243">
        <f ca="1">IF(_34445073613[[#This Row],[instance]]&lt;OFFSET(_34445073613[[#This Row],[instance]],-1,0), OFFSET(_34445073613[[#This Row],[model]],-1,0)+1, OFFSET(_34445073613[[#This Row],[model]],-1,0))</f>
        <v>2</v>
      </c>
      <c r="B243">
        <v>8</v>
      </c>
      <c r="C243" s="5">
        <v>2.640046296296296E-4</v>
      </c>
      <c r="D243">
        <v>19</v>
      </c>
      <c r="E243">
        <v>9</v>
      </c>
      <c r="F243">
        <v>3</v>
      </c>
      <c r="G243" s="5">
        <v>2.3148148148148148E-6</v>
      </c>
      <c r="H243" s="5">
        <v>6.9446759259259253E-3</v>
      </c>
      <c r="I243" s="5">
        <v>4.5112268518518513E-3</v>
      </c>
      <c r="J243" s="5">
        <v>2.3148148148148148E-6</v>
      </c>
      <c r="P243" s="1"/>
    </row>
    <row r="244" spans="1:16" x14ac:dyDescent="0.25">
      <c r="A244">
        <f ca="1">IF(_34445073613[[#This Row],[instance]]&lt;OFFSET(_34445073613[[#This Row],[instance]],-1,0), OFFSET(_34445073613[[#This Row],[model]],-1,0)+1, OFFSET(_34445073613[[#This Row],[model]],-1,0))</f>
        <v>2</v>
      </c>
      <c r="B244">
        <v>8</v>
      </c>
      <c r="C244" s="5">
        <v>5.8124999999999995E-4</v>
      </c>
      <c r="D244">
        <v>19</v>
      </c>
      <c r="E244">
        <v>9</v>
      </c>
      <c r="F244">
        <v>2</v>
      </c>
      <c r="G244" s="5">
        <v>2.3148148148148148E-6</v>
      </c>
      <c r="H244" s="5">
        <v>6.9446759259259253E-3</v>
      </c>
      <c r="I244" s="5">
        <v>4.5112268518518513E-3</v>
      </c>
      <c r="J244" s="5">
        <v>2.3148148148148148E-6</v>
      </c>
      <c r="P244" s="1"/>
    </row>
    <row r="245" spans="1:16" x14ac:dyDescent="0.25">
      <c r="A245">
        <f ca="1">IF(_34445073613[[#This Row],[instance]]&lt;OFFSET(_34445073613[[#This Row],[instance]],-1,0), OFFSET(_34445073613[[#This Row],[model]],-1,0)+1, OFFSET(_34445073613[[#This Row],[model]],-1,0))</f>
        <v>2</v>
      </c>
      <c r="B245">
        <v>9</v>
      </c>
      <c r="C245" s="5">
        <v>5.4398148148148149E-6</v>
      </c>
      <c r="D245">
        <v>0</v>
      </c>
      <c r="E245">
        <v>0</v>
      </c>
      <c r="F245">
        <v>0</v>
      </c>
      <c r="G245" s="5">
        <v>2.3148148148148148E-6</v>
      </c>
      <c r="H245" s="5">
        <v>2.7777777777777775E-6</v>
      </c>
      <c r="I245" s="5">
        <v>4.5112268518518513E-3</v>
      </c>
      <c r="J245" s="5">
        <v>2.3148148148148148E-6</v>
      </c>
      <c r="P245" s="1"/>
    </row>
    <row r="246" spans="1:16" x14ac:dyDescent="0.25">
      <c r="A246">
        <f ca="1">IF(_34445073613[[#This Row],[instance]]&lt;OFFSET(_34445073613[[#This Row],[instance]],-1,0), OFFSET(_34445073613[[#This Row],[model]],-1,0)+1, OFFSET(_34445073613[[#This Row],[model]],-1,0))</f>
        <v>2</v>
      </c>
      <c r="B246">
        <v>10</v>
      </c>
      <c r="C246" s="5">
        <v>5.4398148148148149E-6</v>
      </c>
      <c r="D246">
        <v>0</v>
      </c>
      <c r="E246">
        <v>0</v>
      </c>
      <c r="F246">
        <v>0</v>
      </c>
      <c r="G246" s="5">
        <v>2.3148148148148148E-6</v>
      </c>
      <c r="H246" s="5">
        <v>2.6273148148148148E-5</v>
      </c>
      <c r="I246" s="5">
        <v>4.5112268518518513E-3</v>
      </c>
      <c r="J246" s="5">
        <v>2.3148148148148148E-6</v>
      </c>
      <c r="P246" s="1"/>
    </row>
    <row r="247" spans="1:16" x14ac:dyDescent="0.25">
      <c r="A247">
        <f ca="1">IF(_34445073613[[#This Row],[instance]]&lt;OFFSET(_34445073613[[#This Row],[instance]],-1,0), OFFSET(_34445073613[[#This Row],[model]],-1,0)+1, OFFSET(_34445073613[[#This Row],[model]],-1,0))</f>
        <v>2</v>
      </c>
      <c r="B247">
        <v>10</v>
      </c>
      <c r="C247" s="5">
        <v>5.4398148148148149E-6</v>
      </c>
      <c r="D247">
        <v>1.5</v>
      </c>
      <c r="E247">
        <v>1</v>
      </c>
      <c r="F247">
        <v>1</v>
      </c>
      <c r="G247" s="5">
        <v>2.3148148148148148E-6</v>
      </c>
      <c r="H247" s="5">
        <v>2.6273148148148148E-5</v>
      </c>
      <c r="I247" s="5">
        <v>4.5112268518518513E-3</v>
      </c>
      <c r="J247" s="5">
        <v>2.3148148148148148E-6</v>
      </c>
      <c r="P247" s="1"/>
    </row>
    <row r="248" spans="1:16" x14ac:dyDescent="0.25">
      <c r="A248">
        <f ca="1">IF(_34445073613[[#This Row],[instance]]&lt;OFFSET(_34445073613[[#This Row],[instance]],-1,0), OFFSET(_34445073613[[#This Row],[model]],-1,0)+1, OFFSET(_34445073613[[#This Row],[model]],-1,0))</f>
        <v>2</v>
      </c>
      <c r="B248">
        <v>10</v>
      </c>
      <c r="C248" s="5">
        <v>5.4398148148148149E-6</v>
      </c>
      <c r="D248">
        <v>2.5</v>
      </c>
      <c r="E248">
        <v>2</v>
      </c>
      <c r="F248">
        <v>1</v>
      </c>
      <c r="G248" s="5">
        <v>2.3148148148148148E-6</v>
      </c>
      <c r="H248" s="5">
        <v>2.6273148148148148E-5</v>
      </c>
      <c r="I248" s="5">
        <v>4.5112268518518513E-3</v>
      </c>
      <c r="J248" s="5">
        <v>2.3148148148148148E-6</v>
      </c>
      <c r="P248" s="1"/>
    </row>
    <row r="249" spans="1:16" x14ac:dyDescent="0.25">
      <c r="A249">
        <f ca="1">IF(_34445073613[[#This Row],[instance]]&lt;OFFSET(_34445073613[[#This Row],[instance]],-1,0), OFFSET(_34445073613[[#This Row],[model]],-1,0)+1, OFFSET(_34445073613[[#This Row],[model]],-1,0))</f>
        <v>2</v>
      </c>
      <c r="B249">
        <v>10</v>
      </c>
      <c r="C249" s="5">
        <v>5.4398148148148149E-6</v>
      </c>
      <c r="D249">
        <v>3.25</v>
      </c>
      <c r="E249">
        <v>3</v>
      </c>
      <c r="F249">
        <v>1</v>
      </c>
      <c r="G249" s="5">
        <v>2.3148148148148148E-6</v>
      </c>
      <c r="H249" s="5">
        <v>2.6273148148148148E-5</v>
      </c>
      <c r="I249" s="5">
        <v>4.5112268518518513E-3</v>
      </c>
      <c r="J249" s="5">
        <v>2.3148148148148148E-6</v>
      </c>
      <c r="P249" s="1"/>
    </row>
    <row r="250" spans="1:16" x14ac:dyDescent="0.25">
      <c r="A250">
        <f ca="1">IF(_34445073613[[#This Row],[instance]]&lt;OFFSET(_34445073613[[#This Row],[instance]],-1,0), OFFSET(_34445073613[[#This Row],[model]],-1,0)+1, OFFSET(_34445073613[[#This Row],[model]],-1,0))</f>
        <v>2</v>
      </c>
      <c r="B250">
        <v>10</v>
      </c>
      <c r="C250" s="5">
        <v>5.555555555555555E-6</v>
      </c>
      <c r="D250">
        <v>3.5</v>
      </c>
      <c r="E250">
        <v>3</v>
      </c>
      <c r="F250">
        <v>1</v>
      </c>
      <c r="G250" s="5">
        <v>2.3148148148148148E-6</v>
      </c>
      <c r="H250" s="5">
        <v>2.6273148148148148E-5</v>
      </c>
      <c r="I250" s="5">
        <v>4.5112268518518513E-3</v>
      </c>
      <c r="J250" s="5">
        <v>2.3148148148148148E-6</v>
      </c>
      <c r="P250" s="1"/>
    </row>
    <row r="251" spans="1:16" x14ac:dyDescent="0.25">
      <c r="A251">
        <f ca="1">IF(_34445073613[[#This Row],[instance]]&lt;OFFSET(_34445073613[[#This Row],[instance]],-1,0), OFFSET(_34445073613[[#This Row],[model]],-1,0)+1, OFFSET(_34445073613[[#This Row],[model]],-1,0))</f>
        <v>2</v>
      </c>
      <c r="B251">
        <v>10</v>
      </c>
      <c r="C251" s="5">
        <v>5.555555555555555E-6</v>
      </c>
      <c r="D251">
        <v>4.25</v>
      </c>
      <c r="E251">
        <v>4</v>
      </c>
      <c r="F251">
        <v>1</v>
      </c>
      <c r="G251" s="5">
        <v>2.3148148148148148E-6</v>
      </c>
      <c r="H251" s="5">
        <v>2.6273148148148148E-5</v>
      </c>
      <c r="I251" s="5">
        <v>4.5112268518518513E-3</v>
      </c>
      <c r="J251" s="5">
        <v>2.3148148148148148E-6</v>
      </c>
      <c r="P251" s="1"/>
    </row>
    <row r="252" spans="1:16" x14ac:dyDescent="0.25">
      <c r="A252">
        <f ca="1">IF(_34445073613[[#This Row],[instance]]&lt;OFFSET(_34445073613[[#This Row],[instance]],-1,0), OFFSET(_34445073613[[#This Row],[model]],-1,0)+1, OFFSET(_34445073613[[#This Row],[model]],-1,0))</f>
        <v>2</v>
      </c>
      <c r="B252">
        <v>10</v>
      </c>
      <c r="C252" s="5">
        <v>1.0532407407407406E-5</v>
      </c>
      <c r="D252">
        <v>4.625</v>
      </c>
      <c r="E252">
        <v>5</v>
      </c>
      <c r="F252">
        <v>2</v>
      </c>
      <c r="G252" s="5">
        <v>2.3148148148148148E-6</v>
      </c>
      <c r="H252" s="5">
        <v>2.6273148148148148E-5</v>
      </c>
      <c r="I252" s="5">
        <v>4.5112268518518513E-3</v>
      </c>
      <c r="J252" s="5">
        <v>2.3148148148148148E-6</v>
      </c>
      <c r="P252" s="1"/>
    </row>
    <row r="253" spans="1:16" x14ac:dyDescent="0.25">
      <c r="A253">
        <f ca="1">IF(_34445073613[[#This Row],[instance]]&lt;OFFSET(_34445073613[[#This Row],[instance]],-1,0), OFFSET(_34445073613[[#This Row],[model]],-1,0)+1, OFFSET(_34445073613[[#This Row],[model]],-1,0))</f>
        <v>2</v>
      </c>
      <c r="B253">
        <v>10</v>
      </c>
      <c r="C253" s="5">
        <v>2.9050925925925926E-5</v>
      </c>
      <c r="D253">
        <v>5</v>
      </c>
      <c r="E253">
        <v>6</v>
      </c>
      <c r="F253">
        <v>3</v>
      </c>
      <c r="G253" s="5">
        <v>2.3148148148148148E-6</v>
      </c>
      <c r="H253" s="5">
        <v>2.6273148148148148E-5</v>
      </c>
      <c r="I253" s="5">
        <v>4.5112268518518513E-3</v>
      </c>
      <c r="J253" s="5">
        <v>2.3148148148148148E-6</v>
      </c>
      <c r="P253" s="1"/>
    </row>
    <row r="254" spans="1:16" x14ac:dyDescent="0.25">
      <c r="A254">
        <f ca="1">IF(_34445073613[[#This Row],[instance]]&lt;OFFSET(_34445073613[[#This Row],[instance]],-1,0), OFFSET(_34445073613[[#This Row],[model]],-1,0)+1, OFFSET(_34445073613[[#This Row],[model]],-1,0))</f>
        <v>2</v>
      </c>
      <c r="B254">
        <v>11</v>
      </c>
      <c r="C254" s="5">
        <v>5.6712962962962959E-6</v>
      </c>
      <c r="D254">
        <v>0</v>
      </c>
      <c r="E254">
        <v>0</v>
      </c>
      <c r="F254">
        <v>0</v>
      </c>
      <c r="G254" s="5">
        <v>2.3148148148148148E-6</v>
      </c>
      <c r="H254" s="5">
        <v>2.4711805555555555E-3</v>
      </c>
      <c r="I254" s="5">
        <v>4.5112268518518513E-3</v>
      </c>
      <c r="J254" s="5">
        <v>2.3148148148148148E-6</v>
      </c>
      <c r="P254" s="1"/>
    </row>
    <row r="255" spans="1:16" x14ac:dyDescent="0.25">
      <c r="A255">
        <f ca="1">IF(_34445073613[[#This Row],[instance]]&lt;OFFSET(_34445073613[[#This Row],[instance]],-1,0), OFFSET(_34445073613[[#This Row],[model]],-1,0)+1, OFFSET(_34445073613[[#This Row],[model]],-1,0))</f>
        <v>2</v>
      </c>
      <c r="B255">
        <v>11</v>
      </c>
      <c r="C255" s="5">
        <v>5.6712962962962959E-6</v>
      </c>
      <c r="D255">
        <v>1.5</v>
      </c>
      <c r="E255">
        <v>1</v>
      </c>
      <c r="F255">
        <v>1</v>
      </c>
      <c r="G255" s="5">
        <v>2.3148148148148148E-6</v>
      </c>
      <c r="H255" s="5">
        <v>2.4711805555555555E-3</v>
      </c>
      <c r="I255" s="5">
        <v>4.5112268518518513E-3</v>
      </c>
      <c r="J255" s="5">
        <v>2.3148148148148148E-6</v>
      </c>
      <c r="P255" s="1"/>
    </row>
    <row r="256" spans="1:16" x14ac:dyDescent="0.25">
      <c r="A256">
        <f ca="1">IF(_34445073613[[#This Row],[instance]]&lt;OFFSET(_34445073613[[#This Row],[instance]],-1,0), OFFSET(_34445073613[[#This Row],[model]],-1,0)+1, OFFSET(_34445073613[[#This Row],[model]],-1,0))</f>
        <v>2</v>
      </c>
      <c r="B256">
        <v>11</v>
      </c>
      <c r="C256" s="5">
        <v>5.9027777777777776E-6</v>
      </c>
      <c r="D256">
        <v>7.5</v>
      </c>
      <c r="E256">
        <v>3</v>
      </c>
      <c r="F256">
        <v>1</v>
      </c>
      <c r="G256" s="5">
        <v>2.3148148148148148E-6</v>
      </c>
      <c r="H256" s="5">
        <v>2.4711805555555555E-3</v>
      </c>
      <c r="I256" s="5">
        <v>4.5112268518518513E-3</v>
      </c>
      <c r="J256" s="5">
        <v>2.3148148148148148E-6</v>
      </c>
      <c r="P256" s="1"/>
    </row>
    <row r="257" spans="1:16" x14ac:dyDescent="0.25">
      <c r="A257">
        <f ca="1">IF(_34445073613[[#This Row],[instance]]&lt;OFFSET(_34445073613[[#This Row],[instance]],-1,0), OFFSET(_34445073613[[#This Row],[model]],-1,0)+1, OFFSET(_34445073613[[#This Row],[model]],-1,0))</f>
        <v>2</v>
      </c>
      <c r="B257">
        <v>11</v>
      </c>
      <c r="C257" s="5">
        <v>5.9027777777777776E-6</v>
      </c>
      <c r="D257">
        <v>9</v>
      </c>
      <c r="E257">
        <v>3</v>
      </c>
      <c r="F257">
        <v>1</v>
      </c>
      <c r="G257" s="5">
        <v>2.3148148148148148E-6</v>
      </c>
      <c r="H257" s="5">
        <v>2.4711805555555555E-3</v>
      </c>
      <c r="I257" s="5">
        <v>4.5112268518518513E-3</v>
      </c>
      <c r="J257" s="5">
        <v>2.3148148148148148E-6</v>
      </c>
      <c r="P257" s="1"/>
    </row>
    <row r="258" spans="1:16" x14ac:dyDescent="0.25">
      <c r="A258">
        <f ca="1">IF(_34445073613[[#This Row],[instance]]&lt;OFFSET(_34445073613[[#This Row],[instance]],-1,0), OFFSET(_34445073613[[#This Row],[model]],-1,0)+1, OFFSET(_34445073613[[#This Row],[model]],-1,0))</f>
        <v>2</v>
      </c>
      <c r="B258">
        <v>11</v>
      </c>
      <c r="C258" s="5">
        <v>6.0185185185185185E-6</v>
      </c>
      <c r="D258">
        <v>10.5</v>
      </c>
      <c r="E258">
        <v>4</v>
      </c>
      <c r="F258">
        <v>1</v>
      </c>
      <c r="G258" s="5">
        <v>2.3148148148148148E-6</v>
      </c>
      <c r="H258" s="5">
        <v>2.4711805555555555E-3</v>
      </c>
      <c r="I258" s="5">
        <v>4.5112268518518513E-3</v>
      </c>
      <c r="J258" s="5">
        <v>2.3148148148148148E-6</v>
      </c>
      <c r="P258" s="1"/>
    </row>
    <row r="259" spans="1:16" x14ac:dyDescent="0.25">
      <c r="A259">
        <f ca="1">IF(_34445073613[[#This Row],[instance]]&lt;OFFSET(_34445073613[[#This Row],[instance]],-1,0), OFFSET(_34445073613[[#This Row],[model]],-1,0)+1, OFFSET(_34445073613[[#This Row],[model]],-1,0))</f>
        <v>2</v>
      </c>
      <c r="B259">
        <v>11</v>
      </c>
      <c r="C259" s="5">
        <v>2.3379629629629627E-5</v>
      </c>
      <c r="D259">
        <v>12</v>
      </c>
      <c r="E259">
        <v>5</v>
      </c>
      <c r="F259">
        <v>2</v>
      </c>
      <c r="G259" s="5">
        <v>2.3148148148148148E-6</v>
      </c>
      <c r="H259" s="5">
        <v>2.4711805555555555E-3</v>
      </c>
      <c r="I259" s="5">
        <v>4.5112268518518513E-3</v>
      </c>
      <c r="J259" s="5">
        <v>2.3148148148148148E-6</v>
      </c>
      <c r="P259" s="1"/>
    </row>
    <row r="260" spans="1:16" x14ac:dyDescent="0.25">
      <c r="A260">
        <f ca="1">IF(_34445073613[[#This Row],[instance]]&lt;OFFSET(_34445073613[[#This Row],[instance]],-1,0), OFFSET(_34445073613[[#This Row],[model]],-1,0)+1, OFFSET(_34445073613[[#This Row],[model]],-1,0))</f>
        <v>2</v>
      </c>
      <c r="B260">
        <v>11</v>
      </c>
      <c r="C260" s="5">
        <v>2.1829861111111112E-3</v>
      </c>
      <c r="D260">
        <v>12.75</v>
      </c>
      <c r="E260">
        <v>7</v>
      </c>
      <c r="F260">
        <v>2</v>
      </c>
      <c r="G260" s="5">
        <v>2.3148148148148148E-6</v>
      </c>
      <c r="H260" s="5">
        <v>2.4711805555555555E-3</v>
      </c>
      <c r="I260" s="5">
        <v>4.5112268518518513E-3</v>
      </c>
      <c r="J260" s="5">
        <v>2.3148148148148148E-6</v>
      </c>
      <c r="P260" s="1"/>
    </row>
    <row r="261" spans="1:16" x14ac:dyDescent="0.25">
      <c r="A261">
        <f ca="1">IF(_34445073613[[#This Row],[instance]]&lt;OFFSET(_34445073613[[#This Row],[instance]],-1,0), OFFSET(_34445073613[[#This Row],[model]],-1,0)+1, OFFSET(_34445073613[[#This Row],[model]],-1,0))</f>
        <v>2</v>
      </c>
      <c r="B261">
        <v>11</v>
      </c>
      <c r="C261" s="5">
        <v>2.1829861111111112E-3</v>
      </c>
      <c r="D261">
        <v>13.5</v>
      </c>
      <c r="E261">
        <v>6</v>
      </c>
      <c r="F261">
        <v>3</v>
      </c>
      <c r="G261" s="5">
        <v>2.3148148148148148E-6</v>
      </c>
      <c r="H261" s="5">
        <v>2.4711805555555555E-3</v>
      </c>
      <c r="I261" s="5">
        <v>4.5112268518518513E-3</v>
      </c>
      <c r="J261" s="5">
        <v>2.3148148148148148E-6</v>
      </c>
      <c r="P261" s="1"/>
    </row>
    <row r="262" spans="1:16" x14ac:dyDescent="0.25">
      <c r="A262">
        <f ca="1">IF(_34445073613[[#This Row],[instance]]&lt;OFFSET(_34445073613[[#This Row],[instance]],-1,0), OFFSET(_34445073613[[#This Row],[model]],-1,0)+1, OFFSET(_34445073613[[#This Row],[model]],-1,0))</f>
        <v>2</v>
      </c>
      <c r="B262">
        <v>11</v>
      </c>
      <c r="C262" s="5">
        <v>2.2412037037037036E-3</v>
      </c>
      <c r="D262">
        <v>14.25</v>
      </c>
      <c r="E262">
        <v>7</v>
      </c>
      <c r="F262">
        <v>2</v>
      </c>
      <c r="G262" s="5">
        <v>2.3148148148148148E-6</v>
      </c>
      <c r="H262" s="5">
        <v>2.4711805555555555E-3</v>
      </c>
      <c r="I262" s="5">
        <v>4.5112268518518513E-3</v>
      </c>
      <c r="J262" s="5">
        <v>2.3148148148148148E-6</v>
      </c>
      <c r="P262" s="1"/>
    </row>
    <row r="263" spans="1:16" x14ac:dyDescent="0.25">
      <c r="A263">
        <f ca="1">IF(_34445073613[[#This Row],[instance]]&lt;OFFSET(_34445073613[[#This Row],[instance]],-1,0), OFFSET(_34445073613[[#This Row],[model]],-1,0)+1, OFFSET(_34445073613[[#This Row],[model]],-1,0))</f>
        <v>2</v>
      </c>
      <c r="B263">
        <v>11</v>
      </c>
      <c r="C263" s="5">
        <v>2.2412037037037036E-3</v>
      </c>
      <c r="D263">
        <v>15</v>
      </c>
      <c r="E263">
        <v>8</v>
      </c>
      <c r="F263">
        <v>2</v>
      </c>
      <c r="G263" s="5">
        <v>2.3148148148148148E-6</v>
      </c>
      <c r="H263" s="5">
        <v>2.4711805555555555E-3</v>
      </c>
      <c r="I263" s="5">
        <v>4.5112268518518513E-3</v>
      </c>
      <c r="J263" s="5">
        <v>2.3148148148148148E-6</v>
      </c>
      <c r="P263" s="1"/>
    </row>
    <row r="264" spans="1:16" x14ac:dyDescent="0.25">
      <c r="A264">
        <f ca="1">IF(_34445073613[[#This Row],[instance]]&lt;OFFSET(_34445073613[[#This Row],[instance]],-1,0), OFFSET(_34445073613[[#This Row],[model]],-1,0)+1, OFFSET(_34445073613[[#This Row],[model]],-1,0))</f>
        <v>2</v>
      </c>
      <c r="B264">
        <v>11</v>
      </c>
      <c r="C264" s="5">
        <v>2.2945601851851851E-3</v>
      </c>
      <c r="D264">
        <v>15.75</v>
      </c>
      <c r="E264">
        <v>8</v>
      </c>
      <c r="F264">
        <v>2</v>
      </c>
      <c r="G264" s="5">
        <v>2.3148148148148148E-6</v>
      </c>
      <c r="H264" s="5">
        <v>2.4711805555555555E-3</v>
      </c>
      <c r="I264" s="5">
        <v>4.5112268518518513E-3</v>
      </c>
      <c r="J264" s="5">
        <v>2.3148148148148148E-6</v>
      </c>
      <c r="P264" s="1"/>
    </row>
    <row r="265" spans="1:16" x14ac:dyDescent="0.25">
      <c r="A265">
        <f ca="1">IF(_34445073613[[#This Row],[instance]]&lt;OFFSET(_34445073613[[#This Row],[instance]],-1,0), OFFSET(_34445073613[[#This Row],[model]],-1,0)+1, OFFSET(_34445073613[[#This Row],[model]],-1,0))</f>
        <v>2</v>
      </c>
      <c r="B265">
        <v>11</v>
      </c>
      <c r="C265" s="5">
        <v>2.2976851851851852E-3</v>
      </c>
      <c r="D265">
        <v>16.5</v>
      </c>
      <c r="E265">
        <v>9</v>
      </c>
      <c r="F265">
        <v>2</v>
      </c>
      <c r="G265" s="5">
        <v>2.3148148148148148E-6</v>
      </c>
      <c r="H265" s="5">
        <v>2.4711805555555555E-3</v>
      </c>
      <c r="I265" s="5">
        <v>4.5112268518518513E-3</v>
      </c>
      <c r="J265" s="5">
        <v>2.3148148148148148E-6</v>
      </c>
      <c r="P265" s="1"/>
    </row>
    <row r="266" spans="1:16" x14ac:dyDescent="0.25">
      <c r="A266">
        <f ca="1">IF(_34445073613[[#This Row],[instance]]&lt;OFFSET(_34445073613[[#This Row],[instance]],-1,0), OFFSET(_34445073613[[#This Row],[model]],-1,0)+1, OFFSET(_34445073613[[#This Row],[model]],-1,0))</f>
        <v>2</v>
      </c>
      <c r="B266">
        <v>11</v>
      </c>
      <c r="C266" s="5">
        <v>2.2976851851851852E-3</v>
      </c>
      <c r="D266">
        <v>16.875</v>
      </c>
      <c r="E266">
        <v>10</v>
      </c>
      <c r="F266">
        <v>4</v>
      </c>
      <c r="G266" s="5">
        <v>2.3148148148148148E-6</v>
      </c>
      <c r="H266" s="5">
        <v>2.4711805555555555E-3</v>
      </c>
      <c r="I266" s="5">
        <v>4.5112268518518513E-3</v>
      </c>
      <c r="J266" s="5">
        <v>2.3148148148148148E-6</v>
      </c>
      <c r="P266" s="1"/>
    </row>
    <row r="267" spans="1:16" x14ac:dyDescent="0.25">
      <c r="A267">
        <f ca="1">IF(_34445073613[[#This Row],[instance]]&lt;OFFSET(_34445073613[[#This Row],[instance]],-1,0), OFFSET(_34445073613[[#This Row],[model]],-1,0)+1, OFFSET(_34445073613[[#This Row],[model]],-1,0))</f>
        <v>2</v>
      </c>
      <c r="B267">
        <v>11</v>
      </c>
      <c r="C267" s="5">
        <v>2.4555555555555554E-3</v>
      </c>
      <c r="D267">
        <v>16.875</v>
      </c>
      <c r="E267">
        <v>10</v>
      </c>
      <c r="F267">
        <v>2</v>
      </c>
      <c r="G267" s="5">
        <v>2.3148148148148148E-6</v>
      </c>
      <c r="H267" s="5">
        <v>2.4711805555555555E-3</v>
      </c>
      <c r="I267" s="5">
        <v>4.5112268518518513E-3</v>
      </c>
      <c r="J267" s="5">
        <v>2.3148148148148148E-6</v>
      </c>
      <c r="P267" s="1"/>
    </row>
    <row r="268" spans="1:16" x14ac:dyDescent="0.25">
      <c r="A268">
        <f ca="1">IF(_34445073613[[#This Row],[instance]]&lt;OFFSET(_34445073613[[#This Row],[instance]],-1,0), OFFSET(_34445073613[[#This Row],[model]],-1,0)+1, OFFSET(_34445073613[[#This Row],[model]],-1,0))</f>
        <v>2</v>
      </c>
      <c r="B268">
        <v>11</v>
      </c>
      <c r="C268" s="5">
        <v>2.4739583333333332E-3</v>
      </c>
      <c r="D268">
        <v>17.25</v>
      </c>
      <c r="E268">
        <v>11</v>
      </c>
      <c r="F268">
        <v>3</v>
      </c>
      <c r="G268" s="5">
        <v>2.3148148148148148E-6</v>
      </c>
      <c r="H268" s="5">
        <v>2.4711805555555555E-3</v>
      </c>
      <c r="I268" s="5">
        <v>4.5112268518518513E-3</v>
      </c>
      <c r="J268" s="5">
        <v>2.3148148148148148E-6</v>
      </c>
      <c r="P268" s="1"/>
    </row>
    <row r="269" spans="1:16" x14ac:dyDescent="0.25">
      <c r="A269">
        <f ca="1">IF(_34445073613[[#This Row],[instance]]&lt;OFFSET(_34445073613[[#This Row],[instance]],-1,0), OFFSET(_34445073613[[#This Row],[model]],-1,0)+1, OFFSET(_34445073613[[#This Row],[model]],-1,0))</f>
        <v>2</v>
      </c>
      <c r="B269">
        <v>11</v>
      </c>
      <c r="C269" s="5">
        <v>2.4739583333333332E-3</v>
      </c>
      <c r="D269">
        <v>17.25</v>
      </c>
      <c r="E269">
        <v>11</v>
      </c>
      <c r="F269">
        <v>2</v>
      </c>
      <c r="G269" s="5">
        <v>2.3148148148148148E-6</v>
      </c>
      <c r="H269" s="5">
        <v>2.4711805555555555E-3</v>
      </c>
      <c r="I269" s="5">
        <v>4.5112268518518513E-3</v>
      </c>
      <c r="J269" s="5">
        <v>2.3148148148148148E-6</v>
      </c>
      <c r="P269" s="1"/>
    </row>
    <row r="270" spans="1:16" x14ac:dyDescent="0.25">
      <c r="A270">
        <f ca="1">IF(_34445073613[[#This Row],[instance]]&lt;OFFSET(_34445073613[[#This Row],[instance]],-1,0), OFFSET(_34445073613[[#This Row],[model]],-1,0)+1, OFFSET(_34445073613[[#This Row],[model]],-1,0))</f>
        <v>2</v>
      </c>
      <c r="B270">
        <v>11</v>
      </c>
      <c r="C270" s="5">
        <v>2.4740740740740738E-3</v>
      </c>
      <c r="D270">
        <v>17.625</v>
      </c>
      <c r="E270">
        <v>12</v>
      </c>
      <c r="F270">
        <v>2</v>
      </c>
      <c r="G270" s="5">
        <v>2.3148148148148148E-6</v>
      </c>
      <c r="H270" s="5">
        <v>2.4711805555555555E-3</v>
      </c>
      <c r="I270" s="5">
        <v>4.5112268518518513E-3</v>
      </c>
      <c r="J270" s="5">
        <v>2.3148148148148148E-6</v>
      </c>
      <c r="P270" s="1"/>
    </row>
    <row r="271" spans="1:16" x14ac:dyDescent="0.25">
      <c r="A271">
        <f ca="1">IF(_34445073613[[#This Row],[instance]]&lt;OFFSET(_34445073613[[#This Row],[instance]],-1,0), OFFSET(_34445073613[[#This Row],[model]],-1,0)+1, OFFSET(_34445073613[[#This Row],[model]],-1,0))</f>
        <v>2</v>
      </c>
      <c r="B271">
        <v>12</v>
      </c>
      <c r="C271" s="5">
        <v>5.6712962962962959E-6</v>
      </c>
      <c r="D271">
        <v>0</v>
      </c>
      <c r="E271">
        <v>0</v>
      </c>
      <c r="F271">
        <v>0</v>
      </c>
      <c r="G271" s="5">
        <v>2.4305555555555552E-6</v>
      </c>
      <c r="H271" s="5">
        <v>6.9446759259259253E-3</v>
      </c>
      <c r="I271" s="5">
        <v>4.5112268518518513E-3</v>
      </c>
      <c r="J271" s="5">
        <v>2.3148148148148148E-6</v>
      </c>
      <c r="P271" s="1"/>
    </row>
    <row r="272" spans="1:16" x14ac:dyDescent="0.25">
      <c r="A272">
        <f ca="1">IF(_34445073613[[#This Row],[instance]]&lt;OFFSET(_34445073613[[#This Row],[instance]],-1,0), OFFSET(_34445073613[[#This Row],[model]],-1,0)+1, OFFSET(_34445073613[[#This Row],[model]],-1,0))</f>
        <v>2</v>
      </c>
      <c r="B272">
        <v>12</v>
      </c>
      <c r="C272" s="5">
        <v>5.6712962962962959E-6</v>
      </c>
      <c r="D272">
        <v>3</v>
      </c>
      <c r="E272">
        <v>1</v>
      </c>
      <c r="F272">
        <v>1</v>
      </c>
      <c r="G272" s="5">
        <v>2.4305555555555552E-6</v>
      </c>
      <c r="H272" s="5">
        <v>6.9446759259259253E-3</v>
      </c>
      <c r="I272" s="5">
        <v>4.5112268518518513E-3</v>
      </c>
      <c r="J272" s="5">
        <v>2.3148148148148148E-6</v>
      </c>
      <c r="P272" s="1"/>
    </row>
    <row r="273" spans="1:16" x14ac:dyDescent="0.25">
      <c r="A273">
        <f ca="1">IF(_34445073613[[#This Row],[instance]]&lt;OFFSET(_34445073613[[#This Row],[instance]],-1,0), OFFSET(_34445073613[[#This Row],[model]],-1,0)+1, OFFSET(_34445073613[[#This Row],[model]],-1,0))</f>
        <v>2</v>
      </c>
      <c r="B273">
        <v>12</v>
      </c>
      <c r="C273" s="5">
        <v>5.6712962962962959E-6</v>
      </c>
      <c r="D273">
        <v>6</v>
      </c>
      <c r="E273">
        <v>2</v>
      </c>
      <c r="F273">
        <v>2</v>
      </c>
      <c r="G273" s="5">
        <v>2.4305555555555552E-6</v>
      </c>
      <c r="H273" s="5">
        <v>6.9446759259259253E-3</v>
      </c>
      <c r="I273" s="5">
        <v>4.5112268518518513E-3</v>
      </c>
      <c r="J273" s="5">
        <v>2.3148148148148148E-6</v>
      </c>
      <c r="P273" s="1"/>
    </row>
    <row r="274" spans="1:16" x14ac:dyDescent="0.25">
      <c r="A274">
        <f ca="1">IF(_34445073613[[#This Row],[instance]]&lt;OFFSET(_34445073613[[#This Row],[instance]],-1,0), OFFSET(_34445073613[[#This Row],[model]],-1,0)+1, OFFSET(_34445073613[[#This Row],[model]],-1,0))</f>
        <v>2</v>
      </c>
      <c r="B274">
        <v>12</v>
      </c>
      <c r="C274" s="5">
        <v>5.6712962962962959E-6</v>
      </c>
      <c r="D274">
        <v>9</v>
      </c>
      <c r="E274">
        <v>3</v>
      </c>
      <c r="F274">
        <v>3</v>
      </c>
      <c r="G274" s="5">
        <v>2.4305555555555552E-6</v>
      </c>
      <c r="H274" s="5">
        <v>6.9446759259259253E-3</v>
      </c>
      <c r="I274" s="5">
        <v>4.5112268518518513E-3</v>
      </c>
      <c r="J274" s="5">
        <v>2.3148148148148148E-6</v>
      </c>
      <c r="P274" s="1"/>
    </row>
    <row r="275" spans="1:16" x14ac:dyDescent="0.25">
      <c r="A275">
        <f ca="1">IF(_34445073613[[#This Row],[instance]]&lt;OFFSET(_34445073613[[#This Row],[instance]],-1,0), OFFSET(_34445073613[[#This Row],[model]],-1,0)+1, OFFSET(_34445073613[[#This Row],[model]],-1,0))</f>
        <v>2</v>
      </c>
      <c r="B275">
        <v>12</v>
      </c>
      <c r="C275" s="5">
        <v>5.6712962962962959E-6</v>
      </c>
      <c r="D275">
        <v>12</v>
      </c>
      <c r="E275">
        <v>4</v>
      </c>
      <c r="F275">
        <v>4</v>
      </c>
      <c r="G275" s="5">
        <v>2.4305555555555552E-6</v>
      </c>
      <c r="H275" s="5">
        <v>6.9446759259259253E-3</v>
      </c>
      <c r="I275" s="5">
        <v>4.5112268518518513E-3</v>
      </c>
      <c r="J275" s="5">
        <v>2.3148148148148148E-6</v>
      </c>
      <c r="P275" s="1"/>
    </row>
    <row r="276" spans="1:16" x14ac:dyDescent="0.25">
      <c r="A276">
        <f ca="1">IF(_34445073613[[#This Row],[instance]]&lt;OFFSET(_34445073613[[#This Row],[instance]],-1,0), OFFSET(_34445073613[[#This Row],[model]],-1,0)+1, OFFSET(_34445073613[[#This Row],[model]],-1,0))</f>
        <v>2</v>
      </c>
      <c r="B276">
        <v>13</v>
      </c>
      <c r="C276" s="5">
        <v>5.6712962962962959E-6</v>
      </c>
      <c r="D276">
        <v>0</v>
      </c>
      <c r="E276">
        <v>0</v>
      </c>
      <c r="F276">
        <v>0</v>
      </c>
      <c r="G276" s="5">
        <v>2.3148148148148148E-6</v>
      </c>
      <c r="H276" s="5">
        <v>6.9446759259259253E-3</v>
      </c>
      <c r="I276" s="5">
        <v>4.5112268518518513E-3</v>
      </c>
      <c r="J276" s="5">
        <v>2.3148148148148148E-6</v>
      </c>
      <c r="P276" s="1"/>
    </row>
    <row r="277" spans="1:16" x14ac:dyDescent="0.25">
      <c r="A277">
        <f ca="1">IF(_34445073613[[#This Row],[instance]]&lt;OFFSET(_34445073613[[#This Row],[instance]],-1,0), OFFSET(_34445073613[[#This Row],[model]],-1,0)+1, OFFSET(_34445073613[[#This Row],[model]],-1,0))</f>
        <v>2</v>
      </c>
      <c r="B277">
        <v>13</v>
      </c>
      <c r="C277" s="5">
        <v>5.6712962962962959E-6</v>
      </c>
      <c r="D277">
        <v>3</v>
      </c>
      <c r="E277">
        <v>1</v>
      </c>
      <c r="F277">
        <v>1</v>
      </c>
      <c r="G277" s="5">
        <v>2.3148148148148148E-6</v>
      </c>
      <c r="H277" s="5">
        <v>6.9446759259259253E-3</v>
      </c>
      <c r="I277" s="5">
        <v>4.5112268518518513E-3</v>
      </c>
      <c r="J277" s="5">
        <v>2.3148148148148148E-6</v>
      </c>
      <c r="P277" s="1"/>
    </row>
    <row r="278" spans="1:16" x14ac:dyDescent="0.25">
      <c r="A278">
        <f ca="1">IF(_34445073613[[#This Row],[instance]]&lt;OFFSET(_34445073613[[#This Row],[instance]],-1,0), OFFSET(_34445073613[[#This Row],[model]],-1,0)+1, OFFSET(_34445073613[[#This Row],[model]],-1,0))</f>
        <v>2</v>
      </c>
      <c r="B278">
        <v>13</v>
      </c>
      <c r="C278" s="5">
        <v>5.6712962962962959E-6</v>
      </c>
      <c r="D278">
        <v>4.5</v>
      </c>
      <c r="E278">
        <v>2</v>
      </c>
      <c r="F278">
        <v>2</v>
      </c>
      <c r="G278" s="5">
        <v>2.3148148148148148E-6</v>
      </c>
      <c r="H278" s="5">
        <v>6.9446759259259253E-3</v>
      </c>
      <c r="I278" s="5">
        <v>4.5112268518518513E-3</v>
      </c>
      <c r="J278" s="5">
        <v>2.3148148148148148E-6</v>
      </c>
      <c r="P278" s="1"/>
    </row>
    <row r="279" spans="1:16" x14ac:dyDescent="0.25">
      <c r="A279">
        <f ca="1">IF(_34445073613[[#This Row],[instance]]&lt;OFFSET(_34445073613[[#This Row],[instance]],-1,0), OFFSET(_34445073613[[#This Row],[model]],-1,0)+1, OFFSET(_34445073613[[#This Row],[model]],-1,0))</f>
        <v>2</v>
      </c>
      <c r="B279">
        <v>13</v>
      </c>
      <c r="C279" s="5">
        <v>5.7870370370370367E-6</v>
      </c>
      <c r="D279">
        <v>6</v>
      </c>
      <c r="E279">
        <v>2</v>
      </c>
      <c r="F279">
        <v>2</v>
      </c>
      <c r="G279" s="5">
        <v>2.3148148148148148E-6</v>
      </c>
      <c r="H279" s="5">
        <v>6.9446759259259253E-3</v>
      </c>
      <c r="I279" s="5">
        <v>4.5112268518518513E-3</v>
      </c>
      <c r="J279" s="5">
        <v>2.3148148148148148E-6</v>
      </c>
      <c r="P279" s="1"/>
    </row>
    <row r="280" spans="1:16" x14ac:dyDescent="0.25">
      <c r="A280">
        <f ca="1">IF(_34445073613[[#This Row],[instance]]&lt;OFFSET(_34445073613[[#This Row],[instance]],-1,0), OFFSET(_34445073613[[#This Row],[model]],-1,0)+1, OFFSET(_34445073613[[#This Row],[model]],-1,0))</f>
        <v>2</v>
      </c>
      <c r="B280">
        <v>13</v>
      </c>
      <c r="C280" s="5">
        <v>5.7870370370370367E-6</v>
      </c>
      <c r="D280">
        <v>7.5</v>
      </c>
      <c r="E280">
        <v>3</v>
      </c>
      <c r="F280">
        <v>3</v>
      </c>
      <c r="G280" s="5">
        <v>2.3148148148148148E-6</v>
      </c>
      <c r="H280" s="5">
        <v>6.9446759259259253E-3</v>
      </c>
      <c r="I280" s="5">
        <v>4.5112268518518513E-3</v>
      </c>
      <c r="J280" s="5">
        <v>2.3148148148148148E-6</v>
      </c>
      <c r="P280" s="1"/>
    </row>
    <row r="281" spans="1:16" x14ac:dyDescent="0.25">
      <c r="A281">
        <f ca="1">IF(_34445073613[[#This Row],[instance]]&lt;OFFSET(_34445073613[[#This Row],[instance]],-1,0), OFFSET(_34445073613[[#This Row],[model]],-1,0)+1, OFFSET(_34445073613[[#This Row],[model]],-1,0))</f>
        <v>2</v>
      </c>
      <c r="B281">
        <v>13</v>
      </c>
      <c r="C281" s="5">
        <v>7.8703703703703702E-6</v>
      </c>
      <c r="D281">
        <v>9</v>
      </c>
      <c r="E281">
        <v>4</v>
      </c>
      <c r="F281">
        <v>3</v>
      </c>
      <c r="G281" s="5">
        <v>2.3148148148148148E-6</v>
      </c>
      <c r="H281" s="5">
        <v>6.9446759259259253E-3</v>
      </c>
      <c r="I281" s="5">
        <v>4.5112268518518513E-3</v>
      </c>
      <c r="J281" s="5">
        <v>2.3148148148148148E-6</v>
      </c>
    </row>
    <row r="282" spans="1:16" x14ac:dyDescent="0.25">
      <c r="A282">
        <f ca="1">IF(_34445073613[[#This Row],[instance]]&lt;OFFSET(_34445073613[[#This Row],[instance]],-1,0), OFFSET(_34445073613[[#This Row],[model]],-1,0)+1, OFFSET(_34445073613[[#This Row],[model]],-1,0))</f>
        <v>2</v>
      </c>
      <c r="B282">
        <v>13</v>
      </c>
      <c r="C282" s="5">
        <v>1.0648148148148148E-5</v>
      </c>
      <c r="D282">
        <v>10.5</v>
      </c>
      <c r="E282">
        <v>5</v>
      </c>
      <c r="F282">
        <v>4</v>
      </c>
      <c r="G282" s="5">
        <v>2.3148148148148148E-6</v>
      </c>
      <c r="H282" s="5">
        <v>6.9446759259259253E-3</v>
      </c>
      <c r="I282" s="5">
        <v>4.5112268518518513E-3</v>
      </c>
      <c r="J282" s="5">
        <v>2.3148148148148148E-6</v>
      </c>
    </row>
    <row r="283" spans="1:16" x14ac:dyDescent="0.25">
      <c r="A283">
        <f ca="1">IF(_34445073613[[#This Row],[instance]]&lt;OFFSET(_34445073613[[#This Row],[instance]],-1,0), OFFSET(_34445073613[[#This Row],[model]],-1,0)+1, OFFSET(_34445073613[[#This Row],[model]],-1,0))</f>
        <v>2</v>
      </c>
      <c r="B283">
        <v>13</v>
      </c>
      <c r="C283" s="5">
        <v>1.0648148148148148E-5</v>
      </c>
      <c r="D283">
        <v>12</v>
      </c>
      <c r="E283">
        <v>6</v>
      </c>
      <c r="F283">
        <v>4</v>
      </c>
      <c r="G283" s="5">
        <v>2.3148148148148148E-6</v>
      </c>
      <c r="H283" s="5">
        <v>6.9446759259259253E-3</v>
      </c>
      <c r="I283" s="5">
        <v>4.5112268518518513E-3</v>
      </c>
      <c r="J283" s="5">
        <v>2.3148148148148148E-6</v>
      </c>
    </row>
    <row r="284" spans="1:16" x14ac:dyDescent="0.25">
      <c r="A284">
        <f ca="1">IF(_34445073613[[#This Row],[instance]]&lt;OFFSET(_34445073613[[#This Row],[instance]],-1,0), OFFSET(_34445073613[[#This Row],[model]],-1,0)+1, OFFSET(_34445073613[[#This Row],[model]],-1,0))</f>
        <v>2</v>
      </c>
      <c r="B284">
        <v>13</v>
      </c>
      <c r="C284" s="5">
        <v>1.6782407407407408E-5</v>
      </c>
      <c r="D284">
        <v>13</v>
      </c>
      <c r="E284">
        <v>7</v>
      </c>
      <c r="F284">
        <v>4</v>
      </c>
      <c r="G284" s="5">
        <v>2.3148148148148148E-6</v>
      </c>
      <c r="H284" s="5">
        <v>6.9446759259259253E-3</v>
      </c>
      <c r="I284" s="5">
        <v>4.5112268518518513E-3</v>
      </c>
      <c r="J284" s="5">
        <v>2.3148148148148148E-6</v>
      </c>
    </row>
    <row r="285" spans="1:16" x14ac:dyDescent="0.25">
      <c r="A285">
        <f ca="1">IF(_34445073613[[#This Row],[instance]]&lt;OFFSET(_34445073613[[#This Row],[instance]],-1,0), OFFSET(_34445073613[[#This Row],[model]],-1,0)+1, OFFSET(_34445073613[[#This Row],[model]],-1,0))</f>
        <v>2</v>
      </c>
      <c r="B285">
        <v>13</v>
      </c>
      <c r="C285" s="5">
        <v>1.6782407407407408E-5</v>
      </c>
      <c r="D285">
        <v>14</v>
      </c>
      <c r="E285">
        <v>8</v>
      </c>
      <c r="F285">
        <v>4</v>
      </c>
      <c r="G285" s="5">
        <v>2.3148148148148148E-6</v>
      </c>
      <c r="H285" s="5">
        <v>6.9446759259259253E-3</v>
      </c>
      <c r="I285" s="5">
        <v>4.5112268518518513E-3</v>
      </c>
      <c r="J285" s="5">
        <v>2.3148148148148148E-6</v>
      </c>
    </row>
    <row r="286" spans="1:16" x14ac:dyDescent="0.25">
      <c r="A286">
        <f ca="1">IF(_34445073613[[#This Row],[instance]]&lt;OFFSET(_34445073613[[#This Row],[instance]],-1,0), OFFSET(_34445073613[[#This Row],[model]],-1,0)+1, OFFSET(_34445073613[[#This Row],[model]],-1,0))</f>
        <v>2</v>
      </c>
      <c r="B286">
        <v>13</v>
      </c>
      <c r="C286" s="5">
        <v>2.2337962962962963E-5</v>
      </c>
      <c r="D286">
        <v>15</v>
      </c>
      <c r="E286">
        <v>9</v>
      </c>
      <c r="F286">
        <v>4</v>
      </c>
      <c r="G286" s="5">
        <v>2.3148148148148148E-6</v>
      </c>
      <c r="H286" s="5">
        <v>6.9446759259259253E-3</v>
      </c>
      <c r="I286" s="5">
        <v>4.5112268518518513E-3</v>
      </c>
      <c r="J286" s="5">
        <v>2.3148148148148148E-6</v>
      </c>
    </row>
    <row r="287" spans="1:16" x14ac:dyDescent="0.25">
      <c r="A287">
        <f ca="1">IF(_34445073613[[#This Row],[instance]]&lt;OFFSET(_34445073613[[#This Row],[instance]],-1,0), OFFSET(_34445073613[[#This Row],[model]],-1,0)+1, OFFSET(_34445073613[[#This Row],[model]],-1,0))</f>
        <v>2</v>
      </c>
      <c r="B287">
        <v>13</v>
      </c>
      <c r="C287" s="5">
        <v>2.2337962962962963E-5</v>
      </c>
      <c r="D287">
        <v>15.375</v>
      </c>
      <c r="E287">
        <v>10</v>
      </c>
      <c r="F287">
        <v>4</v>
      </c>
      <c r="G287" s="5">
        <v>2.3148148148148148E-6</v>
      </c>
      <c r="H287" s="5">
        <v>6.9446759259259253E-3</v>
      </c>
      <c r="I287" s="5">
        <v>4.5112268518518513E-3</v>
      </c>
      <c r="J287" s="5">
        <v>2.3148148148148148E-6</v>
      </c>
    </row>
    <row r="288" spans="1:16" x14ac:dyDescent="0.25">
      <c r="A288">
        <f ca="1">IF(_34445073613[[#This Row],[instance]]&lt;OFFSET(_34445073613[[#This Row],[instance]],-1,0), OFFSET(_34445073613[[#This Row],[model]],-1,0)+1, OFFSET(_34445073613[[#This Row],[model]],-1,0))</f>
        <v>2</v>
      </c>
      <c r="B288">
        <v>13</v>
      </c>
      <c r="C288" s="5">
        <v>3.1481481481481481E-5</v>
      </c>
      <c r="D288">
        <v>15.75</v>
      </c>
      <c r="E288">
        <v>11</v>
      </c>
      <c r="F288">
        <v>4</v>
      </c>
      <c r="G288" s="5">
        <v>2.3148148148148148E-6</v>
      </c>
      <c r="H288" s="5">
        <v>6.9446759259259253E-3</v>
      </c>
      <c r="I288" s="5">
        <v>4.5112268518518513E-3</v>
      </c>
      <c r="J288" s="5">
        <v>2.3148148148148148E-6</v>
      </c>
    </row>
    <row r="289" spans="1:10" x14ac:dyDescent="0.25">
      <c r="A289">
        <f ca="1">IF(_34445073613[[#This Row],[instance]]&lt;OFFSET(_34445073613[[#This Row],[instance]],-1,0), OFFSET(_34445073613[[#This Row],[model]],-1,0)+1, OFFSET(_34445073613[[#This Row],[model]],-1,0))</f>
        <v>2</v>
      </c>
      <c r="B289">
        <v>14</v>
      </c>
      <c r="C289" s="5">
        <v>1.8055555555555555E-5</v>
      </c>
      <c r="D289">
        <v>0</v>
      </c>
      <c r="E289">
        <v>0</v>
      </c>
      <c r="F289">
        <v>0</v>
      </c>
      <c r="G289" s="5">
        <v>2.3148148148148148E-6</v>
      </c>
      <c r="H289" s="5">
        <v>6.9444444444444441E-3</v>
      </c>
      <c r="I289" s="5">
        <v>4.5112268518518513E-3</v>
      </c>
      <c r="J289" s="5">
        <v>2.3148148148148148E-6</v>
      </c>
    </row>
    <row r="290" spans="1:10" x14ac:dyDescent="0.25">
      <c r="A290">
        <f ca="1">IF(_34445073613[[#This Row],[instance]]&lt;OFFSET(_34445073613[[#This Row],[instance]],-1,0), OFFSET(_34445073613[[#This Row],[model]],-1,0)+1, OFFSET(_34445073613[[#This Row],[model]],-1,0))</f>
        <v>2</v>
      </c>
      <c r="B290">
        <v>14</v>
      </c>
      <c r="C290" s="5">
        <v>1.8055555555555555E-5</v>
      </c>
      <c r="D290">
        <v>9</v>
      </c>
      <c r="E290">
        <v>3</v>
      </c>
      <c r="F290">
        <v>1</v>
      </c>
      <c r="G290" s="5">
        <v>2.3148148148148148E-6</v>
      </c>
      <c r="H290" s="5">
        <v>6.9444444444444441E-3</v>
      </c>
      <c r="I290" s="5">
        <v>4.5112268518518513E-3</v>
      </c>
      <c r="J290" s="5">
        <v>2.3148148148148148E-6</v>
      </c>
    </row>
    <row r="291" spans="1:10" x14ac:dyDescent="0.25">
      <c r="A291">
        <f ca="1">IF(_34445073613[[#This Row],[instance]]&lt;OFFSET(_34445073613[[#This Row],[instance]],-1,0), OFFSET(_34445073613[[#This Row],[model]],-1,0)+1, OFFSET(_34445073613[[#This Row],[model]],-1,0))</f>
        <v>2</v>
      </c>
      <c r="B291">
        <v>14</v>
      </c>
      <c r="C291" s="5">
        <v>1.8055555555555555E-5</v>
      </c>
      <c r="D291">
        <v>12</v>
      </c>
      <c r="E291">
        <v>4</v>
      </c>
      <c r="F291">
        <v>1</v>
      </c>
      <c r="G291" s="5">
        <v>2.3148148148148148E-6</v>
      </c>
      <c r="H291" s="5">
        <v>6.9444444444444441E-3</v>
      </c>
      <c r="I291" s="5">
        <v>4.5112268518518513E-3</v>
      </c>
      <c r="J291" s="5">
        <v>2.3148148148148148E-6</v>
      </c>
    </row>
    <row r="292" spans="1:10" x14ac:dyDescent="0.25">
      <c r="A292">
        <f ca="1">IF(_34445073613[[#This Row],[instance]]&lt;OFFSET(_34445073613[[#This Row],[instance]],-1,0), OFFSET(_34445073613[[#This Row],[model]],-1,0)+1, OFFSET(_34445073613[[#This Row],[model]],-1,0))</f>
        <v>2</v>
      </c>
      <c r="B292">
        <v>14</v>
      </c>
      <c r="C292" s="5">
        <v>8.9120370370370373E-5</v>
      </c>
      <c r="D292">
        <v>16</v>
      </c>
      <c r="E292">
        <v>6</v>
      </c>
      <c r="F292">
        <v>2</v>
      </c>
      <c r="G292" s="5">
        <v>2.3148148148148148E-6</v>
      </c>
      <c r="H292" s="5">
        <v>6.9444444444444441E-3</v>
      </c>
      <c r="I292" s="5">
        <v>4.5112268518518513E-3</v>
      </c>
      <c r="J292" s="5">
        <v>2.3148148148148148E-6</v>
      </c>
    </row>
    <row r="293" spans="1:10" x14ac:dyDescent="0.25">
      <c r="A293">
        <f ca="1">IF(_34445073613[[#This Row],[instance]]&lt;OFFSET(_34445073613[[#This Row],[instance]],-1,0), OFFSET(_34445073613[[#This Row],[model]],-1,0)+1, OFFSET(_34445073613[[#This Row],[model]],-1,0))</f>
        <v>2</v>
      </c>
      <c r="B293">
        <v>14</v>
      </c>
      <c r="C293" s="5">
        <v>8.9120370370370373E-5</v>
      </c>
      <c r="D293">
        <v>16.5</v>
      </c>
      <c r="E293">
        <v>6</v>
      </c>
      <c r="F293">
        <v>2</v>
      </c>
      <c r="G293" s="5">
        <v>2.3148148148148148E-6</v>
      </c>
      <c r="H293" s="5">
        <v>6.9444444444444441E-3</v>
      </c>
      <c r="I293" s="5">
        <v>4.5112268518518513E-3</v>
      </c>
      <c r="J293" s="5">
        <v>2.3148148148148148E-6</v>
      </c>
    </row>
    <row r="294" spans="1:10" x14ac:dyDescent="0.25">
      <c r="A294">
        <f ca="1">IF(_34445073613[[#This Row],[instance]]&lt;OFFSET(_34445073613[[#This Row],[instance]],-1,0), OFFSET(_34445073613[[#This Row],[model]],-1,0)+1, OFFSET(_34445073613[[#This Row],[model]],-1,0))</f>
        <v>2</v>
      </c>
      <c r="B294">
        <v>14</v>
      </c>
      <c r="C294" s="5">
        <v>8.9814814814814813E-5</v>
      </c>
      <c r="D294">
        <v>17.5</v>
      </c>
      <c r="E294">
        <v>7</v>
      </c>
      <c r="F294">
        <v>2</v>
      </c>
      <c r="G294" s="5">
        <v>2.3148148148148148E-6</v>
      </c>
      <c r="H294" s="5">
        <v>6.9444444444444441E-3</v>
      </c>
      <c r="I294" s="5">
        <v>4.5112268518518513E-3</v>
      </c>
      <c r="J294" s="5">
        <v>2.3148148148148148E-6</v>
      </c>
    </row>
    <row r="295" spans="1:10" x14ac:dyDescent="0.25">
      <c r="A295">
        <f ca="1">IF(_34445073613[[#This Row],[instance]]&lt;OFFSET(_34445073613[[#This Row],[instance]],-1,0), OFFSET(_34445073613[[#This Row],[model]],-1,0)+1, OFFSET(_34445073613[[#This Row],[model]],-1,0))</f>
        <v>2</v>
      </c>
      <c r="B295">
        <v>14</v>
      </c>
      <c r="C295" s="5">
        <v>8.9814814814814813E-5</v>
      </c>
      <c r="D295">
        <v>18.5</v>
      </c>
      <c r="E295">
        <v>8</v>
      </c>
      <c r="F295">
        <v>2</v>
      </c>
      <c r="G295" s="5">
        <v>2.3148148148148148E-6</v>
      </c>
      <c r="H295" s="5">
        <v>6.9444444444444441E-3</v>
      </c>
      <c r="I295" s="5">
        <v>4.5112268518518513E-3</v>
      </c>
      <c r="J295" s="5">
        <v>2.3148148148148148E-6</v>
      </c>
    </row>
    <row r="296" spans="1:10" x14ac:dyDescent="0.25">
      <c r="A296">
        <f ca="1">IF(_34445073613[[#This Row],[instance]]&lt;OFFSET(_34445073613[[#This Row],[instance]],-1,0), OFFSET(_34445073613[[#This Row],[model]],-1,0)+1, OFFSET(_34445073613[[#This Row],[model]],-1,0))</f>
        <v>2</v>
      </c>
      <c r="B296">
        <v>14</v>
      </c>
      <c r="C296" s="5">
        <v>8.9814814814814813E-5</v>
      </c>
      <c r="D296">
        <v>19.5</v>
      </c>
      <c r="E296">
        <v>9</v>
      </c>
      <c r="F296">
        <v>2</v>
      </c>
      <c r="G296" s="5">
        <v>2.3148148148148148E-6</v>
      </c>
      <c r="H296" s="5">
        <v>6.9444444444444441E-3</v>
      </c>
      <c r="I296" s="5">
        <v>4.5112268518518513E-3</v>
      </c>
      <c r="J296" s="5">
        <v>2.3148148148148148E-6</v>
      </c>
    </row>
    <row r="297" spans="1:10" x14ac:dyDescent="0.25">
      <c r="A297">
        <f ca="1">IF(_34445073613[[#This Row],[instance]]&lt;OFFSET(_34445073613[[#This Row],[instance]],-1,0), OFFSET(_34445073613[[#This Row],[model]],-1,0)+1, OFFSET(_34445073613[[#This Row],[model]],-1,0))</f>
        <v>2</v>
      </c>
      <c r="B297">
        <v>15</v>
      </c>
      <c r="C297" s="5">
        <v>5.7870370370370367E-6</v>
      </c>
      <c r="D297">
        <v>0</v>
      </c>
      <c r="E297">
        <v>0</v>
      </c>
      <c r="F297">
        <v>0</v>
      </c>
      <c r="G297" s="5">
        <v>2.4305555555555552E-6</v>
      </c>
      <c r="H297" s="5">
        <v>6.9446759259259253E-3</v>
      </c>
      <c r="I297" s="5">
        <v>4.5112268518518513E-3</v>
      </c>
      <c r="J297" s="5">
        <v>2.3148148148148148E-6</v>
      </c>
    </row>
    <row r="298" spans="1:10" x14ac:dyDescent="0.25">
      <c r="A298">
        <f ca="1">IF(_34445073613[[#This Row],[instance]]&lt;OFFSET(_34445073613[[#This Row],[instance]],-1,0), OFFSET(_34445073613[[#This Row],[model]],-1,0)+1, OFFSET(_34445073613[[#This Row],[model]],-1,0))</f>
        <v>2</v>
      </c>
      <c r="B298">
        <v>15</v>
      </c>
      <c r="C298" s="5">
        <v>5.7870370370370367E-6</v>
      </c>
      <c r="D298">
        <v>3</v>
      </c>
      <c r="E298">
        <v>1</v>
      </c>
      <c r="F298">
        <v>1</v>
      </c>
      <c r="G298" s="5">
        <v>2.4305555555555552E-6</v>
      </c>
      <c r="H298" s="5">
        <v>6.9446759259259253E-3</v>
      </c>
      <c r="I298" s="5">
        <v>4.5112268518518513E-3</v>
      </c>
      <c r="J298" s="5">
        <v>2.3148148148148148E-6</v>
      </c>
    </row>
    <row r="299" spans="1:10" x14ac:dyDescent="0.25">
      <c r="A299">
        <f ca="1">IF(_34445073613[[#This Row],[instance]]&lt;OFFSET(_34445073613[[#This Row],[instance]],-1,0), OFFSET(_34445073613[[#This Row],[model]],-1,0)+1, OFFSET(_34445073613[[#This Row],[model]],-1,0))</f>
        <v>2</v>
      </c>
      <c r="B299">
        <v>15</v>
      </c>
      <c r="C299" s="5">
        <v>5.7870370370370367E-6</v>
      </c>
      <c r="D299">
        <v>6</v>
      </c>
      <c r="E299">
        <v>2</v>
      </c>
      <c r="F299">
        <v>2</v>
      </c>
      <c r="G299" s="5">
        <v>2.4305555555555552E-6</v>
      </c>
      <c r="H299" s="5">
        <v>6.9446759259259253E-3</v>
      </c>
      <c r="I299" s="5">
        <v>4.5112268518518513E-3</v>
      </c>
      <c r="J299" s="5">
        <v>2.3148148148148148E-6</v>
      </c>
    </row>
    <row r="300" spans="1:10" x14ac:dyDescent="0.25">
      <c r="A300">
        <f ca="1">IF(_34445073613[[#This Row],[instance]]&lt;OFFSET(_34445073613[[#This Row],[instance]],-1,0), OFFSET(_34445073613[[#This Row],[model]],-1,0)+1, OFFSET(_34445073613[[#This Row],[model]],-1,0))</f>
        <v>2</v>
      </c>
      <c r="B300">
        <v>15</v>
      </c>
      <c r="C300" s="5">
        <v>5.7870370370370367E-6</v>
      </c>
      <c r="D300">
        <v>9</v>
      </c>
      <c r="E300">
        <v>3</v>
      </c>
      <c r="F300">
        <v>1</v>
      </c>
      <c r="G300" s="5">
        <v>2.4305555555555552E-6</v>
      </c>
      <c r="H300" s="5">
        <v>6.9446759259259253E-3</v>
      </c>
      <c r="I300" s="5">
        <v>4.5112268518518513E-3</v>
      </c>
      <c r="J300" s="5">
        <v>2.3148148148148148E-6</v>
      </c>
    </row>
    <row r="301" spans="1:10" x14ac:dyDescent="0.25">
      <c r="A301">
        <f ca="1">IF(_34445073613[[#This Row],[instance]]&lt;OFFSET(_34445073613[[#This Row],[instance]],-1,0), OFFSET(_34445073613[[#This Row],[model]],-1,0)+1, OFFSET(_34445073613[[#This Row],[model]],-1,0))</f>
        <v>2</v>
      </c>
      <c r="B301">
        <v>15</v>
      </c>
      <c r="C301" s="5">
        <v>5.7870370370370367E-6</v>
      </c>
      <c r="D301">
        <v>12</v>
      </c>
      <c r="E301">
        <v>4</v>
      </c>
      <c r="F301">
        <v>1</v>
      </c>
      <c r="G301" s="5">
        <v>2.4305555555555552E-6</v>
      </c>
      <c r="H301" s="5">
        <v>6.9446759259259253E-3</v>
      </c>
      <c r="I301" s="5">
        <v>4.5112268518518513E-3</v>
      </c>
      <c r="J301" s="5">
        <v>2.3148148148148148E-6</v>
      </c>
    </row>
    <row r="302" spans="1:10" x14ac:dyDescent="0.25">
      <c r="A302">
        <f ca="1">IF(_34445073613[[#This Row],[instance]]&lt;OFFSET(_34445073613[[#This Row],[instance]],-1,0), OFFSET(_34445073613[[#This Row],[model]],-1,0)+1, OFFSET(_34445073613[[#This Row],[model]],-1,0))</f>
        <v>2</v>
      </c>
      <c r="B302">
        <v>15</v>
      </c>
      <c r="C302" s="5">
        <v>6.0185185185185185E-6</v>
      </c>
      <c r="D302">
        <v>15</v>
      </c>
      <c r="E302">
        <v>5</v>
      </c>
      <c r="F302">
        <v>2</v>
      </c>
      <c r="G302" s="5">
        <v>2.4305555555555552E-6</v>
      </c>
      <c r="H302" s="5">
        <v>6.9446759259259253E-3</v>
      </c>
      <c r="I302" s="5">
        <v>4.5112268518518513E-3</v>
      </c>
      <c r="J302" s="5">
        <v>2.3148148148148148E-6</v>
      </c>
    </row>
    <row r="303" spans="1:10" x14ac:dyDescent="0.25">
      <c r="A303">
        <f ca="1">IF(_34445073613[[#This Row],[instance]]&lt;OFFSET(_34445073613[[#This Row],[instance]],-1,0), OFFSET(_34445073613[[#This Row],[model]],-1,0)+1, OFFSET(_34445073613[[#This Row],[model]],-1,0))</f>
        <v>2</v>
      </c>
      <c r="B303">
        <v>15</v>
      </c>
      <c r="C303" s="5">
        <v>1.8749999999999998E-5</v>
      </c>
      <c r="D303">
        <v>15</v>
      </c>
      <c r="E303">
        <v>5</v>
      </c>
      <c r="F303">
        <v>5</v>
      </c>
      <c r="G303" s="5">
        <v>2.4305555555555552E-6</v>
      </c>
      <c r="H303" s="5">
        <v>6.9446759259259253E-3</v>
      </c>
      <c r="I303" s="5">
        <v>4.5112268518518513E-3</v>
      </c>
      <c r="J303" s="5">
        <v>2.3148148148148148E-6</v>
      </c>
    </row>
    <row r="304" spans="1:10" x14ac:dyDescent="0.25">
      <c r="A304">
        <f ca="1">IF(_34445073613[[#This Row],[instance]]&lt;OFFSET(_34445073613[[#This Row],[instance]],-1,0), OFFSET(_34445073613[[#This Row],[model]],-1,0)+1, OFFSET(_34445073613[[#This Row],[model]],-1,0))</f>
        <v>2</v>
      </c>
      <c r="B304">
        <v>15</v>
      </c>
      <c r="C304" s="5">
        <v>1.8865740740740738E-5</v>
      </c>
      <c r="D304">
        <v>16.5</v>
      </c>
      <c r="E304">
        <v>7</v>
      </c>
      <c r="F304">
        <v>3</v>
      </c>
      <c r="G304" s="5">
        <v>2.4305555555555552E-6</v>
      </c>
      <c r="H304" s="5">
        <v>6.9446759259259253E-3</v>
      </c>
      <c r="I304" s="5">
        <v>4.5112268518518513E-3</v>
      </c>
      <c r="J304" s="5">
        <v>2.3148148148148148E-6</v>
      </c>
    </row>
    <row r="305" spans="1:10" x14ac:dyDescent="0.25">
      <c r="A305">
        <f ca="1">IF(_34445073613[[#This Row],[instance]]&lt;OFFSET(_34445073613[[#This Row],[instance]],-1,0), OFFSET(_34445073613[[#This Row],[model]],-1,0)+1, OFFSET(_34445073613[[#This Row],[model]],-1,0))</f>
        <v>2</v>
      </c>
      <c r="B305">
        <v>15</v>
      </c>
      <c r="C305" s="5">
        <v>1.8865740740740738E-5</v>
      </c>
      <c r="D305">
        <v>18</v>
      </c>
      <c r="E305">
        <v>8</v>
      </c>
      <c r="F305">
        <v>3</v>
      </c>
      <c r="G305" s="5">
        <v>2.4305555555555552E-6</v>
      </c>
      <c r="H305" s="5">
        <v>6.9446759259259253E-3</v>
      </c>
      <c r="I305" s="5">
        <v>4.5112268518518513E-3</v>
      </c>
      <c r="J305" s="5">
        <v>2.3148148148148148E-6</v>
      </c>
    </row>
    <row r="306" spans="1:10" x14ac:dyDescent="0.25">
      <c r="A306">
        <f ca="1">IF(_34445073613[[#This Row],[instance]]&lt;OFFSET(_34445073613[[#This Row],[instance]],-1,0), OFFSET(_34445073613[[#This Row],[model]],-1,0)+1, OFFSET(_34445073613[[#This Row],[model]],-1,0))</f>
        <v>2</v>
      </c>
      <c r="B306">
        <v>15</v>
      </c>
      <c r="C306" s="5">
        <v>1.8981481481481482E-5</v>
      </c>
      <c r="D306">
        <v>19.5</v>
      </c>
      <c r="E306">
        <v>8</v>
      </c>
      <c r="F306">
        <v>2</v>
      </c>
      <c r="G306" s="5">
        <v>2.4305555555555552E-6</v>
      </c>
      <c r="H306" s="5">
        <v>6.9446759259259253E-3</v>
      </c>
      <c r="I306" s="5">
        <v>4.5112268518518513E-3</v>
      </c>
      <c r="J306" s="5">
        <v>2.3148148148148148E-6</v>
      </c>
    </row>
    <row r="307" spans="1:10" x14ac:dyDescent="0.25">
      <c r="A307">
        <f ca="1">IF(_34445073613[[#This Row],[instance]]&lt;OFFSET(_34445073613[[#This Row],[instance]],-1,0), OFFSET(_34445073613[[#This Row],[model]],-1,0)+1, OFFSET(_34445073613[[#This Row],[model]],-1,0))</f>
        <v>2</v>
      </c>
      <c r="B307">
        <v>15</v>
      </c>
      <c r="C307" s="5">
        <v>1.9097222222222222E-5</v>
      </c>
      <c r="D307">
        <v>19.875</v>
      </c>
      <c r="E307">
        <v>9</v>
      </c>
      <c r="F307">
        <v>2</v>
      </c>
      <c r="G307" s="5">
        <v>2.4305555555555552E-6</v>
      </c>
      <c r="H307" s="5">
        <v>6.9446759259259253E-3</v>
      </c>
      <c r="I307" s="5">
        <v>4.5112268518518513E-3</v>
      </c>
      <c r="J307" s="5">
        <v>2.3148148148148148E-6</v>
      </c>
    </row>
    <row r="308" spans="1:10" x14ac:dyDescent="0.25">
      <c r="A308">
        <f ca="1">IF(_34445073613[[#This Row],[instance]]&lt;OFFSET(_34445073613[[#This Row],[instance]],-1,0), OFFSET(_34445073613[[#This Row],[model]],-1,0)+1, OFFSET(_34445073613[[#This Row],[model]],-1,0))</f>
        <v>2</v>
      </c>
      <c r="B308">
        <v>15</v>
      </c>
      <c r="C308" s="5">
        <v>1.9097222222222222E-5</v>
      </c>
      <c r="D308">
        <v>21</v>
      </c>
      <c r="E308">
        <v>9</v>
      </c>
      <c r="F308">
        <v>2</v>
      </c>
      <c r="G308" s="5">
        <v>2.4305555555555552E-6</v>
      </c>
      <c r="H308" s="5">
        <v>6.9446759259259253E-3</v>
      </c>
      <c r="I308" s="5">
        <v>4.5112268518518513E-3</v>
      </c>
      <c r="J308" s="5">
        <v>2.3148148148148148E-6</v>
      </c>
    </row>
    <row r="309" spans="1:10" x14ac:dyDescent="0.25">
      <c r="A309">
        <f ca="1">IF(_34445073613[[#This Row],[instance]]&lt;OFFSET(_34445073613[[#This Row],[instance]],-1,0), OFFSET(_34445073613[[#This Row],[model]],-1,0)+1, OFFSET(_34445073613[[#This Row],[model]],-1,0))</f>
        <v>2</v>
      </c>
      <c r="B309">
        <v>15</v>
      </c>
      <c r="C309" s="5">
        <v>1.9444444444444442E-5</v>
      </c>
      <c r="D309">
        <v>21.375</v>
      </c>
      <c r="E309">
        <v>10</v>
      </c>
      <c r="F309">
        <v>2</v>
      </c>
      <c r="G309" s="5">
        <v>2.4305555555555552E-6</v>
      </c>
      <c r="H309" s="5">
        <v>6.9446759259259253E-3</v>
      </c>
      <c r="I309" s="5">
        <v>4.5112268518518513E-3</v>
      </c>
      <c r="J309" s="5">
        <v>2.3148148148148148E-6</v>
      </c>
    </row>
    <row r="310" spans="1:10" x14ac:dyDescent="0.25">
      <c r="A310">
        <f ca="1">IF(_34445073613[[#This Row],[instance]]&lt;OFFSET(_34445073613[[#This Row],[instance]],-1,0), OFFSET(_34445073613[[#This Row],[model]],-1,0)+1, OFFSET(_34445073613[[#This Row],[model]],-1,0))</f>
        <v>3</v>
      </c>
      <c r="B310">
        <v>1</v>
      </c>
      <c r="C310" s="5">
        <v>5.4398148148148149E-6</v>
      </c>
      <c r="D310">
        <v>0</v>
      </c>
      <c r="E310">
        <v>0</v>
      </c>
      <c r="F310">
        <v>0</v>
      </c>
      <c r="G310" s="5">
        <v>2.1990740740740739E-6</v>
      </c>
      <c r="H310" s="5">
        <v>6.9445601851851847E-3</v>
      </c>
      <c r="I310" s="5">
        <v>6.0193287037037038E-3</v>
      </c>
      <c r="J310" s="5">
        <v>2.1990740740740739E-6</v>
      </c>
    </row>
    <row r="311" spans="1:10" x14ac:dyDescent="0.25">
      <c r="A311">
        <f ca="1">IF(_34445073613[[#This Row],[instance]]&lt;OFFSET(_34445073613[[#This Row],[instance]],-1,0), OFFSET(_34445073613[[#This Row],[model]],-1,0)+1, OFFSET(_34445073613[[#This Row],[model]],-1,0))</f>
        <v>3</v>
      </c>
      <c r="B311">
        <v>1</v>
      </c>
      <c r="C311" s="5">
        <v>5.555555555555555E-6</v>
      </c>
      <c r="D311">
        <v>3</v>
      </c>
      <c r="E311">
        <v>1</v>
      </c>
      <c r="F311">
        <v>1</v>
      </c>
      <c r="G311" s="5">
        <v>2.1990740740740739E-6</v>
      </c>
      <c r="H311" s="5">
        <v>6.9445601851851847E-3</v>
      </c>
      <c r="I311" s="5">
        <v>6.0193287037037038E-3</v>
      </c>
      <c r="J311" s="5">
        <v>2.1990740740740739E-6</v>
      </c>
    </row>
    <row r="312" spans="1:10" x14ac:dyDescent="0.25">
      <c r="A312">
        <f ca="1">IF(_34445073613[[#This Row],[instance]]&lt;OFFSET(_34445073613[[#This Row],[instance]],-1,0), OFFSET(_34445073613[[#This Row],[model]],-1,0)+1, OFFSET(_34445073613[[#This Row],[model]],-1,0))</f>
        <v>3</v>
      </c>
      <c r="B312">
        <v>1</v>
      </c>
      <c r="C312" s="5">
        <v>8.9120370370370373E-6</v>
      </c>
      <c r="D312">
        <v>6</v>
      </c>
      <c r="E312">
        <v>2</v>
      </c>
      <c r="F312">
        <v>2</v>
      </c>
      <c r="G312" s="5">
        <v>2.1990740740740739E-6</v>
      </c>
      <c r="H312" s="5">
        <v>6.9445601851851847E-3</v>
      </c>
      <c r="I312" s="5">
        <v>6.0193287037037038E-3</v>
      </c>
      <c r="J312" s="5">
        <v>2.1990740740740739E-6</v>
      </c>
    </row>
    <row r="313" spans="1:10" x14ac:dyDescent="0.25">
      <c r="A313">
        <f ca="1">IF(_34445073613[[#This Row],[instance]]&lt;OFFSET(_34445073613[[#This Row],[instance]],-1,0), OFFSET(_34445073613[[#This Row],[model]],-1,0)+1, OFFSET(_34445073613[[#This Row],[model]],-1,0))</f>
        <v>3</v>
      </c>
      <c r="B313">
        <v>2</v>
      </c>
      <c r="C313" s="5">
        <v>5.4398148148148149E-6</v>
      </c>
      <c r="D313">
        <v>0</v>
      </c>
      <c r="E313">
        <v>0</v>
      </c>
      <c r="F313">
        <v>0</v>
      </c>
      <c r="G313" s="5">
        <v>2.1990740740740739E-6</v>
      </c>
      <c r="H313" s="5">
        <v>6.9445601851851847E-3</v>
      </c>
      <c r="I313" s="5">
        <v>6.0193287037037038E-3</v>
      </c>
      <c r="J313" s="5">
        <v>2.1990740740740739E-6</v>
      </c>
    </row>
    <row r="314" spans="1:10" x14ac:dyDescent="0.25">
      <c r="A314">
        <f ca="1">IF(_34445073613[[#This Row],[instance]]&lt;OFFSET(_34445073613[[#This Row],[instance]],-1,0), OFFSET(_34445073613[[#This Row],[model]],-1,0)+1, OFFSET(_34445073613[[#This Row],[model]],-1,0))</f>
        <v>3</v>
      </c>
      <c r="B314">
        <v>2</v>
      </c>
      <c r="C314" s="5">
        <v>6.0185185185185185E-6</v>
      </c>
      <c r="D314">
        <v>7.375</v>
      </c>
      <c r="E314">
        <v>8</v>
      </c>
      <c r="F314">
        <v>1</v>
      </c>
      <c r="G314" s="5">
        <v>2.1990740740740739E-6</v>
      </c>
      <c r="H314" s="5">
        <v>6.9445601851851847E-3</v>
      </c>
      <c r="I314" s="5">
        <v>6.0193287037037038E-3</v>
      </c>
      <c r="J314" s="5">
        <v>2.1990740740740739E-6</v>
      </c>
    </row>
    <row r="315" spans="1:10" x14ac:dyDescent="0.25">
      <c r="A315">
        <f ca="1">IF(_34445073613[[#This Row],[instance]]&lt;OFFSET(_34445073613[[#This Row],[instance]],-1,0), OFFSET(_34445073613[[#This Row],[model]],-1,0)+1, OFFSET(_34445073613[[#This Row],[model]],-1,0))</f>
        <v>3</v>
      </c>
      <c r="B315">
        <v>2</v>
      </c>
      <c r="C315" s="5">
        <v>6.3657407407407403E-6</v>
      </c>
      <c r="D315">
        <v>12</v>
      </c>
      <c r="E315">
        <v>4</v>
      </c>
      <c r="F315">
        <v>1</v>
      </c>
      <c r="G315" s="5">
        <v>2.1990740740740739E-6</v>
      </c>
      <c r="H315" s="5">
        <v>6.9445601851851847E-3</v>
      </c>
      <c r="I315" s="5">
        <v>6.0193287037037038E-3</v>
      </c>
      <c r="J315" s="5">
        <v>2.1990740740740739E-6</v>
      </c>
    </row>
    <row r="316" spans="1:10" x14ac:dyDescent="0.25">
      <c r="A316">
        <f ca="1">IF(_34445073613[[#This Row],[instance]]&lt;OFFSET(_34445073613[[#This Row],[instance]],-1,0), OFFSET(_34445073613[[#This Row],[model]],-1,0)+1, OFFSET(_34445073613[[#This Row],[model]],-1,0))</f>
        <v>3</v>
      </c>
      <c r="B316">
        <v>3</v>
      </c>
      <c r="C316" s="5">
        <v>5.4398148148148149E-6</v>
      </c>
      <c r="D316">
        <v>0</v>
      </c>
      <c r="E316">
        <v>0</v>
      </c>
      <c r="F316">
        <v>0</v>
      </c>
      <c r="G316" s="5">
        <v>2.1990740740740739E-6</v>
      </c>
      <c r="H316" s="5">
        <v>6.9445601851851847E-3</v>
      </c>
      <c r="I316" s="5">
        <v>6.0193287037037038E-3</v>
      </c>
      <c r="J316" s="5">
        <v>2.1990740740740739E-6</v>
      </c>
    </row>
    <row r="317" spans="1:10" x14ac:dyDescent="0.25">
      <c r="A317">
        <f ca="1">IF(_34445073613[[#This Row],[instance]]&lt;OFFSET(_34445073613[[#This Row],[instance]],-1,0), OFFSET(_34445073613[[#This Row],[model]],-1,0)+1, OFFSET(_34445073613[[#This Row],[model]],-1,0))</f>
        <v>3</v>
      </c>
      <c r="B317">
        <v>3</v>
      </c>
      <c r="C317" s="5">
        <v>5.4398148148148149E-6</v>
      </c>
      <c r="D317">
        <v>1.125</v>
      </c>
      <c r="E317">
        <v>3</v>
      </c>
      <c r="F317">
        <v>1</v>
      </c>
      <c r="G317" s="5">
        <v>2.1990740740740739E-6</v>
      </c>
      <c r="H317" s="5">
        <v>6.9445601851851847E-3</v>
      </c>
      <c r="I317" s="5">
        <v>6.0193287037037038E-3</v>
      </c>
      <c r="J317" s="5">
        <v>2.1990740740740739E-6</v>
      </c>
    </row>
    <row r="318" spans="1:10" x14ac:dyDescent="0.25">
      <c r="A318">
        <f ca="1">IF(_34445073613[[#This Row],[instance]]&lt;OFFSET(_34445073613[[#This Row],[instance]],-1,0), OFFSET(_34445073613[[#This Row],[model]],-1,0)+1, OFFSET(_34445073613[[#This Row],[model]],-1,0))</f>
        <v>3</v>
      </c>
      <c r="B318">
        <v>3</v>
      </c>
      <c r="C318" s="5">
        <v>6.0185185185185185E-6</v>
      </c>
      <c r="D318">
        <v>4.5</v>
      </c>
      <c r="E318">
        <v>4</v>
      </c>
      <c r="F318">
        <v>1</v>
      </c>
      <c r="G318" s="5">
        <v>2.1990740740740739E-6</v>
      </c>
      <c r="H318" s="5">
        <v>6.9445601851851847E-3</v>
      </c>
      <c r="I318" s="5">
        <v>6.0193287037037038E-3</v>
      </c>
      <c r="J318" s="5">
        <v>2.1990740740740739E-6</v>
      </c>
    </row>
    <row r="319" spans="1:10" x14ac:dyDescent="0.25">
      <c r="A319">
        <f ca="1">IF(_34445073613[[#This Row],[instance]]&lt;OFFSET(_34445073613[[#This Row],[instance]],-1,0), OFFSET(_34445073613[[#This Row],[model]],-1,0)+1, OFFSET(_34445073613[[#This Row],[model]],-1,0))</f>
        <v>3</v>
      </c>
      <c r="B319">
        <v>4</v>
      </c>
      <c r="C319" s="5">
        <v>5.4398148148148149E-6</v>
      </c>
      <c r="D319">
        <v>0</v>
      </c>
      <c r="E319">
        <v>0</v>
      </c>
      <c r="F319">
        <v>0</v>
      </c>
      <c r="G319" s="5">
        <v>2.1990740740740739E-6</v>
      </c>
      <c r="H319" s="5">
        <v>6.9445601851851847E-3</v>
      </c>
      <c r="I319" s="5">
        <v>6.0193287037037038E-3</v>
      </c>
      <c r="J319" s="5">
        <v>2.1990740740740739E-6</v>
      </c>
    </row>
    <row r="320" spans="1:10" x14ac:dyDescent="0.25">
      <c r="A320">
        <f ca="1">IF(_34445073613[[#This Row],[instance]]&lt;OFFSET(_34445073613[[#This Row],[instance]],-1,0), OFFSET(_34445073613[[#This Row],[model]],-1,0)+1, OFFSET(_34445073613[[#This Row],[model]],-1,0))</f>
        <v>3</v>
      </c>
      <c r="B320">
        <v>5</v>
      </c>
      <c r="C320" s="5">
        <v>5.4398148148148149E-6</v>
      </c>
      <c r="D320">
        <v>0</v>
      </c>
      <c r="E320">
        <v>0</v>
      </c>
      <c r="F320">
        <v>0</v>
      </c>
      <c r="G320" s="5">
        <v>2.1990740740740739E-6</v>
      </c>
      <c r="H320" s="5">
        <v>6.9445601851851847E-3</v>
      </c>
      <c r="I320" s="5">
        <v>6.0193287037037038E-3</v>
      </c>
      <c r="J320" s="5">
        <v>2.1990740740740739E-6</v>
      </c>
    </row>
    <row r="321" spans="1:10" x14ac:dyDescent="0.25">
      <c r="A321">
        <f ca="1">IF(_34445073613[[#This Row],[instance]]&lt;OFFSET(_34445073613[[#This Row],[instance]],-1,0), OFFSET(_34445073613[[#This Row],[model]],-1,0)+1, OFFSET(_34445073613[[#This Row],[model]],-1,0))</f>
        <v>3</v>
      </c>
      <c r="B321">
        <v>5</v>
      </c>
      <c r="C321" s="5">
        <v>5.555555555555555E-6</v>
      </c>
      <c r="D321">
        <v>4.75</v>
      </c>
      <c r="E321">
        <v>5</v>
      </c>
      <c r="F321">
        <v>1</v>
      </c>
      <c r="G321" s="5">
        <v>2.1990740740740739E-6</v>
      </c>
      <c r="H321" s="5">
        <v>6.9445601851851847E-3</v>
      </c>
      <c r="I321" s="5">
        <v>6.0193287037037038E-3</v>
      </c>
      <c r="J321" s="5">
        <v>2.1990740740740739E-6</v>
      </c>
    </row>
    <row r="322" spans="1:10" x14ac:dyDescent="0.25">
      <c r="A322">
        <f ca="1">IF(_34445073613[[#This Row],[instance]]&lt;OFFSET(_34445073613[[#This Row],[instance]],-1,0), OFFSET(_34445073613[[#This Row],[model]],-1,0)+1, OFFSET(_34445073613[[#This Row],[model]],-1,0))</f>
        <v>3</v>
      </c>
      <c r="B322">
        <v>6</v>
      </c>
      <c r="C322" s="5">
        <v>5.4398148148148149E-6</v>
      </c>
      <c r="D322">
        <v>0</v>
      </c>
      <c r="E322">
        <v>0</v>
      </c>
      <c r="F322">
        <v>0</v>
      </c>
      <c r="G322" s="5">
        <v>2.1990740740740739E-6</v>
      </c>
      <c r="H322" s="5">
        <v>6.9445601851851847E-3</v>
      </c>
      <c r="I322" s="5">
        <v>6.0193287037037038E-3</v>
      </c>
      <c r="J322" s="5">
        <v>2.1990740740740739E-6</v>
      </c>
    </row>
    <row r="323" spans="1:10" x14ac:dyDescent="0.25">
      <c r="A323">
        <f ca="1">IF(_34445073613[[#This Row],[instance]]&lt;OFFSET(_34445073613[[#This Row],[instance]],-1,0), OFFSET(_34445073613[[#This Row],[model]],-1,0)+1, OFFSET(_34445073613[[#This Row],[model]],-1,0))</f>
        <v>3</v>
      </c>
      <c r="B323">
        <v>6</v>
      </c>
      <c r="C323" s="5">
        <v>7.9861111111111102E-6</v>
      </c>
      <c r="D323">
        <v>4.5</v>
      </c>
      <c r="E323">
        <v>5</v>
      </c>
      <c r="F323">
        <v>1</v>
      </c>
      <c r="G323" s="5">
        <v>2.1990740740740739E-6</v>
      </c>
      <c r="H323" s="5">
        <v>6.9445601851851847E-3</v>
      </c>
      <c r="I323" s="5">
        <v>6.0193287037037038E-3</v>
      </c>
      <c r="J323" s="5">
        <v>2.1990740740740739E-6</v>
      </c>
    </row>
    <row r="324" spans="1:10" x14ac:dyDescent="0.25">
      <c r="A324">
        <f ca="1">IF(_34445073613[[#This Row],[instance]]&lt;OFFSET(_34445073613[[#This Row],[instance]],-1,0), OFFSET(_34445073613[[#This Row],[model]],-1,0)+1, OFFSET(_34445073613[[#This Row],[model]],-1,0))</f>
        <v>3</v>
      </c>
      <c r="B324">
        <v>7</v>
      </c>
      <c r="C324" s="5">
        <v>5.4398148148148149E-6</v>
      </c>
      <c r="D324">
        <v>0</v>
      </c>
      <c r="E324">
        <v>0</v>
      </c>
      <c r="F324">
        <v>0</v>
      </c>
      <c r="G324" s="5">
        <v>2.1990740740740739E-6</v>
      </c>
      <c r="H324" s="5">
        <v>6.9445601851851847E-3</v>
      </c>
      <c r="I324" s="5">
        <v>6.0193287037037038E-3</v>
      </c>
      <c r="J324" s="5">
        <v>2.1990740740740739E-6</v>
      </c>
    </row>
    <row r="325" spans="1:10" x14ac:dyDescent="0.25">
      <c r="A325">
        <f ca="1">IF(_34445073613[[#This Row],[instance]]&lt;OFFSET(_34445073613[[#This Row],[instance]],-1,0), OFFSET(_34445073613[[#This Row],[model]],-1,0)+1, OFFSET(_34445073613[[#This Row],[model]],-1,0))</f>
        <v>3</v>
      </c>
      <c r="B325">
        <v>7</v>
      </c>
      <c r="C325" s="5">
        <v>5.4398148148148149E-6</v>
      </c>
      <c r="D325">
        <v>3</v>
      </c>
      <c r="E325">
        <v>1</v>
      </c>
      <c r="F325">
        <v>1</v>
      </c>
      <c r="G325" s="5">
        <v>2.1990740740740739E-6</v>
      </c>
      <c r="H325" s="5">
        <v>6.9445601851851847E-3</v>
      </c>
      <c r="I325" s="5">
        <v>6.0193287037037038E-3</v>
      </c>
      <c r="J325" s="5">
        <v>2.1990740740740739E-6</v>
      </c>
    </row>
    <row r="326" spans="1:10" x14ac:dyDescent="0.25">
      <c r="A326">
        <f ca="1">IF(_34445073613[[#This Row],[instance]]&lt;OFFSET(_34445073613[[#This Row],[instance]],-1,0), OFFSET(_34445073613[[#This Row],[model]],-1,0)+1, OFFSET(_34445073613[[#This Row],[model]],-1,0))</f>
        <v>3</v>
      </c>
      <c r="B326">
        <v>8</v>
      </c>
      <c r="C326" s="5">
        <v>5.4398148148148149E-6</v>
      </c>
      <c r="D326">
        <v>0</v>
      </c>
      <c r="E326">
        <v>0</v>
      </c>
      <c r="F326">
        <v>0</v>
      </c>
      <c r="G326" s="5">
        <v>2.1990740740740739E-6</v>
      </c>
      <c r="H326" s="5">
        <v>6.9445601851851847E-3</v>
      </c>
      <c r="I326" s="5">
        <v>6.0193287037037038E-3</v>
      </c>
      <c r="J326" s="5">
        <v>2.1990740740740739E-6</v>
      </c>
    </row>
    <row r="327" spans="1:10" x14ac:dyDescent="0.25">
      <c r="A327">
        <f ca="1">IF(_34445073613[[#This Row],[instance]]&lt;OFFSET(_34445073613[[#This Row],[instance]],-1,0), OFFSET(_34445073613[[#This Row],[model]],-1,0)+1, OFFSET(_34445073613[[#This Row],[model]],-1,0))</f>
        <v>3</v>
      </c>
      <c r="B327">
        <v>8</v>
      </c>
      <c r="C327" s="5">
        <v>1.0763888888888888E-5</v>
      </c>
      <c r="D327">
        <v>12</v>
      </c>
      <c r="E327">
        <v>4</v>
      </c>
      <c r="F327">
        <v>1</v>
      </c>
      <c r="G327" s="5">
        <v>2.1990740740740739E-6</v>
      </c>
      <c r="H327" s="5">
        <v>6.9445601851851847E-3</v>
      </c>
      <c r="I327" s="5">
        <v>6.0193287037037038E-3</v>
      </c>
      <c r="J327" s="5">
        <v>2.1990740740740739E-6</v>
      </c>
    </row>
    <row r="328" spans="1:10" x14ac:dyDescent="0.25">
      <c r="A328">
        <f ca="1">IF(_34445073613[[#This Row],[instance]]&lt;OFFSET(_34445073613[[#This Row],[instance]],-1,0), OFFSET(_34445073613[[#This Row],[model]],-1,0)+1, OFFSET(_34445073613[[#This Row],[model]],-1,0))</f>
        <v>3</v>
      </c>
      <c r="B328">
        <v>9</v>
      </c>
      <c r="C328" s="5">
        <v>5.324074074074074E-6</v>
      </c>
      <c r="D328">
        <v>0</v>
      </c>
      <c r="E328">
        <v>0</v>
      </c>
      <c r="F328">
        <v>0</v>
      </c>
      <c r="G328" s="5">
        <v>2.1990740740740739E-6</v>
      </c>
      <c r="H328" s="5">
        <v>2.4305555555555552E-6</v>
      </c>
      <c r="I328" s="5">
        <v>6.0193287037037038E-3</v>
      </c>
      <c r="J328" s="5">
        <v>2.1990740740740739E-6</v>
      </c>
    </row>
    <row r="329" spans="1:10" x14ac:dyDescent="0.25">
      <c r="A329">
        <f ca="1">IF(_34445073613[[#This Row],[instance]]&lt;OFFSET(_34445073613[[#This Row],[instance]],-1,0), OFFSET(_34445073613[[#This Row],[model]],-1,0)+1, OFFSET(_34445073613[[#This Row],[model]],-1,0))</f>
        <v>3</v>
      </c>
      <c r="B329">
        <v>10</v>
      </c>
      <c r="C329" s="5">
        <v>5.324074074074074E-6</v>
      </c>
      <c r="D329">
        <v>0</v>
      </c>
      <c r="E329">
        <v>0</v>
      </c>
      <c r="F329">
        <v>0</v>
      </c>
      <c r="G329" s="5">
        <v>2.1990740740740739E-6</v>
      </c>
      <c r="H329" s="5">
        <v>7.8703703703703702E-6</v>
      </c>
      <c r="I329" s="5">
        <v>6.0193287037037038E-3</v>
      </c>
      <c r="J329" s="5">
        <v>2.1990740740740739E-6</v>
      </c>
    </row>
    <row r="330" spans="1:10" x14ac:dyDescent="0.25">
      <c r="A330">
        <f ca="1">IF(_34445073613[[#This Row],[instance]]&lt;OFFSET(_34445073613[[#This Row],[instance]],-1,0), OFFSET(_34445073613[[#This Row],[model]],-1,0)+1, OFFSET(_34445073613[[#This Row],[model]],-1,0))</f>
        <v>3</v>
      </c>
      <c r="B330">
        <v>10</v>
      </c>
      <c r="C330" s="5">
        <v>9.722222222222221E-6</v>
      </c>
      <c r="D330">
        <v>3.5</v>
      </c>
      <c r="E330">
        <v>3</v>
      </c>
      <c r="F330">
        <v>1</v>
      </c>
      <c r="G330" s="5">
        <v>2.1990740740740739E-6</v>
      </c>
      <c r="H330" s="5">
        <v>7.8703703703703702E-6</v>
      </c>
      <c r="I330" s="5">
        <v>6.0193287037037038E-3</v>
      </c>
      <c r="J330" s="5">
        <v>2.1990740740740739E-6</v>
      </c>
    </row>
    <row r="331" spans="1:10" x14ac:dyDescent="0.25">
      <c r="A331">
        <f ca="1">IF(_34445073613[[#This Row],[instance]]&lt;OFFSET(_34445073613[[#This Row],[instance]],-1,0), OFFSET(_34445073613[[#This Row],[model]],-1,0)+1, OFFSET(_34445073613[[#This Row],[model]],-1,0))</f>
        <v>3</v>
      </c>
      <c r="B331">
        <v>10</v>
      </c>
      <c r="C331" s="5">
        <v>9.722222222222221E-6</v>
      </c>
      <c r="D331">
        <v>4.25</v>
      </c>
      <c r="E331">
        <v>4</v>
      </c>
      <c r="F331">
        <v>1</v>
      </c>
      <c r="G331" s="5">
        <v>2.1990740740740739E-6</v>
      </c>
      <c r="H331" s="5">
        <v>7.8703703703703702E-6</v>
      </c>
      <c r="I331" s="5">
        <v>6.0193287037037038E-3</v>
      </c>
      <c r="J331" s="5">
        <v>2.1990740740740739E-6</v>
      </c>
    </row>
    <row r="332" spans="1:10" x14ac:dyDescent="0.25">
      <c r="A332">
        <f ca="1">IF(_34445073613[[#This Row],[instance]]&lt;OFFSET(_34445073613[[#This Row],[instance]],-1,0), OFFSET(_34445073613[[#This Row],[model]],-1,0)+1, OFFSET(_34445073613[[#This Row],[model]],-1,0))</f>
        <v>3</v>
      </c>
      <c r="B332">
        <v>10</v>
      </c>
      <c r="C332" s="5">
        <v>1.0763888888888888E-5</v>
      </c>
      <c r="D332">
        <v>4.625</v>
      </c>
      <c r="E332">
        <v>5</v>
      </c>
      <c r="F332">
        <v>2</v>
      </c>
      <c r="G332" s="5">
        <v>2.1990740740740739E-6</v>
      </c>
      <c r="H332" s="5">
        <v>7.8703703703703702E-6</v>
      </c>
      <c r="I332" s="5">
        <v>6.0193287037037038E-3</v>
      </c>
      <c r="J332" s="5">
        <v>2.1990740740740739E-6</v>
      </c>
    </row>
    <row r="333" spans="1:10" x14ac:dyDescent="0.25">
      <c r="A333">
        <f ca="1">IF(_34445073613[[#This Row],[instance]]&lt;OFFSET(_34445073613[[#This Row],[instance]],-1,0), OFFSET(_34445073613[[#This Row],[model]],-1,0)+1, OFFSET(_34445073613[[#This Row],[model]],-1,0))</f>
        <v>3</v>
      </c>
      <c r="B333">
        <v>10</v>
      </c>
      <c r="C333" s="5">
        <v>1.087962962962963E-5</v>
      </c>
      <c r="D333">
        <v>5</v>
      </c>
      <c r="E333">
        <v>6</v>
      </c>
      <c r="F333">
        <v>2</v>
      </c>
      <c r="G333" s="5">
        <v>2.1990740740740739E-6</v>
      </c>
      <c r="H333" s="5">
        <v>7.8703703703703702E-6</v>
      </c>
      <c r="I333" s="5">
        <v>6.0193287037037038E-3</v>
      </c>
      <c r="J333" s="5">
        <v>2.1990740740740739E-6</v>
      </c>
    </row>
    <row r="334" spans="1:10" x14ac:dyDescent="0.25">
      <c r="A334">
        <f ca="1">IF(_34445073613[[#This Row],[instance]]&lt;OFFSET(_34445073613[[#This Row],[instance]],-1,0), OFFSET(_34445073613[[#This Row],[model]],-1,0)+1, OFFSET(_34445073613[[#This Row],[model]],-1,0))</f>
        <v>3</v>
      </c>
      <c r="B334">
        <v>11</v>
      </c>
      <c r="C334" s="5">
        <v>5.324074074074074E-6</v>
      </c>
      <c r="D334">
        <v>0</v>
      </c>
      <c r="E334">
        <v>0</v>
      </c>
      <c r="F334">
        <v>0</v>
      </c>
      <c r="G334" s="5">
        <v>2.1990740740740739E-6</v>
      </c>
      <c r="H334" s="5">
        <v>6.9445601851851847E-3</v>
      </c>
      <c r="I334" s="5">
        <v>6.0193287037037038E-3</v>
      </c>
      <c r="J334" s="5">
        <v>2.1990740740740739E-6</v>
      </c>
    </row>
    <row r="335" spans="1:10" x14ac:dyDescent="0.25">
      <c r="A335">
        <f ca="1">IF(_34445073613[[#This Row],[instance]]&lt;OFFSET(_34445073613[[#This Row],[instance]],-1,0), OFFSET(_34445073613[[#This Row],[model]],-1,0)+1, OFFSET(_34445073613[[#This Row],[model]],-1,0))</f>
        <v>3</v>
      </c>
      <c r="B335">
        <v>11</v>
      </c>
      <c r="C335" s="5">
        <v>3.8310185185185184E-5</v>
      </c>
      <c r="D335">
        <v>10.5</v>
      </c>
      <c r="E335">
        <v>4</v>
      </c>
      <c r="F335">
        <v>1</v>
      </c>
      <c r="G335" s="5">
        <v>2.1990740740740739E-6</v>
      </c>
      <c r="H335" s="5">
        <v>6.9445601851851847E-3</v>
      </c>
      <c r="I335" s="5">
        <v>6.0193287037037038E-3</v>
      </c>
      <c r="J335" s="5">
        <v>2.1990740740740739E-6</v>
      </c>
    </row>
    <row r="336" spans="1:10" x14ac:dyDescent="0.25">
      <c r="A336">
        <f ca="1">IF(_34445073613[[#This Row],[instance]]&lt;OFFSET(_34445073613[[#This Row],[instance]],-1,0), OFFSET(_34445073613[[#This Row],[model]],-1,0)+1, OFFSET(_34445073613[[#This Row],[model]],-1,0))</f>
        <v>3</v>
      </c>
      <c r="B336">
        <v>12</v>
      </c>
      <c r="C336" s="5">
        <v>5.4398148148148149E-6</v>
      </c>
      <c r="D336">
        <v>0</v>
      </c>
      <c r="E336">
        <v>0</v>
      </c>
      <c r="F336">
        <v>0</v>
      </c>
      <c r="G336" s="5">
        <v>2.1990740740740739E-6</v>
      </c>
      <c r="H336" s="5">
        <v>6.9445601851851847E-3</v>
      </c>
      <c r="I336" s="5">
        <v>6.0193287037037038E-3</v>
      </c>
      <c r="J336" s="5">
        <v>2.1990740740740739E-6</v>
      </c>
    </row>
    <row r="337" spans="1:10" x14ac:dyDescent="0.25">
      <c r="A337">
        <f ca="1">IF(_34445073613[[#This Row],[instance]]&lt;OFFSET(_34445073613[[#This Row],[instance]],-1,0), OFFSET(_34445073613[[#This Row],[model]],-1,0)+1, OFFSET(_34445073613[[#This Row],[model]],-1,0))</f>
        <v>3</v>
      </c>
      <c r="B337">
        <v>12</v>
      </c>
      <c r="C337" s="5">
        <v>5.555555555555555E-6</v>
      </c>
      <c r="D337">
        <v>3</v>
      </c>
      <c r="E337">
        <v>1</v>
      </c>
      <c r="F337">
        <v>1</v>
      </c>
      <c r="G337" s="5">
        <v>2.1990740740740739E-6</v>
      </c>
      <c r="H337" s="5">
        <v>6.9445601851851847E-3</v>
      </c>
      <c r="I337" s="5">
        <v>6.0193287037037038E-3</v>
      </c>
      <c r="J337" s="5">
        <v>2.1990740740740739E-6</v>
      </c>
    </row>
    <row r="338" spans="1:10" x14ac:dyDescent="0.25">
      <c r="A338">
        <f ca="1">IF(_34445073613[[#This Row],[instance]]&lt;OFFSET(_34445073613[[#This Row],[instance]],-1,0), OFFSET(_34445073613[[#This Row],[model]],-1,0)+1, OFFSET(_34445073613[[#This Row],[model]],-1,0))</f>
        <v>3</v>
      </c>
      <c r="B338">
        <v>13</v>
      </c>
      <c r="C338" s="5">
        <v>5.555555555555555E-6</v>
      </c>
      <c r="D338">
        <v>0</v>
      </c>
      <c r="E338">
        <v>0</v>
      </c>
      <c r="F338">
        <v>0</v>
      </c>
      <c r="G338" s="5">
        <v>2.1990740740740739E-6</v>
      </c>
      <c r="H338" s="5">
        <v>6.9445601851851847E-3</v>
      </c>
      <c r="I338" s="5">
        <v>6.0193287037037038E-3</v>
      </c>
      <c r="J338" s="5">
        <v>2.1990740740740739E-6</v>
      </c>
    </row>
    <row r="339" spans="1:10" x14ac:dyDescent="0.25">
      <c r="A339">
        <f ca="1">IF(_34445073613[[#This Row],[instance]]&lt;OFFSET(_34445073613[[#This Row],[instance]],-1,0), OFFSET(_34445073613[[#This Row],[model]],-1,0)+1, OFFSET(_34445073613[[#This Row],[model]],-1,0))</f>
        <v>3</v>
      </c>
      <c r="B339">
        <v>13</v>
      </c>
      <c r="C339" s="5">
        <v>5.555555555555555E-6</v>
      </c>
      <c r="D339">
        <v>3</v>
      </c>
      <c r="E339">
        <v>1</v>
      </c>
      <c r="F339">
        <v>1</v>
      </c>
      <c r="G339" s="5">
        <v>2.1990740740740739E-6</v>
      </c>
      <c r="H339" s="5">
        <v>6.9445601851851847E-3</v>
      </c>
      <c r="I339" s="5">
        <v>6.0193287037037038E-3</v>
      </c>
      <c r="J339" s="5">
        <v>2.1990740740740739E-6</v>
      </c>
    </row>
    <row r="340" spans="1:10" x14ac:dyDescent="0.25">
      <c r="A340">
        <f ca="1">IF(_34445073613[[#This Row],[instance]]&lt;OFFSET(_34445073613[[#This Row],[instance]],-1,0), OFFSET(_34445073613[[#This Row],[model]],-1,0)+1, OFFSET(_34445073613[[#This Row],[model]],-1,0))</f>
        <v>3</v>
      </c>
      <c r="B340">
        <v>13</v>
      </c>
      <c r="C340" s="5">
        <v>7.5231481481481475E-6</v>
      </c>
      <c r="D340">
        <v>3.875</v>
      </c>
      <c r="E340">
        <v>4</v>
      </c>
      <c r="F340">
        <v>1</v>
      </c>
      <c r="G340" s="5">
        <v>2.1990740740740739E-6</v>
      </c>
      <c r="H340" s="5">
        <v>6.9445601851851847E-3</v>
      </c>
      <c r="I340" s="5">
        <v>6.0193287037037038E-3</v>
      </c>
      <c r="J340" s="5">
        <v>2.1990740740740739E-6</v>
      </c>
    </row>
    <row r="341" spans="1:10" x14ac:dyDescent="0.25">
      <c r="A341">
        <f ca="1">IF(_34445073613[[#This Row],[instance]]&lt;OFFSET(_34445073613[[#This Row],[instance]],-1,0), OFFSET(_34445073613[[#This Row],[model]],-1,0)+1, OFFSET(_34445073613[[#This Row],[model]],-1,0))</f>
        <v>3</v>
      </c>
      <c r="B341">
        <v>13</v>
      </c>
      <c r="C341" s="5">
        <v>5.3356481481481477E-5</v>
      </c>
      <c r="D341">
        <v>4.25</v>
      </c>
      <c r="E341">
        <v>5</v>
      </c>
      <c r="F341">
        <v>1</v>
      </c>
      <c r="G341" s="5">
        <v>2.1990740740740739E-6</v>
      </c>
      <c r="H341" s="5">
        <v>6.9445601851851847E-3</v>
      </c>
      <c r="I341" s="5">
        <v>6.0193287037037038E-3</v>
      </c>
      <c r="J341" s="5">
        <v>2.1990740740740739E-6</v>
      </c>
    </row>
    <row r="342" spans="1:10" x14ac:dyDescent="0.25">
      <c r="A342">
        <f ca="1">IF(_34445073613[[#This Row],[instance]]&lt;OFFSET(_34445073613[[#This Row],[instance]],-1,0), OFFSET(_34445073613[[#This Row],[model]],-1,0)+1, OFFSET(_34445073613[[#This Row],[model]],-1,0))</f>
        <v>3</v>
      </c>
      <c r="B342">
        <v>13</v>
      </c>
      <c r="C342" s="5">
        <v>5.9027777777777773E-5</v>
      </c>
      <c r="D342">
        <v>6</v>
      </c>
      <c r="E342">
        <v>2</v>
      </c>
      <c r="F342">
        <v>2</v>
      </c>
      <c r="G342" s="5">
        <v>2.1990740740740739E-6</v>
      </c>
      <c r="H342" s="5">
        <v>6.9445601851851847E-3</v>
      </c>
      <c r="I342" s="5">
        <v>6.0193287037037038E-3</v>
      </c>
      <c r="J342" s="5">
        <v>2.1990740740740739E-6</v>
      </c>
    </row>
    <row r="343" spans="1:10" x14ac:dyDescent="0.25">
      <c r="A343">
        <f ca="1">IF(_34445073613[[#This Row],[instance]]&lt;OFFSET(_34445073613[[#This Row],[instance]],-1,0), OFFSET(_34445073613[[#This Row],[model]],-1,0)+1, OFFSET(_34445073613[[#This Row],[model]],-1,0))</f>
        <v>3</v>
      </c>
      <c r="B343">
        <v>13</v>
      </c>
      <c r="C343" s="5">
        <v>9.8611111111111111E-5</v>
      </c>
      <c r="D343">
        <v>7.5</v>
      </c>
      <c r="E343">
        <v>5</v>
      </c>
      <c r="F343">
        <v>2</v>
      </c>
      <c r="G343" s="5">
        <v>2.1990740740740739E-6</v>
      </c>
      <c r="H343" s="5">
        <v>6.9445601851851847E-3</v>
      </c>
      <c r="I343" s="5">
        <v>6.0193287037037038E-3</v>
      </c>
      <c r="J343" s="5">
        <v>2.1990740740740739E-6</v>
      </c>
    </row>
    <row r="344" spans="1:10" x14ac:dyDescent="0.25">
      <c r="A344">
        <f ca="1">IF(_34445073613[[#This Row],[instance]]&lt;OFFSET(_34445073613[[#This Row],[instance]],-1,0), OFFSET(_34445073613[[#This Row],[model]],-1,0)+1, OFFSET(_34445073613[[#This Row],[model]],-1,0))</f>
        <v>3</v>
      </c>
      <c r="B344">
        <v>14</v>
      </c>
      <c r="C344" s="5">
        <v>5.4398148148148149E-6</v>
      </c>
      <c r="D344">
        <v>0</v>
      </c>
      <c r="E344">
        <v>0</v>
      </c>
      <c r="F344">
        <v>0</v>
      </c>
      <c r="G344" s="5">
        <v>2.1990740740740739E-6</v>
      </c>
      <c r="H344" s="5">
        <v>6.9445601851851847E-3</v>
      </c>
      <c r="I344" s="5">
        <v>6.0193287037037038E-3</v>
      </c>
      <c r="J344" s="5">
        <v>2.1990740740740739E-6</v>
      </c>
    </row>
    <row r="345" spans="1:10" x14ac:dyDescent="0.25">
      <c r="A345">
        <f ca="1">IF(_34445073613[[#This Row],[instance]]&lt;OFFSET(_34445073613[[#This Row],[instance]],-1,0), OFFSET(_34445073613[[#This Row],[model]],-1,0)+1, OFFSET(_34445073613[[#This Row],[model]],-1,0))</f>
        <v>3</v>
      </c>
      <c r="B345">
        <v>14</v>
      </c>
      <c r="C345" s="5">
        <v>5.4398148148148149E-6</v>
      </c>
      <c r="D345">
        <v>5.25</v>
      </c>
      <c r="E345">
        <v>6</v>
      </c>
      <c r="F345">
        <v>1</v>
      </c>
      <c r="G345" s="5">
        <v>2.1990740740740739E-6</v>
      </c>
      <c r="H345" s="5">
        <v>6.9445601851851847E-3</v>
      </c>
      <c r="I345" s="5">
        <v>6.0193287037037038E-3</v>
      </c>
      <c r="J345" s="5">
        <v>2.1990740740740739E-6</v>
      </c>
    </row>
    <row r="346" spans="1:10" x14ac:dyDescent="0.25">
      <c r="A346">
        <f ca="1">IF(_34445073613[[#This Row],[instance]]&lt;OFFSET(_34445073613[[#This Row],[instance]],-1,0), OFFSET(_34445073613[[#This Row],[model]],-1,0)+1, OFFSET(_34445073613[[#This Row],[model]],-1,0))</f>
        <v>3</v>
      </c>
      <c r="B346">
        <v>14</v>
      </c>
      <c r="C346" s="5">
        <v>5.9027777777777776E-6</v>
      </c>
      <c r="D346">
        <v>12</v>
      </c>
      <c r="E346">
        <v>4</v>
      </c>
      <c r="F346">
        <v>1</v>
      </c>
      <c r="G346" s="5">
        <v>2.1990740740740739E-6</v>
      </c>
      <c r="H346" s="5">
        <v>6.9445601851851847E-3</v>
      </c>
      <c r="I346" s="5">
        <v>6.0193287037037038E-3</v>
      </c>
      <c r="J346" s="5">
        <v>2.1990740740740739E-6</v>
      </c>
    </row>
    <row r="347" spans="1:10" x14ac:dyDescent="0.25">
      <c r="A347">
        <f ca="1">IF(_34445073613[[#This Row],[instance]]&lt;OFFSET(_34445073613[[#This Row],[instance]],-1,0), OFFSET(_34445073613[[#This Row],[model]],-1,0)+1, OFFSET(_34445073613[[#This Row],[model]],-1,0))</f>
        <v>3</v>
      </c>
      <c r="B347">
        <v>15</v>
      </c>
      <c r="C347" s="5">
        <v>5.4398148148148149E-6</v>
      </c>
      <c r="D347">
        <v>0</v>
      </c>
      <c r="E347">
        <v>0</v>
      </c>
      <c r="F347">
        <v>0</v>
      </c>
      <c r="G347" s="5">
        <v>2.1990740740740739E-6</v>
      </c>
      <c r="H347" s="5">
        <v>6.9445601851851847E-3</v>
      </c>
      <c r="I347" s="5">
        <v>6.0193287037037038E-3</v>
      </c>
      <c r="J347" s="5">
        <v>2.1990740740740739E-6</v>
      </c>
    </row>
    <row r="348" spans="1:10" x14ac:dyDescent="0.25">
      <c r="A348">
        <f ca="1">IF(_34445073613[[#This Row],[instance]]&lt;OFFSET(_34445073613[[#This Row],[instance]],-1,0), OFFSET(_34445073613[[#This Row],[model]],-1,0)+1, OFFSET(_34445073613[[#This Row],[model]],-1,0))</f>
        <v>3</v>
      </c>
      <c r="B348">
        <v>15</v>
      </c>
      <c r="C348" s="5">
        <v>5.9027777777777776E-6</v>
      </c>
      <c r="D348">
        <v>12</v>
      </c>
      <c r="E348">
        <v>4</v>
      </c>
      <c r="F348">
        <v>1</v>
      </c>
      <c r="G348" s="5">
        <v>2.1990740740740739E-6</v>
      </c>
      <c r="H348" s="5">
        <v>6.9445601851851847E-3</v>
      </c>
      <c r="I348" s="5">
        <v>6.0193287037037038E-3</v>
      </c>
      <c r="J348" s="5">
        <v>2.1990740740740739E-6</v>
      </c>
    </row>
    <row r="349" spans="1:10" x14ac:dyDescent="0.25">
      <c r="A349">
        <f ca="1">IF(_34445073613[[#This Row],[instance]]&lt;OFFSET(_34445073613[[#This Row],[instance]],-1,0), OFFSET(_34445073613[[#This Row],[model]],-1,0)+1, OFFSET(_34445073613[[#This Row],[model]],-1,0))</f>
        <v>4</v>
      </c>
      <c r="B349">
        <v>1</v>
      </c>
      <c r="C349" s="5">
        <v>8.101851851851852E-6</v>
      </c>
      <c r="D349">
        <v>0</v>
      </c>
      <c r="E349">
        <v>0</v>
      </c>
      <c r="F349">
        <v>0</v>
      </c>
      <c r="G349" s="5">
        <v>3.8194444444444442E-6</v>
      </c>
      <c r="H349" s="5">
        <v>6.9449074074074075E-3</v>
      </c>
      <c r="I349" s="5">
        <v>6.482175925925926E-3</v>
      </c>
      <c r="J349" s="5">
        <v>3.8194444444444442E-6</v>
      </c>
    </row>
    <row r="350" spans="1:10" x14ac:dyDescent="0.25">
      <c r="A350">
        <f ca="1">IF(_34445073613[[#This Row],[instance]]&lt;OFFSET(_34445073613[[#This Row],[instance]],-1,0), OFFSET(_34445073613[[#This Row],[model]],-1,0)+1, OFFSET(_34445073613[[#This Row],[model]],-1,0))</f>
        <v>4</v>
      </c>
      <c r="B350">
        <v>2</v>
      </c>
      <c r="C350" s="5">
        <v>8.101851851851852E-6</v>
      </c>
      <c r="D350">
        <v>0</v>
      </c>
      <c r="E350">
        <v>0</v>
      </c>
      <c r="F350">
        <v>0</v>
      </c>
      <c r="G350" s="5">
        <v>3.8194444444444442E-6</v>
      </c>
      <c r="H350" s="5">
        <v>6.9449074074074075E-3</v>
      </c>
      <c r="I350" s="5">
        <v>6.482175925925926E-3</v>
      </c>
      <c r="J350" s="5">
        <v>3.8194444444444442E-6</v>
      </c>
    </row>
    <row r="351" spans="1:10" x14ac:dyDescent="0.25">
      <c r="A351">
        <f ca="1">IF(_34445073613[[#This Row],[instance]]&lt;OFFSET(_34445073613[[#This Row],[instance]],-1,0), OFFSET(_34445073613[[#This Row],[model]],-1,0)+1, OFFSET(_34445073613[[#This Row],[model]],-1,0))</f>
        <v>4</v>
      </c>
      <c r="B351">
        <v>2</v>
      </c>
      <c r="C351" s="5">
        <v>1.0648148148148148E-5</v>
      </c>
      <c r="D351">
        <v>6.625</v>
      </c>
      <c r="E351">
        <v>6</v>
      </c>
      <c r="F351">
        <v>1</v>
      </c>
      <c r="G351" s="5">
        <v>3.8194444444444442E-6</v>
      </c>
      <c r="H351" s="5">
        <v>6.9449074074074075E-3</v>
      </c>
      <c r="I351" s="5">
        <v>6.482175925925926E-3</v>
      </c>
      <c r="J351" s="5">
        <v>3.8194444444444442E-6</v>
      </c>
    </row>
    <row r="352" spans="1:10" x14ac:dyDescent="0.25">
      <c r="A352">
        <f ca="1">IF(_34445073613[[#This Row],[instance]]&lt;OFFSET(_34445073613[[#This Row],[instance]],-1,0), OFFSET(_34445073613[[#This Row],[model]],-1,0)+1, OFFSET(_34445073613[[#This Row],[model]],-1,0))</f>
        <v>4</v>
      </c>
      <c r="B352">
        <v>2</v>
      </c>
      <c r="C352" s="5">
        <v>1.0648148148148148E-5</v>
      </c>
      <c r="D352">
        <v>7</v>
      </c>
      <c r="E352">
        <v>7</v>
      </c>
      <c r="F352">
        <v>1</v>
      </c>
      <c r="G352" s="5">
        <v>3.8194444444444442E-6</v>
      </c>
      <c r="H352" s="5">
        <v>6.9449074074074075E-3</v>
      </c>
      <c r="I352" s="5">
        <v>6.482175925925926E-3</v>
      </c>
      <c r="J352" s="5">
        <v>3.8194444444444442E-6</v>
      </c>
    </row>
    <row r="353" spans="1:10" x14ac:dyDescent="0.25">
      <c r="A353">
        <f ca="1">IF(_34445073613[[#This Row],[instance]]&lt;OFFSET(_34445073613[[#This Row],[instance]],-1,0), OFFSET(_34445073613[[#This Row],[model]],-1,0)+1, OFFSET(_34445073613[[#This Row],[model]],-1,0))</f>
        <v>4</v>
      </c>
      <c r="B353">
        <v>2</v>
      </c>
      <c r="C353" s="5">
        <v>1.0648148148148148E-5</v>
      </c>
      <c r="D353">
        <v>7.375</v>
      </c>
      <c r="E353">
        <v>8</v>
      </c>
      <c r="F353">
        <v>1</v>
      </c>
      <c r="G353" s="5">
        <v>3.8194444444444442E-6</v>
      </c>
      <c r="H353" s="5">
        <v>6.9449074074074075E-3</v>
      </c>
      <c r="I353" s="5">
        <v>6.482175925925926E-3</v>
      </c>
      <c r="J353" s="5">
        <v>3.8194444444444442E-6</v>
      </c>
    </row>
    <row r="354" spans="1:10" x14ac:dyDescent="0.25">
      <c r="A354">
        <f ca="1">IF(_34445073613[[#This Row],[instance]]&lt;OFFSET(_34445073613[[#This Row],[instance]],-1,0), OFFSET(_34445073613[[#This Row],[model]],-1,0)+1, OFFSET(_34445073613[[#This Row],[model]],-1,0))</f>
        <v>4</v>
      </c>
      <c r="B354">
        <v>2</v>
      </c>
      <c r="C354" s="5">
        <v>1.0763888888888888E-5</v>
      </c>
      <c r="D354">
        <v>7.5</v>
      </c>
      <c r="E354">
        <v>6</v>
      </c>
      <c r="F354">
        <v>1</v>
      </c>
      <c r="G354" s="5">
        <v>3.8194444444444442E-6</v>
      </c>
      <c r="H354" s="5">
        <v>6.9449074074074075E-3</v>
      </c>
      <c r="I354" s="5">
        <v>6.482175925925926E-3</v>
      </c>
      <c r="J354" s="5">
        <v>3.8194444444444442E-6</v>
      </c>
    </row>
    <row r="355" spans="1:10" x14ac:dyDescent="0.25">
      <c r="A355">
        <f ca="1">IF(_34445073613[[#This Row],[instance]]&lt;OFFSET(_34445073613[[#This Row],[instance]],-1,0), OFFSET(_34445073613[[#This Row],[model]],-1,0)+1, OFFSET(_34445073613[[#This Row],[model]],-1,0))</f>
        <v>4</v>
      </c>
      <c r="B355">
        <v>2</v>
      </c>
      <c r="C355" s="5">
        <v>1.0763888888888888E-5</v>
      </c>
      <c r="D355">
        <v>7.75</v>
      </c>
      <c r="E355">
        <v>5</v>
      </c>
      <c r="F355">
        <v>1</v>
      </c>
      <c r="G355" s="5">
        <v>3.8194444444444442E-6</v>
      </c>
      <c r="H355" s="5">
        <v>6.9449074074074075E-3</v>
      </c>
      <c r="I355" s="5">
        <v>6.482175925925926E-3</v>
      </c>
      <c r="J355" s="5">
        <v>3.8194444444444442E-6</v>
      </c>
    </row>
    <row r="356" spans="1:10" x14ac:dyDescent="0.25">
      <c r="A356">
        <f ca="1">IF(_34445073613[[#This Row],[instance]]&lt;OFFSET(_34445073613[[#This Row],[instance]],-1,0), OFFSET(_34445073613[[#This Row],[model]],-1,0)+1, OFFSET(_34445073613[[#This Row],[model]],-1,0))</f>
        <v>4</v>
      </c>
      <c r="B356">
        <v>2</v>
      </c>
      <c r="C356" s="5">
        <v>1.0763888888888888E-5</v>
      </c>
      <c r="D356">
        <v>7.875</v>
      </c>
      <c r="E356">
        <v>7</v>
      </c>
      <c r="F356">
        <v>1</v>
      </c>
      <c r="G356" s="5">
        <v>3.8194444444444442E-6</v>
      </c>
      <c r="H356" s="5">
        <v>6.9449074074074075E-3</v>
      </c>
      <c r="I356" s="5">
        <v>6.482175925925926E-3</v>
      </c>
      <c r="J356" s="5">
        <v>3.8194444444444442E-6</v>
      </c>
    </row>
    <row r="357" spans="1:10" x14ac:dyDescent="0.25">
      <c r="A357">
        <f ca="1">IF(_34445073613[[#This Row],[instance]]&lt;OFFSET(_34445073613[[#This Row],[instance]],-1,0), OFFSET(_34445073613[[#This Row],[model]],-1,0)+1, OFFSET(_34445073613[[#This Row],[model]],-1,0))</f>
        <v>4</v>
      </c>
      <c r="B357">
        <v>2</v>
      </c>
      <c r="C357" s="5">
        <v>1.0763888888888888E-5</v>
      </c>
      <c r="D357">
        <v>8.125</v>
      </c>
      <c r="E357">
        <v>6</v>
      </c>
      <c r="F357">
        <v>1</v>
      </c>
      <c r="G357" s="5">
        <v>3.8194444444444442E-6</v>
      </c>
      <c r="H357" s="5">
        <v>6.9449074074074075E-3</v>
      </c>
      <c r="I357" s="5">
        <v>6.482175925925926E-3</v>
      </c>
      <c r="J357" s="5">
        <v>3.8194444444444442E-6</v>
      </c>
    </row>
    <row r="358" spans="1:10" x14ac:dyDescent="0.25">
      <c r="A358">
        <f ca="1">IF(_34445073613[[#This Row],[instance]]&lt;OFFSET(_34445073613[[#This Row],[instance]],-1,0), OFFSET(_34445073613[[#This Row],[model]],-1,0)+1, OFFSET(_34445073613[[#This Row],[model]],-1,0))</f>
        <v>4</v>
      </c>
      <c r="B358">
        <v>2</v>
      </c>
      <c r="C358" s="5">
        <v>1.0763888888888888E-5</v>
      </c>
      <c r="D358">
        <v>8.25</v>
      </c>
      <c r="E358">
        <v>5</v>
      </c>
      <c r="F358">
        <v>1</v>
      </c>
      <c r="G358" s="5">
        <v>3.8194444444444442E-6</v>
      </c>
      <c r="H358" s="5">
        <v>6.9449074074074075E-3</v>
      </c>
      <c r="I358" s="5">
        <v>6.482175925925926E-3</v>
      </c>
      <c r="J358" s="5">
        <v>3.8194444444444442E-6</v>
      </c>
    </row>
    <row r="359" spans="1:10" x14ac:dyDescent="0.25">
      <c r="A359">
        <f ca="1">IF(_34445073613[[#This Row],[instance]]&lt;OFFSET(_34445073613[[#This Row],[instance]],-1,0), OFFSET(_34445073613[[#This Row],[model]],-1,0)+1, OFFSET(_34445073613[[#This Row],[model]],-1,0))</f>
        <v>4</v>
      </c>
      <c r="B359">
        <v>2</v>
      </c>
      <c r="C359" s="5">
        <v>1.0763888888888888E-5</v>
      </c>
      <c r="D359">
        <v>8.5</v>
      </c>
      <c r="E359">
        <v>7</v>
      </c>
      <c r="F359">
        <v>1</v>
      </c>
      <c r="G359" s="5">
        <v>3.8194444444444442E-6</v>
      </c>
      <c r="H359" s="5">
        <v>6.9449074074074075E-3</v>
      </c>
      <c r="I359" s="5">
        <v>6.482175925925926E-3</v>
      </c>
      <c r="J359" s="5">
        <v>3.8194444444444442E-6</v>
      </c>
    </row>
    <row r="360" spans="1:10" x14ac:dyDescent="0.25">
      <c r="A360">
        <f ca="1">IF(_34445073613[[#This Row],[instance]]&lt;OFFSET(_34445073613[[#This Row],[instance]],-1,0), OFFSET(_34445073613[[#This Row],[model]],-1,0)+1, OFFSET(_34445073613[[#This Row],[model]],-1,0))</f>
        <v>4</v>
      </c>
      <c r="B360">
        <v>2</v>
      </c>
      <c r="C360" s="5">
        <v>1.0763888888888888E-5</v>
      </c>
      <c r="D360">
        <v>8.625</v>
      </c>
      <c r="E360">
        <v>6</v>
      </c>
      <c r="F360">
        <v>1</v>
      </c>
      <c r="G360" s="5">
        <v>3.8194444444444442E-6</v>
      </c>
      <c r="H360" s="5">
        <v>6.9449074074074075E-3</v>
      </c>
      <c r="I360" s="5">
        <v>6.482175925925926E-3</v>
      </c>
      <c r="J360" s="5">
        <v>3.8194444444444442E-6</v>
      </c>
    </row>
    <row r="361" spans="1:10" x14ac:dyDescent="0.25">
      <c r="A361">
        <f ca="1">IF(_34445073613[[#This Row],[instance]]&lt;OFFSET(_34445073613[[#This Row],[instance]],-1,0), OFFSET(_34445073613[[#This Row],[model]],-1,0)+1, OFFSET(_34445073613[[#This Row],[model]],-1,0))</f>
        <v>4</v>
      </c>
      <c r="B361">
        <v>2</v>
      </c>
      <c r="C361" s="5">
        <v>1.087962962962963E-5</v>
      </c>
      <c r="D361">
        <v>8.875</v>
      </c>
      <c r="E361">
        <v>8</v>
      </c>
      <c r="F361">
        <v>1</v>
      </c>
      <c r="G361" s="5">
        <v>3.8194444444444442E-6</v>
      </c>
      <c r="H361" s="5">
        <v>6.9449074074074075E-3</v>
      </c>
      <c r="I361" s="5">
        <v>6.482175925925926E-3</v>
      </c>
      <c r="J361" s="5">
        <v>3.8194444444444442E-6</v>
      </c>
    </row>
    <row r="362" spans="1:10" x14ac:dyDescent="0.25">
      <c r="A362">
        <f ca="1">IF(_34445073613[[#This Row],[instance]]&lt;OFFSET(_34445073613[[#This Row],[instance]],-1,0), OFFSET(_34445073613[[#This Row],[model]],-1,0)+1, OFFSET(_34445073613[[#This Row],[model]],-1,0))</f>
        <v>4</v>
      </c>
      <c r="B362">
        <v>2</v>
      </c>
      <c r="C362" s="5">
        <v>1.087962962962963E-5</v>
      </c>
      <c r="D362">
        <v>9.25</v>
      </c>
      <c r="E362">
        <v>6</v>
      </c>
      <c r="F362">
        <v>1</v>
      </c>
      <c r="G362" s="5">
        <v>3.8194444444444442E-6</v>
      </c>
      <c r="H362" s="5">
        <v>6.9449074074074075E-3</v>
      </c>
      <c r="I362" s="5">
        <v>6.482175925925926E-3</v>
      </c>
      <c r="J362" s="5">
        <v>3.8194444444444442E-6</v>
      </c>
    </row>
    <row r="363" spans="1:10" x14ac:dyDescent="0.25">
      <c r="A363">
        <f ca="1">IF(_34445073613[[#This Row],[instance]]&lt;OFFSET(_34445073613[[#This Row],[instance]],-1,0), OFFSET(_34445073613[[#This Row],[model]],-1,0)+1, OFFSET(_34445073613[[#This Row],[model]],-1,0))</f>
        <v>4</v>
      </c>
      <c r="B363">
        <v>2</v>
      </c>
      <c r="C363" s="5">
        <v>8.6226851851851845E-5</v>
      </c>
      <c r="D363">
        <v>9.625</v>
      </c>
      <c r="E363">
        <v>7</v>
      </c>
      <c r="F363">
        <v>1</v>
      </c>
      <c r="G363" s="5">
        <v>3.8194444444444442E-6</v>
      </c>
      <c r="H363" s="5">
        <v>6.9449074074074075E-3</v>
      </c>
      <c r="I363" s="5">
        <v>6.482175925925926E-3</v>
      </c>
      <c r="J363" s="5">
        <v>3.8194444444444442E-6</v>
      </c>
    </row>
    <row r="364" spans="1:10" x14ac:dyDescent="0.25">
      <c r="A364">
        <f ca="1">IF(_34445073613[[#This Row],[instance]]&lt;OFFSET(_34445073613[[#This Row],[instance]],-1,0), OFFSET(_34445073613[[#This Row],[model]],-1,0)+1, OFFSET(_34445073613[[#This Row],[model]],-1,0))</f>
        <v>4</v>
      </c>
      <c r="B364">
        <v>3</v>
      </c>
      <c r="C364" s="5">
        <v>7.9861111111111102E-6</v>
      </c>
      <c r="D364">
        <v>0</v>
      </c>
      <c r="E364">
        <v>0</v>
      </c>
      <c r="F364">
        <v>0</v>
      </c>
      <c r="G364" s="5">
        <v>3.7037037037037037E-6</v>
      </c>
      <c r="H364" s="5">
        <v>6.9449074074074075E-3</v>
      </c>
      <c r="I364" s="5">
        <v>6.482175925925926E-3</v>
      </c>
      <c r="J364" s="5">
        <v>3.8194444444444442E-6</v>
      </c>
    </row>
    <row r="365" spans="1:10" x14ac:dyDescent="0.25">
      <c r="A365">
        <f ca="1">IF(_34445073613[[#This Row],[instance]]&lt;OFFSET(_34445073613[[#This Row],[instance]],-1,0), OFFSET(_34445073613[[#This Row],[model]],-1,0)+1, OFFSET(_34445073613[[#This Row],[model]],-1,0))</f>
        <v>4</v>
      </c>
      <c r="B365">
        <v>3</v>
      </c>
      <c r="C365" s="5">
        <v>1.087962962962963E-5</v>
      </c>
      <c r="D365">
        <v>1.5</v>
      </c>
      <c r="E365">
        <v>3</v>
      </c>
      <c r="F365">
        <v>1</v>
      </c>
      <c r="G365" s="5">
        <v>3.7037037037037037E-6</v>
      </c>
      <c r="H365" s="5">
        <v>6.9449074074074075E-3</v>
      </c>
      <c r="I365" s="5">
        <v>6.482175925925926E-3</v>
      </c>
      <c r="J365" s="5">
        <v>3.8194444444444442E-6</v>
      </c>
    </row>
    <row r="366" spans="1:10" x14ac:dyDescent="0.25">
      <c r="A366">
        <f ca="1">IF(_34445073613[[#This Row],[instance]]&lt;OFFSET(_34445073613[[#This Row],[instance]],-1,0), OFFSET(_34445073613[[#This Row],[model]],-1,0)+1, OFFSET(_34445073613[[#This Row],[model]],-1,0))</f>
        <v>4</v>
      </c>
      <c r="B366">
        <v>3</v>
      </c>
      <c r="C366" s="5">
        <v>1.087962962962963E-5</v>
      </c>
      <c r="D366">
        <v>1.875</v>
      </c>
      <c r="E366">
        <v>4</v>
      </c>
      <c r="F366">
        <v>1</v>
      </c>
      <c r="G366" s="5">
        <v>3.7037037037037037E-6</v>
      </c>
      <c r="H366" s="5">
        <v>6.9449074074074075E-3</v>
      </c>
      <c r="I366" s="5">
        <v>6.482175925925926E-3</v>
      </c>
      <c r="J366" s="5">
        <v>3.8194444444444442E-6</v>
      </c>
    </row>
    <row r="367" spans="1:10" x14ac:dyDescent="0.25">
      <c r="A367">
        <f ca="1">IF(_34445073613[[#This Row],[instance]]&lt;OFFSET(_34445073613[[#This Row],[instance]],-1,0), OFFSET(_34445073613[[#This Row],[model]],-1,0)+1, OFFSET(_34445073613[[#This Row],[model]],-1,0))</f>
        <v>4</v>
      </c>
      <c r="B367">
        <v>3</v>
      </c>
      <c r="C367" s="5">
        <v>1.099537037037037E-5</v>
      </c>
      <c r="D367">
        <v>2.125</v>
      </c>
      <c r="E367">
        <v>4</v>
      </c>
      <c r="F367">
        <v>1</v>
      </c>
      <c r="G367" s="5">
        <v>3.7037037037037037E-6</v>
      </c>
      <c r="H367" s="5">
        <v>6.9449074074074075E-3</v>
      </c>
      <c r="I367" s="5">
        <v>6.482175925925926E-3</v>
      </c>
      <c r="J367" s="5">
        <v>3.8194444444444442E-6</v>
      </c>
    </row>
    <row r="368" spans="1:10" x14ac:dyDescent="0.25">
      <c r="A368">
        <f ca="1">IF(_34445073613[[#This Row],[instance]]&lt;OFFSET(_34445073613[[#This Row],[instance]],-1,0), OFFSET(_34445073613[[#This Row],[model]],-1,0)+1, OFFSET(_34445073613[[#This Row],[model]],-1,0))</f>
        <v>4</v>
      </c>
      <c r="B368">
        <v>3</v>
      </c>
      <c r="C368" s="5">
        <v>1.099537037037037E-5</v>
      </c>
      <c r="D368">
        <v>2.25</v>
      </c>
      <c r="E368">
        <v>4</v>
      </c>
      <c r="F368">
        <v>1</v>
      </c>
      <c r="G368" s="5">
        <v>3.7037037037037037E-6</v>
      </c>
      <c r="H368" s="5">
        <v>6.9449074074074075E-3</v>
      </c>
      <c r="I368" s="5">
        <v>6.482175925925926E-3</v>
      </c>
      <c r="J368" s="5">
        <v>3.8194444444444442E-6</v>
      </c>
    </row>
    <row r="369" spans="1:10" x14ac:dyDescent="0.25">
      <c r="A369">
        <f ca="1">IF(_34445073613[[#This Row],[instance]]&lt;OFFSET(_34445073613[[#This Row],[instance]],-1,0), OFFSET(_34445073613[[#This Row],[model]],-1,0)+1, OFFSET(_34445073613[[#This Row],[model]],-1,0))</f>
        <v>4</v>
      </c>
      <c r="B369">
        <v>3</v>
      </c>
      <c r="C369" s="5">
        <v>1.099537037037037E-5</v>
      </c>
      <c r="D369">
        <v>2.5</v>
      </c>
      <c r="E369">
        <v>4</v>
      </c>
      <c r="F369">
        <v>1</v>
      </c>
      <c r="G369" s="5">
        <v>3.7037037037037037E-6</v>
      </c>
      <c r="H369" s="5">
        <v>6.9449074074074075E-3</v>
      </c>
      <c r="I369" s="5">
        <v>6.482175925925926E-3</v>
      </c>
      <c r="J369" s="5">
        <v>3.8194444444444442E-6</v>
      </c>
    </row>
    <row r="370" spans="1:10" x14ac:dyDescent="0.25">
      <c r="A370">
        <f ca="1">IF(_34445073613[[#This Row],[instance]]&lt;OFFSET(_34445073613[[#This Row],[instance]],-1,0), OFFSET(_34445073613[[#This Row],[model]],-1,0)+1, OFFSET(_34445073613[[#This Row],[model]],-1,0))</f>
        <v>4</v>
      </c>
      <c r="B370">
        <v>3</v>
      </c>
      <c r="C370" s="5">
        <v>1.099537037037037E-5</v>
      </c>
      <c r="D370">
        <v>2.625</v>
      </c>
      <c r="E370">
        <v>5</v>
      </c>
      <c r="F370">
        <v>2</v>
      </c>
      <c r="G370" s="5">
        <v>3.7037037037037037E-6</v>
      </c>
      <c r="H370" s="5">
        <v>6.9449074074074075E-3</v>
      </c>
      <c r="I370" s="5">
        <v>6.482175925925926E-3</v>
      </c>
      <c r="J370" s="5">
        <v>3.8194444444444442E-6</v>
      </c>
    </row>
    <row r="371" spans="1:10" x14ac:dyDescent="0.25">
      <c r="A371">
        <f ca="1">IF(_34445073613[[#This Row],[instance]]&lt;OFFSET(_34445073613[[#This Row],[instance]],-1,0), OFFSET(_34445073613[[#This Row],[model]],-1,0)+1, OFFSET(_34445073613[[#This Row],[model]],-1,0))</f>
        <v>4</v>
      </c>
      <c r="B371">
        <v>3</v>
      </c>
      <c r="C371" s="5">
        <v>1.099537037037037E-5</v>
      </c>
      <c r="D371">
        <v>2.875</v>
      </c>
      <c r="E371">
        <v>5</v>
      </c>
      <c r="F371">
        <v>2</v>
      </c>
      <c r="G371" s="5">
        <v>3.7037037037037037E-6</v>
      </c>
      <c r="H371" s="5">
        <v>6.9449074074074075E-3</v>
      </c>
      <c r="I371" s="5">
        <v>6.482175925925926E-3</v>
      </c>
      <c r="J371" s="5">
        <v>3.8194444444444442E-6</v>
      </c>
    </row>
    <row r="372" spans="1:10" x14ac:dyDescent="0.25">
      <c r="A372">
        <f ca="1">IF(_34445073613[[#This Row],[instance]]&lt;OFFSET(_34445073613[[#This Row],[instance]],-1,0), OFFSET(_34445073613[[#This Row],[model]],-1,0)+1, OFFSET(_34445073613[[#This Row],[model]],-1,0))</f>
        <v>4</v>
      </c>
      <c r="B372">
        <v>3</v>
      </c>
      <c r="C372" s="5">
        <v>1.099537037037037E-5</v>
      </c>
      <c r="D372">
        <v>2.875</v>
      </c>
      <c r="E372">
        <v>5</v>
      </c>
      <c r="F372">
        <v>1</v>
      </c>
      <c r="G372" s="5">
        <v>3.7037037037037037E-6</v>
      </c>
      <c r="H372" s="5">
        <v>6.9449074074074075E-3</v>
      </c>
      <c r="I372" s="5">
        <v>6.482175925925926E-3</v>
      </c>
      <c r="J372" s="5">
        <v>3.8194444444444442E-6</v>
      </c>
    </row>
    <row r="373" spans="1:10" x14ac:dyDescent="0.25">
      <c r="A373">
        <f ca="1">IF(_34445073613[[#This Row],[instance]]&lt;OFFSET(_34445073613[[#This Row],[instance]],-1,0), OFFSET(_34445073613[[#This Row],[model]],-1,0)+1, OFFSET(_34445073613[[#This Row],[model]],-1,0))</f>
        <v>4</v>
      </c>
      <c r="B373">
        <v>3</v>
      </c>
      <c r="C373" s="5">
        <v>1.099537037037037E-5</v>
      </c>
      <c r="D373">
        <v>3</v>
      </c>
      <c r="E373">
        <v>5</v>
      </c>
      <c r="F373">
        <v>1</v>
      </c>
      <c r="G373" s="5">
        <v>3.7037037037037037E-6</v>
      </c>
      <c r="H373" s="5">
        <v>6.9449074074074075E-3</v>
      </c>
      <c r="I373" s="5">
        <v>6.482175925925926E-3</v>
      </c>
      <c r="J373" s="5">
        <v>3.8194444444444442E-6</v>
      </c>
    </row>
    <row r="374" spans="1:10" x14ac:dyDescent="0.25">
      <c r="A374">
        <f ca="1">IF(_34445073613[[#This Row],[instance]]&lt;OFFSET(_34445073613[[#This Row],[instance]],-1,0), OFFSET(_34445073613[[#This Row],[model]],-1,0)+1, OFFSET(_34445073613[[#This Row],[model]],-1,0))</f>
        <v>4</v>
      </c>
      <c r="B374">
        <v>3</v>
      </c>
      <c r="C374" s="5">
        <v>1.111111111111111E-5</v>
      </c>
      <c r="D374">
        <v>3.25</v>
      </c>
      <c r="E374">
        <v>5</v>
      </c>
      <c r="F374">
        <v>1</v>
      </c>
      <c r="G374" s="5">
        <v>3.7037037037037037E-6</v>
      </c>
      <c r="H374" s="5">
        <v>6.9449074074074075E-3</v>
      </c>
      <c r="I374" s="5">
        <v>6.482175925925926E-3</v>
      </c>
      <c r="J374" s="5">
        <v>3.8194444444444442E-6</v>
      </c>
    </row>
    <row r="375" spans="1:10" x14ac:dyDescent="0.25">
      <c r="A375">
        <f ca="1">IF(_34445073613[[#This Row],[instance]]&lt;OFFSET(_34445073613[[#This Row],[instance]],-1,0), OFFSET(_34445073613[[#This Row],[model]],-1,0)+1, OFFSET(_34445073613[[#This Row],[model]],-1,0))</f>
        <v>4</v>
      </c>
      <c r="B375">
        <v>3</v>
      </c>
      <c r="C375" s="5">
        <v>1.111111111111111E-5</v>
      </c>
      <c r="D375">
        <v>3.375</v>
      </c>
      <c r="E375">
        <v>6</v>
      </c>
      <c r="F375">
        <v>2</v>
      </c>
      <c r="G375" s="5">
        <v>3.7037037037037037E-6</v>
      </c>
      <c r="H375" s="5">
        <v>6.9449074074074075E-3</v>
      </c>
      <c r="I375" s="5">
        <v>6.482175925925926E-3</v>
      </c>
      <c r="J375" s="5">
        <v>3.8194444444444442E-6</v>
      </c>
    </row>
    <row r="376" spans="1:10" x14ac:dyDescent="0.25">
      <c r="A376">
        <f ca="1">IF(_34445073613[[#This Row],[instance]]&lt;OFFSET(_34445073613[[#This Row],[instance]],-1,0), OFFSET(_34445073613[[#This Row],[model]],-1,0)+1, OFFSET(_34445073613[[#This Row],[model]],-1,0))</f>
        <v>4</v>
      </c>
      <c r="B376">
        <v>3</v>
      </c>
      <c r="C376" s="5">
        <v>9.3055555555555548E-5</v>
      </c>
      <c r="D376">
        <v>3.625</v>
      </c>
      <c r="E376">
        <v>6</v>
      </c>
      <c r="F376">
        <v>2</v>
      </c>
      <c r="G376" s="5">
        <v>3.7037037037037037E-6</v>
      </c>
      <c r="H376" s="5">
        <v>6.9449074074074075E-3</v>
      </c>
      <c r="I376" s="5">
        <v>6.482175925925926E-3</v>
      </c>
      <c r="J376" s="5">
        <v>3.8194444444444442E-6</v>
      </c>
    </row>
    <row r="377" spans="1:10" x14ac:dyDescent="0.25">
      <c r="A377">
        <f ca="1">IF(_34445073613[[#This Row],[instance]]&lt;OFFSET(_34445073613[[#This Row],[instance]],-1,0), OFFSET(_34445073613[[#This Row],[model]],-1,0)+1, OFFSET(_34445073613[[#This Row],[model]],-1,0))</f>
        <v>4</v>
      </c>
      <c r="B377">
        <v>3</v>
      </c>
      <c r="C377" s="5">
        <v>1.7743055555555554E-3</v>
      </c>
      <c r="D377">
        <v>3.75</v>
      </c>
      <c r="E377">
        <v>5</v>
      </c>
      <c r="F377">
        <v>2</v>
      </c>
      <c r="G377" s="5">
        <v>3.7037037037037037E-6</v>
      </c>
      <c r="H377" s="5">
        <v>6.9449074074074075E-3</v>
      </c>
      <c r="I377" s="5">
        <v>6.482175925925926E-3</v>
      </c>
      <c r="J377" s="5">
        <v>3.8194444444444442E-6</v>
      </c>
    </row>
    <row r="378" spans="1:10" x14ac:dyDescent="0.25">
      <c r="A378">
        <f ca="1">IF(_34445073613[[#This Row],[instance]]&lt;OFFSET(_34445073613[[#This Row],[instance]],-1,0), OFFSET(_34445073613[[#This Row],[model]],-1,0)+1, OFFSET(_34445073613[[#This Row],[model]],-1,0))</f>
        <v>4</v>
      </c>
      <c r="B378">
        <v>3</v>
      </c>
      <c r="C378" s="5">
        <v>2.0111111111111111E-3</v>
      </c>
      <c r="D378">
        <v>3.75</v>
      </c>
      <c r="E378">
        <v>5</v>
      </c>
      <c r="F378">
        <v>1</v>
      </c>
      <c r="G378" s="5">
        <v>3.7037037037037037E-6</v>
      </c>
      <c r="H378" s="5">
        <v>6.9449074074074075E-3</v>
      </c>
      <c r="I378" s="5">
        <v>6.482175925925926E-3</v>
      </c>
      <c r="J378" s="5">
        <v>3.8194444444444442E-6</v>
      </c>
    </row>
    <row r="379" spans="1:10" x14ac:dyDescent="0.25">
      <c r="A379">
        <f ca="1">IF(_34445073613[[#This Row],[instance]]&lt;OFFSET(_34445073613[[#This Row],[instance]],-1,0), OFFSET(_34445073613[[#This Row],[model]],-1,0)+1, OFFSET(_34445073613[[#This Row],[model]],-1,0))</f>
        <v>4</v>
      </c>
      <c r="B379">
        <v>3</v>
      </c>
      <c r="C379" s="5">
        <v>2.0228009259259257E-3</v>
      </c>
      <c r="D379">
        <v>4.125</v>
      </c>
      <c r="E379">
        <v>6</v>
      </c>
      <c r="F379">
        <v>2</v>
      </c>
      <c r="G379" s="5">
        <v>3.7037037037037037E-6</v>
      </c>
      <c r="H379" s="5">
        <v>6.9449074074074075E-3</v>
      </c>
      <c r="I379" s="5">
        <v>6.482175925925926E-3</v>
      </c>
      <c r="J379" s="5">
        <v>3.8194444444444442E-6</v>
      </c>
    </row>
    <row r="380" spans="1:10" x14ac:dyDescent="0.25">
      <c r="A380">
        <f ca="1">IF(_34445073613[[#This Row],[instance]]&lt;OFFSET(_34445073613[[#This Row],[instance]],-1,0), OFFSET(_34445073613[[#This Row],[model]],-1,0)+1, OFFSET(_34445073613[[#This Row],[model]],-1,0))</f>
        <v>4</v>
      </c>
      <c r="B380">
        <v>3</v>
      </c>
      <c r="C380" s="5">
        <v>2.9556712962962961E-3</v>
      </c>
      <c r="D380">
        <v>4.375</v>
      </c>
      <c r="E380">
        <v>7</v>
      </c>
      <c r="F380">
        <v>2</v>
      </c>
      <c r="G380" s="5">
        <v>3.7037037037037037E-6</v>
      </c>
      <c r="H380" s="5">
        <v>6.9449074074074075E-3</v>
      </c>
      <c r="I380" s="5">
        <v>6.482175925925926E-3</v>
      </c>
      <c r="J380" s="5">
        <v>3.8194444444444442E-6</v>
      </c>
    </row>
    <row r="381" spans="1:10" x14ac:dyDescent="0.25">
      <c r="A381">
        <f ca="1">IF(_34445073613[[#This Row],[instance]]&lt;OFFSET(_34445073613[[#This Row],[instance]],-1,0), OFFSET(_34445073613[[#This Row],[model]],-1,0)+1, OFFSET(_34445073613[[#This Row],[model]],-1,0))</f>
        <v>4</v>
      </c>
      <c r="B381">
        <v>3</v>
      </c>
      <c r="C381" s="5">
        <v>3.1118055555555556E-3</v>
      </c>
      <c r="D381">
        <v>4.5</v>
      </c>
      <c r="E381">
        <v>6</v>
      </c>
      <c r="F381">
        <v>2</v>
      </c>
      <c r="G381" s="5">
        <v>3.7037037037037037E-6</v>
      </c>
      <c r="H381" s="5">
        <v>6.9449074074074075E-3</v>
      </c>
      <c r="I381" s="5">
        <v>6.482175925925926E-3</v>
      </c>
      <c r="J381" s="5">
        <v>3.8194444444444442E-6</v>
      </c>
    </row>
    <row r="382" spans="1:10" x14ac:dyDescent="0.25">
      <c r="A382">
        <f ca="1">IF(_34445073613[[#This Row],[instance]]&lt;OFFSET(_34445073613[[#This Row],[instance]],-1,0), OFFSET(_34445073613[[#This Row],[model]],-1,0)+1, OFFSET(_34445073613[[#This Row],[model]],-1,0))</f>
        <v>4</v>
      </c>
      <c r="B382">
        <v>3</v>
      </c>
      <c r="C382" s="5">
        <v>3.1118055555555556E-3</v>
      </c>
      <c r="D382">
        <v>4.75</v>
      </c>
      <c r="E382">
        <v>7</v>
      </c>
      <c r="F382">
        <v>3</v>
      </c>
      <c r="G382" s="5">
        <v>3.7037037037037037E-6</v>
      </c>
      <c r="H382" s="5">
        <v>6.9449074074074075E-3</v>
      </c>
      <c r="I382" s="5">
        <v>6.482175925925926E-3</v>
      </c>
      <c r="J382" s="5">
        <v>3.8194444444444442E-6</v>
      </c>
    </row>
    <row r="383" spans="1:10" x14ac:dyDescent="0.25">
      <c r="A383">
        <f ca="1">IF(_34445073613[[#This Row],[instance]]&lt;OFFSET(_34445073613[[#This Row],[instance]],-1,0), OFFSET(_34445073613[[#This Row],[model]],-1,0)+1, OFFSET(_34445073613[[#This Row],[model]],-1,0))</f>
        <v>4</v>
      </c>
      <c r="B383">
        <v>3</v>
      </c>
      <c r="C383" s="5">
        <v>3.1251157407407408E-3</v>
      </c>
      <c r="D383">
        <v>4.75</v>
      </c>
      <c r="E383">
        <v>7</v>
      </c>
      <c r="F383">
        <v>2</v>
      </c>
      <c r="G383" s="5">
        <v>3.7037037037037037E-6</v>
      </c>
      <c r="H383" s="5">
        <v>6.9449074074074075E-3</v>
      </c>
      <c r="I383" s="5">
        <v>6.482175925925926E-3</v>
      </c>
      <c r="J383" s="5">
        <v>3.8194444444444442E-6</v>
      </c>
    </row>
    <row r="384" spans="1:10" x14ac:dyDescent="0.25">
      <c r="A384">
        <f ca="1">IF(_34445073613[[#This Row],[instance]]&lt;OFFSET(_34445073613[[#This Row],[instance]],-1,0), OFFSET(_34445073613[[#This Row],[model]],-1,0)+1, OFFSET(_34445073613[[#This Row],[model]],-1,0))</f>
        <v>4</v>
      </c>
      <c r="B384">
        <v>3</v>
      </c>
      <c r="C384" s="5">
        <v>3.1251157407407408E-3</v>
      </c>
      <c r="D384">
        <v>4.875</v>
      </c>
      <c r="E384">
        <v>7</v>
      </c>
      <c r="F384">
        <v>2</v>
      </c>
      <c r="G384" s="5">
        <v>3.7037037037037037E-6</v>
      </c>
      <c r="H384" s="5">
        <v>6.9449074074074075E-3</v>
      </c>
      <c r="I384" s="5">
        <v>6.482175925925926E-3</v>
      </c>
      <c r="J384" s="5">
        <v>3.8194444444444442E-6</v>
      </c>
    </row>
    <row r="385" spans="1:10" x14ac:dyDescent="0.25">
      <c r="A385">
        <f ca="1">IF(_34445073613[[#This Row],[instance]]&lt;OFFSET(_34445073613[[#This Row],[instance]],-1,0), OFFSET(_34445073613[[#This Row],[model]],-1,0)+1, OFFSET(_34445073613[[#This Row],[model]],-1,0))</f>
        <v>4</v>
      </c>
      <c r="B385">
        <v>3</v>
      </c>
      <c r="C385" s="5">
        <v>3.3097222222222221E-3</v>
      </c>
      <c r="D385">
        <v>5.125</v>
      </c>
      <c r="E385">
        <v>8</v>
      </c>
      <c r="F385">
        <v>2</v>
      </c>
      <c r="G385" s="5">
        <v>3.7037037037037037E-6</v>
      </c>
      <c r="H385" s="5">
        <v>6.9449074074074075E-3</v>
      </c>
      <c r="I385" s="5">
        <v>6.482175925925926E-3</v>
      </c>
      <c r="J385" s="5">
        <v>3.8194444444444442E-6</v>
      </c>
    </row>
    <row r="386" spans="1:10" x14ac:dyDescent="0.25">
      <c r="A386">
        <f ca="1">IF(_34445073613[[#This Row],[instance]]&lt;OFFSET(_34445073613[[#This Row],[instance]],-1,0), OFFSET(_34445073613[[#This Row],[model]],-1,0)+1, OFFSET(_34445073613[[#This Row],[model]],-1,0))</f>
        <v>4</v>
      </c>
      <c r="B386">
        <v>3</v>
      </c>
      <c r="C386" s="5">
        <v>3.331712962962963E-3</v>
      </c>
      <c r="D386">
        <v>5.25</v>
      </c>
      <c r="E386">
        <v>7</v>
      </c>
      <c r="F386">
        <v>3</v>
      </c>
      <c r="G386" s="5">
        <v>3.7037037037037037E-6</v>
      </c>
      <c r="H386" s="5">
        <v>6.9449074074074075E-3</v>
      </c>
      <c r="I386" s="5">
        <v>6.482175925925926E-3</v>
      </c>
      <c r="J386" s="5">
        <v>3.8194444444444442E-6</v>
      </c>
    </row>
    <row r="387" spans="1:10" x14ac:dyDescent="0.25">
      <c r="A387">
        <f ca="1">IF(_34445073613[[#This Row],[instance]]&lt;OFFSET(_34445073613[[#This Row],[instance]],-1,0), OFFSET(_34445073613[[#This Row],[model]],-1,0)+1, OFFSET(_34445073613[[#This Row],[model]],-1,0))</f>
        <v>4</v>
      </c>
      <c r="B387">
        <v>3</v>
      </c>
      <c r="C387" s="5">
        <v>3.3590277777777776E-3</v>
      </c>
      <c r="D387">
        <v>5.25</v>
      </c>
      <c r="E387">
        <v>7</v>
      </c>
      <c r="F387">
        <v>2</v>
      </c>
      <c r="G387" s="5">
        <v>3.7037037037037037E-6</v>
      </c>
      <c r="H387" s="5">
        <v>6.9449074074074075E-3</v>
      </c>
      <c r="I387" s="5">
        <v>6.482175925925926E-3</v>
      </c>
      <c r="J387" s="5">
        <v>3.8194444444444442E-6</v>
      </c>
    </row>
    <row r="388" spans="1:10" x14ac:dyDescent="0.25">
      <c r="A388">
        <f ca="1">IF(_34445073613[[#This Row],[instance]]&lt;OFFSET(_34445073613[[#This Row],[instance]],-1,0), OFFSET(_34445073613[[#This Row],[model]],-1,0)+1, OFFSET(_34445073613[[#This Row],[model]],-1,0))</f>
        <v>4</v>
      </c>
      <c r="B388">
        <v>4</v>
      </c>
      <c r="C388" s="5">
        <v>7.9861111111111102E-6</v>
      </c>
      <c r="D388">
        <v>0</v>
      </c>
      <c r="E388">
        <v>0</v>
      </c>
      <c r="F388">
        <v>0</v>
      </c>
      <c r="G388" s="5">
        <v>3.7037037037037037E-6</v>
      </c>
      <c r="H388" s="5">
        <v>6.9449074074074075E-3</v>
      </c>
      <c r="I388" s="5">
        <v>6.482175925925926E-3</v>
      </c>
      <c r="J388" s="5">
        <v>3.8194444444444442E-6</v>
      </c>
    </row>
    <row r="389" spans="1:10" x14ac:dyDescent="0.25">
      <c r="A389">
        <f ca="1">IF(_34445073613[[#This Row],[instance]]&lt;OFFSET(_34445073613[[#This Row],[instance]],-1,0), OFFSET(_34445073613[[#This Row],[model]],-1,0)+1, OFFSET(_34445073613[[#This Row],[model]],-1,0))</f>
        <v>4</v>
      </c>
      <c r="B389">
        <v>4</v>
      </c>
      <c r="C389" s="5">
        <v>1.4699074074074073E-5</v>
      </c>
      <c r="D389">
        <v>2.625</v>
      </c>
      <c r="E389">
        <v>4</v>
      </c>
      <c r="F389">
        <v>1</v>
      </c>
      <c r="G389" s="5">
        <v>3.7037037037037037E-6</v>
      </c>
      <c r="H389" s="5">
        <v>6.9449074074074075E-3</v>
      </c>
      <c r="I389" s="5">
        <v>6.482175925925926E-3</v>
      </c>
      <c r="J389" s="5">
        <v>3.8194444444444442E-6</v>
      </c>
    </row>
    <row r="390" spans="1:10" x14ac:dyDescent="0.25">
      <c r="A390">
        <f ca="1">IF(_34445073613[[#This Row],[instance]]&lt;OFFSET(_34445073613[[#This Row],[instance]],-1,0), OFFSET(_34445073613[[#This Row],[model]],-1,0)+1, OFFSET(_34445073613[[#This Row],[model]],-1,0))</f>
        <v>4</v>
      </c>
      <c r="B390">
        <v>4</v>
      </c>
      <c r="C390" s="5">
        <v>1.4699074074074073E-5</v>
      </c>
      <c r="D390">
        <v>3</v>
      </c>
      <c r="E390">
        <v>4</v>
      </c>
      <c r="F390">
        <v>1</v>
      </c>
      <c r="G390" s="5">
        <v>3.7037037037037037E-6</v>
      </c>
      <c r="H390" s="5">
        <v>6.9449074074074075E-3</v>
      </c>
      <c r="I390" s="5">
        <v>6.482175925925926E-3</v>
      </c>
      <c r="J390" s="5">
        <v>3.8194444444444442E-6</v>
      </c>
    </row>
    <row r="391" spans="1:10" x14ac:dyDescent="0.25">
      <c r="A391">
        <f ca="1">IF(_34445073613[[#This Row],[instance]]&lt;OFFSET(_34445073613[[#This Row],[instance]],-1,0), OFFSET(_34445073613[[#This Row],[model]],-1,0)+1, OFFSET(_34445073613[[#This Row],[model]],-1,0))</f>
        <v>4</v>
      </c>
      <c r="B391">
        <v>4</v>
      </c>
      <c r="C391" s="5">
        <v>1.6550925925925924E-5</v>
      </c>
      <c r="D391">
        <v>3.375</v>
      </c>
      <c r="E391">
        <v>5</v>
      </c>
      <c r="F391">
        <v>1</v>
      </c>
      <c r="G391" s="5">
        <v>3.7037037037037037E-6</v>
      </c>
      <c r="H391" s="5">
        <v>6.9449074074074075E-3</v>
      </c>
      <c r="I391" s="5">
        <v>6.482175925925926E-3</v>
      </c>
      <c r="J391" s="5">
        <v>3.8194444444444442E-6</v>
      </c>
    </row>
    <row r="392" spans="1:10" x14ac:dyDescent="0.25">
      <c r="A392">
        <f ca="1">IF(_34445073613[[#This Row],[instance]]&lt;OFFSET(_34445073613[[#This Row],[instance]],-1,0), OFFSET(_34445073613[[#This Row],[model]],-1,0)+1, OFFSET(_34445073613[[#This Row],[model]],-1,0))</f>
        <v>4</v>
      </c>
      <c r="B392">
        <v>4</v>
      </c>
      <c r="C392" s="5">
        <v>1.9328703703703702E-5</v>
      </c>
      <c r="D392">
        <v>3.75</v>
      </c>
      <c r="E392">
        <v>5</v>
      </c>
      <c r="F392">
        <v>1</v>
      </c>
      <c r="G392" s="5">
        <v>3.7037037037037037E-6</v>
      </c>
      <c r="H392" s="5">
        <v>6.9449074074074075E-3</v>
      </c>
      <c r="I392" s="5">
        <v>6.482175925925926E-3</v>
      </c>
      <c r="J392" s="5">
        <v>3.8194444444444442E-6</v>
      </c>
    </row>
    <row r="393" spans="1:10" x14ac:dyDescent="0.25">
      <c r="A393">
        <f ca="1">IF(_34445073613[[#This Row],[instance]]&lt;OFFSET(_34445073613[[#This Row],[instance]],-1,0), OFFSET(_34445073613[[#This Row],[model]],-1,0)+1, OFFSET(_34445073613[[#This Row],[model]],-1,0))</f>
        <v>4</v>
      </c>
      <c r="B393">
        <v>4</v>
      </c>
      <c r="C393" s="5">
        <v>2.2569444444444443E-5</v>
      </c>
      <c r="D393">
        <v>4.125</v>
      </c>
      <c r="E393">
        <v>6</v>
      </c>
      <c r="F393">
        <v>1</v>
      </c>
      <c r="G393" s="5">
        <v>3.7037037037037037E-6</v>
      </c>
      <c r="H393" s="5">
        <v>6.9449074074074075E-3</v>
      </c>
      <c r="I393" s="5">
        <v>6.482175925925926E-3</v>
      </c>
      <c r="J393" s="5">
        <v>3.8194444444444442E-6</v>
      </c>
    </row>
    <row r="394" spans="1:10" x14ac:dyDescent="0.25">
      <c r="A394">
        <f ca="1">IF(_34445073613[[#This Row],[instance]]&lt;OFFSET(_34445073613[[#This Row],[instance]],-1,0), OFFSET(_34445073613[[#This Row],[model]],-1,0)+1, OFFSET(_34445073613[[#This Row],[model]],-1,0))</f>
        <v>4</v>
      </c>
      <c r="B394">
        <v>4</v>
      </c>
      <c r="C394" s="5">
        <v>2.2569444444444443E-5</v>
      </c>
      <c r="D394">
        <v>4.5</v>
      </c>
      <c r="E394">
        <v>6</v>
      </c>
      <c r="F394">
        <v>1</v>
      </c>
      <c r="G394" s="5">
        <v>3.7037037037037037E-6</v>
      </c>
      <c r="H394" s="5">
        <v>6.9449074074074075E-3</v>
      </c>
      <c r="I394" s="5">
        <v>6.482175925925926E-3</v>
      </c>
      <c r="J394" s="5">
        <v>3.8194444444444442E-6</v>
      </c>
    </row>
    <row r="395" spans="1:10" x14ac:dyDescent="0.25">
      <c r="A395">
        <f ca="1">IF(_34445073613[[#This Row],[instance]]&lt;OFFSET(_34445073613[[#This Row],[instance]],-1,0), OFFSET(_34445073613[[#This Row],[model]],-1,0)+1, OFFSET(_34445073613[[#This Row],[model]],-1,0))</f>
        <v>4</v>
      </c>
      <c r="B395">
        <v>5</v>
      </c>
      <c r="C395" s="5">
        <v>9.722222222222221E-6</v>
      </c>
      <c r="D395">
        <v>0</v>
      </c>
      <c r="E395">
        <v>0</v>
      </c>
      <c r="F395">
        <v>0</v>
      </c>
      <c r="G395" s="5">
        <v>4.7453703703703705E-6</v>
      </c>
      <c r="H395" s="5">
        <v>6.9449074074074075E-3</v>
      </c>
      <c r="I395" s="5">
        <v>6.482175925925926E-3</v>
      </c>
      <c r="J395" s="5">
        <v>3.8194444444444442E-6</v>
      </c>
    </row>
    <row r="396" spans="1:10" x14ac:dyDescent="0.25">
      <c r="A396">
        <f ca="1">IF(_34445073613[[#This Row],[instance]]&lt;OFFSET(_34445073613[[#This Row],[instance]],-1,0), OFFSET(_34445073613[[#This Row],[model]],-1,0)+1, OFFSET(_34445073613[[#This Row],[model]],-1,0))</f>
        <v>4</v>
      </c>
      <c r="B396">
        <v>5</v>
      </c>
      <c r="C396" s="5">
        <v>1.0069444444444445E-5</v>
      </c>
      <c r="D396">
        <v>1.375</v>
      </c>
      <c r="E396">
        <v>2</v>
      </c>
      <c r="F396">
        <v>1</v>
      </c>
      <c r="G396" s="5">
        <v>4.7453703703703705E-6</v>
      </c>
      <c r="H396" s="5">
        <v>6.9449074074074075E-3</v>
      </c>
      <c r="I396" s="5">
        <v>6.482175925925926E-3</v>
      </c>
      <c r="J396" s="5">
        <v>3.8194444444444442E-6</v>
      </c>
    </row>
    <row r="397" spans="1:10" x14ac:dyDescent="0.25">
      <c r="A397">
        <f ca="1">IF(_34445073613[[#This Row],[instance]]&lt;OFFSET(_34445073613[[#This Row],[instance]],-1,0), OFFSET(_34445073613[[#This Row],[model]],-1,0)+1, OFFSET(_34445073613[[#This Row],[model]],-1,0))</f>
        <v>4</v>
      </c>
      <c r="B397">
        <v>5</v>
      </c>
      <c r="C397" s="5">
        <v>1.0069444444444445E-5</v>
      </c>
      <c r="D397">
        <v>1.75</v>
      </c>
      <c r="E397">
        <v>3</v>
      </c>
      <c r="F397">
        <v>1</v>
      </c>
      <c r="G397" s="5">
        <v>4.7453703703703705E-6</v>
      </c>
      <c r="H397" s="5">
        <v>6.9449074074074075E-3</v>
      </c>
      <c r="I397" s="5">
        <v>6.482175925925926E-3</v>
      </c>
      <c r="J397" s="5">
        <v>3.8194444444444442E-6</v>
      </c>
    </row>
    <row r="398" spans="1:10" x14ac:dyDescent="0.25">
      <c r="A398">
        <f ca="1">IF(_34445073613[[#This Row],[instance]]&lt;OFFSET(_34445073613[[#This Row],[instance]],-1,0), OFFSET(_34445073613[[#This Row],[model]],-1,0)+1, OFFSET(_34445073613[[#This Row],[model]],-1,0))</f>
        <v>4</v>
      </c>
      <c r="B398">
        <v>5</v>
      </c>
      <c r="C398" s="5">
        <v>1.0185185185185185E-5</v>
      </c>
      <c r="D398">
        <v>1.875</v>
      </c>
      <c r="E398">
        <v>2</v>
      </c>
      <c r="F398">
        <v>1</v>
      </c>
      <c r="G398" s="5">
        <v>4.7453703703703705E-6</v>
      </c>
      <c r="H398" s="5">
        <v>6.9449074074074075E-3</v>
      </c>
      <c r="I398" s="5">
        <v>6.482175925925926E-3</v>
      </c>
      <c r="J398" s="5">
        <v>3.8194444444444442E-6</v>
      </c>
    </row>
    <row r="399" spans="1:10" x14ac:dyDescent="0.25">
      <c r="A399">
        <f ca="1">IF(_34445073613[[#This Row],[instance]]&lt;OFFSET(_34445073613[[#This Row],[instance]],-1,0), OFFSET(_34445073613[[#This Row],[model]],-1,0)+1, OFFSET(_34445073613[[#This Row],[model]],-1,0))</f>
        <v>4</v>
      </c>
      <c r="B399">
        <v>5</v>
      </c>
      <c r="C399" s="5">
        <v>1.0185185185185185E-5</v>
      </c>
      <c r="D399">
        <v>2.25</v>
      </c>
      <c r="E399">
        <v>3</v>
      </c>
      <c r="F399">
        <v>1</v>
      </c>
      <c r="G399" s="5">
        <v>4.7453703703703705E-6</v>
      </c>
      <c r="H399" s="5">
        <v>6.9449074074074075E-3</v>
      </c>
      <c r="I399" s="5">
        <v>6.482175925925926E-3</v>
      </c>
      <c r="J399" s="5">
        <v>3.8194444444444442E-6</v>
      </c>
    </row>
    <row r="400" spans="1:10" x14ac:dyDescent="0.25">
      <c r="A400">
        <f ca="1">IF(_34445073613[[#This Row],[instance]]&lt;OFFSET(_34445073613[[#This Row],[instance]],-1,0), OFFSET(_34445073613[[#This Row],[model]],-1,0)+1, OFFSET(_34445073613[[#This Row],[model]],-1,0))</f>
        <v>4</v>
      </c>
      <c r="B400">
        <v>5</v>
      </c>
      <c r="C400" s="5">
        <v>1.0185185185185185E-5</v>
      </c>
      <c r="D400">
        <v>2.5</v>
      </c>
      <c r="E400">
        <v>2</v>
      </c>
      <c r="F400">
        <v>1</v>
      </c>
      <c r="G400" s="5">
        <v>4.7453703703703705E-6</v>
      </c>
      <c r="H400" s="5">
        <v>6.9449074074074075E-3</v>
      </c>
      <c r="I400" s="5">
        <v>6.482175925925926E-3</v>
      </c>
      <c r="J400" s="5">
        <v>3.8194444444444442E-6</v>
      </c>
    </row>
    <row r="401" spans="1:10" x14ac:dyDescent="0.25">
      <c r="A401">
        <f ca="1">IF(_34445073613[[#This Row],[instance]]&lt;OFFSET(_34445073613[[#This Row],[instance]],-1,0), OFFSET(_34445073613[[#This Row],[model]],-1,0)+1, OFFSET(_34445073613[[#This Row],[model]],-1,0))</f>
        <v>4</v>
      </c>
      <c r="B401">
        <v>5</v>
      </c>
      <c r="C401" s="5">
        <v>1.0185185185185185E-5</v>
      </c>
      <c r="D401">
        <v>2.875</v>
      </c>
      <c r="E401">
        <v>3</v>
      </c>
      <c r="F401">
        <v>1</v>
      </c>
      <c r="G401" s="5">
        <v>4.7453703703703705E-6</v>
      </c>
      <c r="H401" s="5">
        <v>6.9449074074074075E-3</v>
      </c>
      <c r="I401" s="5">
        <v>6.482175925925926E-3</v>
      </c>
      <c r="J401" s="5">
        <v>3.8194444444444442E-6</v>
      </c>
    </row>
    <row r="402" spans="1:10" x14ac:dyDescent="0.25">
      <c r="A402">
        <f ca="1">IF(_34445073613[[#This Row],[instance]]&lt;OFFSET(_34445073613[[#This Row],[instance]],-1,0), OFFSET(_34445073613[[#This Row],[model]],-1,0)+1, OFFSET(_34445073613[[#This Row],[model]],-1,0))</f>
        <v>4</v>
      </c>
      <c r="B402">
        <v>5</v>
      </c>
      <c r="C402" s="5">
        <v>1.0185185185185185E-5</v>
      </c>
      <c r="D402">
        <v>3.25</v>
      </c>
      <c r="E402">
        <v>4</v>
      </c>
      <c r="F402">
        <v>1</v>
      </c>
      <c r="G402" s="5">
        <v>4.7453703703703705E-6</v>
      </c>
      <c r="H402" s="5">
        <v>6.9449074074074075E-3</v>
      </c>
      <c r="I402" s="5">
        <v>6.482175925925926E-3</v>
      </c>
      <c r="J402" s="5">
        <v>3.8194444444444442E-6</v>
      </c>
    </row>
    <row r="403" spans="1:10" x14ac:dyDescent="0.25">
      <c r="A403">
        <f ca="1">IF(_34445073613[[#This Row],[instance]]&lt;OFFSET(_34445073613[[#This Row],[instance]],-1,0), OFFSET(_34445073613[[#This Row],[model]],-1,0)+1, OFFSET(_34445073613[[#This Row],[model]],-1,0))</f>
        <v>4</v>
      </c>
      <c r="B403">
        <v>5</v>
      </c>
      <c r="C403" s="5">
        <v>1.0185185185185185E-5</v>
      </c>
      <c r="D403">
        <v>3.375</v>
      </c>
      <c r="E403">
        <v>3</v>
      </c>
      <c r="F403">
        <v>1</v>
      </c>
      <c r="G403" s="5">
        <v>4.7453703703703705E-6</v>
      </c>
      <c r="H403" s="5">
        <v>6.9449074074074075E-3</v>
      </c>
      <c r="I403" s="5">
        <v>6.482175925925926E-3</v>
      </c>
      <c r="J403" s="5">
        <v>3.8194444444444442E-6</v>
      </c>
    </row>
    <row r="404" spans="1:10" x14ac:dyDescent="0.25">
      <c r="A404">
        <f ca="1">IF(_34445073613[[#This Row],[instance]]&lt;OFFSET(_34445073613[[#This Row],[instance]],-1,0), OFFSET(_34445073613[[#This Row],[model]],-1,0)+1, OFFSET(_34445073613[[#This Row],[model]],-1,0))</f>
        <v>4</v>
      </c>
      <c r="B404">
        <v>5</v>
      </c>
      <c r="C404" s="5">
        <v>1.0300925925925926E-5</v>
      </c>
      <c r="D404">
        <v>3.75</v>
      </c>
      <c r="E404">
        <v>4</v>
      </c>
      <c r="F404">
        <v>1</v>
      </c>
      <c r="G404" s="5">
        <v>4.7453703703703705E-6</v>
      </c>
      <c r="H404" s="5">
        <v>6.9449074074074075E-3</v>
      </c>
      <c r="I404" s="5">
        <v>6.482175925925926E-3</v>
      </c>
      <c r="J404" s="5">
        <v>3.8194444444444442E-6</v>
      </c>
    </row>
    <row r="405" spans="1:10" x14ac:dyDescent="0.25">
      <c r="A405">
        <f ca="1">IF(_34445073613[[#This Row],[instance]]&lt;OFFSET(_34445073613[[#This Row],[instance]],-1,0), OFFSET(_34445073613[[#This Row],[model]],-1,0)+1, OFFSET(_34445073613[[#This Row],[model]],-1,0))</f>
        <v>4</v>
      </c>
      <c r="B405">
        <v>5</v>
      </c>
      <c r="C405" s="5">
        <v>1.0300925925925926E-5</v>
      </c>
      <c r="D405">
        <v>4</v>
      </c>
      <c r="E405">
        <v>3</v>
      </c>
      <c r="F405">
        <v>1</v>
      </c>
      <c r="G405" s="5">
        <v>4.7453703703703705E-6</v>
      </c>
      <c r="H405" s="5">
        <v>6.9449074074074075E-3</v>
      </c>
      <c r="I405" s="5">
        <v>6.482175925925926E-3</v>
      </c>
      <c r="J405" s="5">
        <v>3.8194444444444442E-6</v>
      </c>
    </row>
    <row r="406" spans="1:10" x14ac:dyDescent="0.25">
      <c r="A406">
        <f ca="1">IF(_34445073613[[#This Row],[instance]]&lt;OFFSET(_34445073613[[#This Row],[instance]],-1,0), OFFSET(_34445073613[[#This Row],[model]],-1,0)+1, OFFSET(_34445073613[[#This Row],[model]],-1,0))</f>
        <v>4</v>
      </c>
      <c r="B406">
        <v>5</v>
      </c>
      <c r="C406" s="5">
        <v>1.0300925925925926E-5</v>
      </c>
      <c r="D406">
        <v>4.375</v>
      </c>
      <c r="E406">
        <v>4</v>
      </c>
      <c r="F406">
        <v>1</v>
      </c>
      <c r="G406" s="5">
        <v>4.7453703703703705E-6</v>
      </c>
      <c r="H406" s="5">
        <v>6.9449074074074075E-3</v>
      </c>
      <c r="I406" s="5">
        <v>6.482175925925926E-3</v>
      </c>
      <c r="J406" s="5">
        <v>3.8194444444444442E-6</v>
      </c>
    </row>
    <row r="407" spans="1:10" x14ac:dyDescent="0.25">
      <c r="A407">
        <f ca="1">IF(_34445073613[[#This Row],[instance]]&lt;OFFSET(_34445073613[[#This Row],[instance]],-1,0), OFFSET(_34445073613[[#This Row],[model]],-1,0)+1, OFFSET(_34445073613[[#This Row],[model]],-1,0))</f>
        <v>4</v>
      </c>
      <c r="B407">
        <v>5</v>
      </c>
      <c r="C407" s="5">
        <v>1.0416666666666666E-5</v>
      </c>
      <c r="D407">
        <v>4.75</v>
      </c>
      <c r="E407">
        <v>5</v>
      </c>
      <c r="F407">
        <v>1</v>
      </c>
      <c r="G407" s="5">
        <v>4.7453703703703705E-6</v>
      </c>
      <c r="H407" s="5">
        <v>6.9449074074074075E-3</v>
      </c>
      <c r="I407" s="5">
        <v>6.482175925925926E-3</v>
      </c>
      <c r="J407" s="5">
        <v>3.8194444444444442E-6</v>
      </c>
    </row>
    <row r="408" spans="1:10" x14ac:dyDescent="0.25">
      <c r="A408">
        <f ca="1">IF(_34445073613[[#This Row],[instance]]&lt;OFFSET(_34445073613[[#This Row],[instance]],-1,0), OFFSET(_34445073613[[#This Row],[model]],-1,0)+1, OFFSET(_34445073613[[#This Row],[model]],-1,0))</f>
        <v>4</v>
      </c>
      <c r="B408">
        <v>5</v>
      </c>
      <c r="C408" s="5">
        <v>1.0416666666666666E-5</v>
      </c>
      <c r="D408">
        <v>4.875</v>
      </c>
      <c r="E408">
        <v>4</v>
      </c>
      <c r="F408">
        <v>2</v>
      </c>
      <c r="G408" s="5">
        <v>4.7453703703703705E-6</v>
      </c>
      <c r="H408" s="5">
        <v>6.9449074074074075E-3</v>
      </c>
      <c r="I408" s="5">
        <v>6.482175925925926E-3</v>
      </c>
      <c r="J408" s="5">
        <v>3.8194444444444442E-6</v>
      </c>
    </row>
    <row r="409" spans="1:10" x14ac:dyDescent="0.25">
      <c r="A409">
        <f ca="1">IF(_34445073613[[#This Row],[instance]]&lt;OFFSET(_34445073613[[#This Row],[instance]],-1,0), OFFSET(_34445073613[[#This Row],[model]],-1,0)+1, OFFSET(_34445073613[[#This Row],[model]],-1,0))</f>
        <v>4</v>
      </c>
      <c r="B409">
        <v>6</v>
      </c>
      <c r="C409" s="5">
        <v>7.9861111111111102E-6</v>
      </c>
      <c r="D409">
        <v>0</v>
      </c>
      <c r="E409">
        <v>0</v>
      </c>
      <c r="F409">
        <v>0</v>
      </c>
      <c r="G409" s="5">
        <v>3.7037037037037037E-6</v>
      </c>
      <c r="H409" s="5">
        <v>6.9449074074074075E-3</v>
      </c>
      <c r="I409" s="5">
        <v>6.482175925925926E-3</v>
      </c>
      <c r="J409" s="5">
        <v>3.8194444444444442E-6</v>
      </c>
    </row>
    <row r="410" spans="1:10" x14ac:dyDescent="0.25">
      <c r="A410">
        <f ca="1">IF(_34445073613[[#This Row],[instance]]&lt;OFFSET(_34445073613[[#This Row],[instance]],-1,0), OFFSET(_34445073613[[#This Row],[model]],-1,0)+1, OFFSET(_34445073613[[#This Row],[model]],-1,0))</f>
        <v>4</v>
      </c>
      <c r="B410">
        <v>6</v>
      </c>
      <c r="C410" s="5">
        <v>1.3541666666666666E-5</v>
      </c>
      <c r="D410">
        <v>1.5</v>
      </c>
      <c r="E410">
        <v>4</v>
      </c>
      <c r="F410">
        <v>1</v>
      </c>
      <c r="G410" s="5">
        <v>3.7037037037037037E-6</v>
      </c>
      <c r="H410" s="5">
        <v>6.9449074074074075E-3</v>
      </c>
      <c r="I410" s="5">
        <v>6.482175925925926E-3</v>
      </c>
      <c r="J410" s="5">
        <v>3.8194444444444442E-6</v>
      </c>
    </row>
    <row r="411" spans="1:10" x14ac:dyDescent="0.25">
      <c r="A411">
        <f ca="1">IF(_34445073613[[#This Row],[instance]]&lt;OFFSET(_34445073613[[#This Row],[instance]],-1,0), OFFSET(_34445073613[[#This Row],[model]],-1,0)+1, OFFSET(_34445073613[[#This Row],[model]],-1,0))</f>
        <v>4</v>
      </c>
      <c r="B411">
        <v>6</v>
      </c>
      <c r="C411" s="5">
        <v>1.7245370370370371E-5</v>
      </c>
      <c r="D411">
        <v>1.875</v>
      </c>
      <c r="E411">
        <v>5</v>
      </c>
      <c r="F411">
        <v>1</v>
      </c>
      <c r="G411" s="5">
        <v>3.7037037037037037E-6</v>
      </c>
      <c r="H411" s="5">
        <v>6.9449074074074075E-3</v>
      </c>
      <c r="I411" s="5">
        <v>6.482175925925926E-3</v>
      </c>
      <c r="J411" s="5">
        <v>3.8194444444444442E-6</v>
      </c>
    </row>
    <row r="412" spans="1:10" x14ac:dyDescent="0.25">
      <c r="A412">
        <f ca="1">IF(_34445073613[[#This Row],[instance]]&lt;OFFSET(_34445073613[[#This Row],[instance]],-1,0), OFFSET(_34445073613[[#This Row],[model]],-1,0)+1, OFFSET(_34445073613[[#This Row],[model]],-1,0))</f>
        <v>4</v>
      </c>
      <c r="B412">
        <v>6</v>
      </c>
      <c r="C412" s="5">
        <v>1.7245370370370371E-5</v>
      </c>
      <c r="D412">
        <v>2.25</v>
      </c>
      <c r="E412">
        <v>3</v>
      </c>
      <c r="F412">
        <v>1</v>
      </c>
      <c r="G412" s="5">
        <v>3.7037037037037037E-6</v>
      </c>
      <c r="H412" s="5">
        <v>6.9449074074074075E-3</v>
      </c>
      <c r="I412" s="5">
        <v>6.482175925925926E-3</v>
      </c>
      <c r="J412" s="5">
        <v>3.8194444444444442E-6</v>
      </c>
    </row>
    <row r="413" spans="1:10" x14ac:dyDescent="0.25">
      <c r="A413">
        <f ca="1">IF(_34445073613[[#This Row],[instance]]&lt;OFFSET(_34445073613[[#This Row],[instance]],-1,0), OFFSET(_34445073613[[#This Row],[model]],-1,0)+1, OFFSET(_34445073613[[#This Row],[model]],-1,0))</f>
        <v>4</v>
      </c>
      <c r="B413">
        <v>6</v>
      </c>
      <c r="C413" s="5">
        <v>1.7245370370370371E-5</v>
      </c>
      <c r="D413">
        <v>2.625</v>
      </c>
      <c r="E413">
        <v>4</v>
      </c>
      <c r="F413">
        <v>1</v>
      </c>
      <c r="G413" s="5">
        <v>3.7037037037037037E-6</v>
      </c>
      <c r="H413" s="5">
        <v>6.9449074074074075E-3</v>
      </c>
      <c r="I413" s="5">
        <v>6.482175925925926E-3</v>
      </c>
      <c r="J413" s="5">
        <v>3.8194444444444442E-6</v>
      </c>
    </row>
    <row r="414" spans="1:10" x14ac:dyDescent="0.25">
      <c r="A414">
        <f ca="1">IF(_34445073613[[#This Row],[instance]]&lt;OFFSET(_34445073613[[#This Row],[instance]],-1,0), OFFSET(_34445073613[[#This Row],[model]],-1,0)+1, OFFSET(_34445073613[[#This Row],[model]],-1,0))</f>
        <v>4</v>
      </c>
      <c r="B414">
        <v>6</v>
      </c>
      <c r="C414" s="5">
        <v>2.6041666666666665E-5</v>
      </c>
      <c r="D414">
        <v>3</v>
      </c>
      <c r="E414">
        <v>1</v>
      </c>
      <c r="F414">
        <v>1</v>
      </c>
      <c r="G414" s="5">
        <v>3.7037037037037037E-6</v>
      </c>
      <c r="H414" s="5">
        <v>6.9449074074074075E-3</v>
      </c>
      <c r="I414" s="5">
        <v>6.482175925925926E-3</v>
      </c>
      <c r="J414" s="5">
        <v>3.8194444444444442E-6</v>
      </c>
    </row>
    <row r="415" spans="1:10" x14ac:dyDescent="0.25">
      <c r="A415">
        <f ca="1">IF(_34445073613[[#This Row],[instance]]&lt;OFFSET(_34445073613[[#This Row],[instance]],-1,0), OFFSET(_34445073613[[#This Row],[model]],-1,0)+1, OFFSET(_34445073613[[#This Row],[model]],-1,0))</f>
        <v>4</v>
      </c>
      <c r="B415">
        <v>6</v>
      </c>
      <c r="C415" s="5">
        <v>2.6041666666666665E-5</v>
      </c>
      <c r="D415">
        <v>3.375</v>
      </c>
      <c r="E415">
        <v>6</v>
      </c>
      <c r="F415">
        <v>2</v>
      </c>
      <c r="G415" s="5">
        <v>3.7037037037037037E-6</v>
      </c>
      <c r="H415" s="5">
        <v>6.9449074074074075E-3</v>
      </c>
      <c r="I415" s="5">
        <v>6.482175925925926E-3</v>
      </c>
      <c r="J415" s="5">
        <v>3.8194444444444442E-6</v>
      </c>
    </row>
    <row r="416" spans="1:10" x14ac:dyDescent="0.25">
      <c r="A416">
        <f ca="1">IF(_34445073613[[#This Row],[instance]]&lt;OFFSET(_34445073613[[#This Row],[instance]],-1,0), OFFSET(_34445073613[[#This Row],[model]],-1,0)+1, OFFSET(_34445073613[[#This Row],[model]],-1,0))</f>
        <v>4</v>
      </c>
      <c r="B416">
        <v>6</v>
      </c>
      <c r="C416" s="5">
        <v>3.3148148148148148E-4</v>
      </c>
      <c r="D416">
        <v>4.5</v>
      </c>
      <c r="E416">
        <v>5</v>
      </c>
      <c r="F416">
        <v>2</v>
      </c>
      <c r="G416" s="5">
        <v>3.7037037037037037E-6</v>
      </c>
      <c r="H416" s="5">
        <v>6.9449074074074075E-3</v>
      </c>
      <c r="I416" s="5">
        <v>6.482175925925926E-3</v>
      </c>
      <c r="J416" s="5">
        <v>3.8194444444444442E-6</v>
      </c>
    </row>
    <row r="417" spans="1:10" x14ac:dyDescent="0.25">
      <c r="A417">
        <f ca="1">IF(_34445073613[[#This Row],[instance]]&lt;OFFSET(_34445073613[[#This Row],[instance]],-1,0), OFFSET(_34445073613[[#This Row],[model]],-1,0)+1, OFFSET(_34445073613[[#This Row],[model]],-1,0))</f>
        <v>4</v>
      </c>
      <c r="B417">
        <v>6</v>
      </c>
      <c r="C417" s="5">
        <v>3.5972222222222221E-4</v>
      </c>
      <c r="D417">
        <v>4.875</v>
      </c>
      <c r="E417">
        <v>6</v>
      </c>
      <c r="F417">
        <v>2</v>
      </c>
      <c r="G417" s="5">
        <v>3.7037037037037037E-6</v>
      </c>
      <c r="H417" s="5">
        <v>6.9449074074074075E-3</v>
      </c>
      <c r="I417" s="5">
        <v>6.482175925925926E-3</v>
      </c>
      <c r="J417" s="5">
        <v>3.8194444444444442E-6</v>
      </c>
    </row>
    <row r="418" spans="1:10" x14ac:dyDescent="0.25">
      <c r="A418">
        <f ca="1">IF(_34445073613[[#This Row],[instance]]&lt;OFFSET(_34445073613[[#This Row],[instance]],-1,0), OFFSET(_34445073613[[#This Row],[model]],-1,0)+1, OFFSET(_34445073613[[#This Row],[model]],-1,0))</f>
        <v>4</v>
      </c>
      <c r="B418">
        <v>7</v>
      </c>
      <c r="C418" s="5">
        <v>7.9861111111111102E-6</v>
      </c>
      <c r="D418">
        <v>0</v>
      </c>
      <c r="E418">
        <v>0</v>
      </c>
      <c r="F418">
        <v>0</v>
      </c>
      <c r="G418" s="5">
        <v>3.7037037037037037E-6</v>
      </c>
      <c r="H418" s="5">
        <v>6.9449074074074075E-3</v>
      </c>
      <c r="I418" s="5">
        <v>6.482175925925926E-3</v>
      </c>
      <c r="J418" s="5">
        <v>3.8194444444444442E-6</v>
      </c>
    </row>
    <row r="419" spans="1:10" x14ac:dyDescent="0.25">
      <c r="A419">
        <f ca="1">IF(_34445073613[[#This Row],[instance]]&lt;OFFSET(_34445073613[[#This Row],[instance]],-1,0), OFFSET(_34445073613[[#This Row],[model]],-1,0)+1, OFFSET(_34445073613[[#This Row],[model]],-1,0))</f>
        <v>4</v>
      </c>
      <c r="B419">
        <v>7</v>
      </c>
      <c r="C419" s="5">
        <v>5.1667824074074073E-3</v>
      </c>
      <c r="D419">
        <v>3</v>
      </c>
      <c r="E419">
        <v>1</v>
      </c>
      <c r="F419">
        <v>1</v>
      </c>
      <c r="G419" s="5">
        <v>3.7037037037037037E-6</v>
      </c>
      <c r="H419" s="5">
        <v>6.9449074074074075E-3</v>
      </c>
      <c r="I419" s="5">
        <v>6.482175925925926E-3</v>
      </c>
      <c r="J419" s="5">
        <v>3.8194444444444442E-6</v>
      </c>
    </row>
    <row r="420" spans="1:10" x14ac:dyDescent="0.25">
      <c r="A420">
        <f ca="1">IF(_34445073613[[#This Row],[instance]]&lt;OFFSET(_34445073613[[#This Row],[instance]],-1,0), OFFSET(_34445073613[[#This Row],[model]],-1,0)+1, OFFSET(_34445073613[[#This Row],[model]],-1,0))</f>
        <v>4</v>
      </c>
      <c r="B420">
        <v>8</v>
      </c>
      <c r="C420" s="5">
        <v>7.9861111111111102E-6</v>
      </c>
      <c r="D420">
        <v>0</v>
      </c>
      <c r="E420">
        <v>0</v>
      </c>
      <c r="F420">
        <v>0</v>
      </c>
      <c r="G420" s="5">
        <v>3.7037037037037037E-6</v>
      </c>
      <c r="H420" s="5">
        <v>6.9449074074074075E-3</v>
      </c>
      <c r="I420" s="5">
        <v>6.482175925925926E-3</v>
      </c>
      <c r="J420" s="5">
        <v>3.8194444444444442E-6</v>
      </c>
    </row>
    <row r="421" spans="1:10" x14ac:dyDescent="0.25">
      <c r="A421">
        <f ca="1">IF(_34445073613[[#This Row],[instance]]&lt;OFFSET(_34445073613[[#This Row],[instance]],-1,0), OFFSET(_34445073613[[#This Row],[model]],-1,0)+1, OFFSET(_34445073613[[#This Row],[model]],-1,0))</f>
        <v>4</v>
      </c>
      <c r="B421">
        <v>8</v>
      </c>
      <c r="C421" s="5">
        <v>7.9861111111111102E-6</v>
      </c>
      <c r="D421">
        <v>1.5</v>
      </c>
      <c r="E421">
        <v>2</v>
      </c>
      <c r="F421">
        <v>1</v>
      </c>
      <c r="G421" s="5">
        <v>3.7037037037037037E-6</v>
      </c>
      <c r="H421" s="5">
        <v>6.9449074074074075E-3</v>
      </c>
      <c r="I421" s="5">
        <v>6.482175925925926E-3</v>
      </c>
      <c r="J421" s="5">
        <v>3.8194444444444442E-6</v>
      </c>
    </row>
    <row r="422" spans="1:10" x14ac:dyDescent="0.25">
      <c r="A422">
        <f ca="1">IF(_34445073613[[#This Row],[instance]]&lt;OFFSET(_34445073613[[#This Row],[instance]],-1,0), OFFSET(_34445073613[[#This Row],[model]],-1,0)+1, OFFSET(_34445073613[[#This Row],[model]],-1,0))</f>
        <v>4</v>
      </c>
      <c r="B422">
        <v>8</v>
      </c>
      <c r="C422" s="5">
        <v>7.9861111111111102E-6</v>
      </c>
      <c r="D422">
        <v>1.875</v>
      </c>
      <c r="E422">
        <v>3</v>
      </c>
      <c r="F422">
        <v>1</v>
      </c>
      <c r="G422" s="5">
        <v>3.7037037037037037E-6</v>
      </c>
      <c r="H422" s="5">
        <v>6.9449074074074075E-3</v>
      </c>
      <c r="I422" s="5">
        <v>6.482175925925926E-3</v>
      </c>
      <c r="J422" s="5">
        <v>3.8194444444444442E-6</v>
      </c>
    </row>
    <row r="423" spans="1:10" x14ac:dyDescent="0.25">
      <c r="A423">
        <f ca="1">IF(_34445073613[[#This Row],[instance]]&lt;OFFSET(_34445073613[[#This Row],[instance]],-1,0), OFFSET(_34445073613[[#This Row],[model]],-1,0)+1, OFFSET(_34445073613[[#This Row],[model]],-1,0))</f>
        <v>4</v>
      </c>
      <c r="B423">
        <v>8</v>
      </c>
      <c r="C423" s="5">
        <v>7.9861111111111102E-6</v>
      </c>
      <c r="D423">
        <v>2.125</v>
      </c>
      <c r="E423">
        <v>3</v>
      </c>
      <c r="F423">
        <v>1</v>
      </c>
      <c r="G423" s="5">
        <v>3.7037037037037037E-6</v>
      </c>
      <c r="H423" s="5">
        <v>6.9449074074074075E-3</v>
      </c>
      <c r="I423" s="5">
        <v>6.482175925925926E-3</v>
      </c>
      <c r="J423" s="5">
        <v>3.8194444444444442E-6</v>
      </c>
    </row>
    <row r="424" spans="1:10" x14ac:dyDescent="0.25">
      <c r="A424">
        <f ca="1">IF(_34445073613[[#This Row],[instance]]&lt;OFFSET(_34445073613[[#This Row],[instance]],-1,0), OFFSET(_34445073613[[#This Row],[model]],-1,0)+1, OFFSET(_34445073613[[#This Row],[model]],-1,0))</f>
        <v>4</v>
      </c>
      <c r="B424">
        <v>8</v>
      </c>
      <c r="C424" s="5">
        <v>7.9861111111111102E-6</v>
      </c>
      <c r="D424">
        <v>2.5</v>
      </c>
      <c r="E424">
        <v>3</v>
      </c>
      <c r="F424">
        <v>1</v>
      </c>
      <c r="G424" s="5">
        <v>3.7037037037037037E-6</v>
      </c>
      <c r="H424" s="5">
        <v>6.9449074074074075E-3</v>
      </c>
      <c r="I424" s="5">
        <v>6.482175925925926E-3</v>
      </c>
      <c r="J424" s="5">
        <v>3.8194444444444442E-6</v>
      </c>
    </row>
    <row r="425" spans="1:10" x14ac:dyDescent="0.25">
      <c r="A425">
        <f ca="1">IF(_34445073613[[#This Row],[instance]]&lt;OFFSET(_34445073613[[#This Row],[instance]],-1,0), OFFSET(_34445073613[[#This Row],[model]],-1,0)+1, OFFSET(_34445073613[[#This Row],[model]],-1,0))</f>
        <v>4</v>
      </c>
      <c r="B425">
        <v>8</v>
      </c>
      <c r="C425" s="5">
        <v>8.217592592592592E-6</v>
      </c>
      <c r="D425">
        <v>2.875</v>
      </c>
      <c r="E425">
        <v>4</v>
      </c>
      <c r="F425">
        <v>1</v>
      </c>
      <c r="G425" s="5">
        <v>3.7037037037037037E-6</v>
      </c>
      <c r="H425" s="5">
        <v>6.9449074074074075E-3</v>
      </c>
      <c r="I425" s="5">
        <v>6.482175925925926E-3</v>
      </c>
      <c r="J425" s="5">
        <v>3.8194444444444442E-6</v>
      </c>
    </row>
    <row r="426" spans="1:10" x14ac:dyDescent="0.25">
      <c r="A426">
        <f ca="1">IF(_34445073613[[#This Row],[instance]]&lt;OFFSET(_34445073613[[#This Row],[instance]],-1,0), OFFSET(_34445073613[[#This Row],[model]],-1,0)+1, OFFSET(_34445073613[[#This Row],[model]],-1,0))</f>
        <v>4</v>
      </c>
      <c r="B426">
        <v>8</v>
      </c>
      <c r="C426" s="5">
        <v>8.217592592592592E-6</v>
      </c>
      <c r="D426">
        <v>3</v>
      </c>
      <c r="E426">
        <v>3</v>
      </c>
      <c r="F426">
        <v>1</v>
      </c>
      <c r="G426" s="5">
        <v>3.7037037037037037E-6</v>
      </c>
      <c r="H426" s="5">
        <v>6.9449074074074075E-3</v>
      </c>
      <c r="I426" s="5">
        <v>6.482175925925926E-3</v>
      </c>
      <c r="J426" s="5">
        <v>3.8194444444444442E-6</v>
      </c>
    </row>
    <row r="427" spans="1:10" x14ac:dyDescent="0.25">
      <c r="A427">
        <f ca="1">IF(_34445073613[[#This Row],[instance]]&lt;OFFSET(_34445073613[[#This Row],[instance]],-1,0), OFFSET(_34445073613[[#This Row],[model]],-1,0)+1, OFFSET(_34445073613[[#This Row],[model]],-1,0))</f>
        <v>4</v>
      </c>
      <c r="B427">
        <v>8</v>
      </c>
      <c r="C427" s="5">
        <v>8.3333333333333337E-6</v>
      </c>
      <c r="D427">
        <v>3.375</v>
      </c>
      <c r="E427">
        <v>4</v>
      </c>
      <c r="F427">
        <v>1</v>
      </c>
      <c r="G427" s="5">
        <v>3.7037037037037037E-6</v>
      </c>
      <c r="H427" s="5">
        <v>6.9449074074074075E-3</v>
      </c>
      <c r="I427" s="5">
        <v>6.482175925925926E-3</v>
      </c>
      <c r="J427" s="5">
        <v>3.8194444444444442E-6</v>
      </c>
    </row>
    <row r="428" spans="1:10" x14ac:dyDescent="0.25">
      <c r="A428">
        <f ca="1">IF(_34445073613[[#This Row],[instance]]&lt;OFFSET(_34445073613[[#This Row],[instance]],-1,0), OFFSET(_34445073613[[#This Row],[model]],-1,0)+1, OFFSET(_34445073613[[#This Row],[model]],-1,0))</f>
        <v>4</v>
      </c>
      <c r="B428">
        <v>8</v>
      </c>
      <c r="C428" s="5">
        <v>8.3333333333333337E-6</v>
      </c>
      <c r="D428">
        <v>3.625</v>
      </c>
      <c r="E428">
        <v>4</v>
      </c>
      <c r="F428">
        <v>1</v>
      </c>
      <c r="G428" s="5">
        <v>3.7037037037037037E-6</v>
      </c>
      <c r="H428" s="5">
        <v>6.9449074074074075E-3</v>
      </c>
      <c r="I428" s="5">
        <v>6.482175925925926E-3</v>
      </c>
      <c r="J428" s="5">
        <v>3.8194444444444442E-6</v>
      </c>
    </row>
    <row r="429" spans="1:10" x14ac:dyDescent="0.25">
      <c r="A429">
        <f ca="1">IF(_34445073613[[#This Row],[instance]]&lt;OFFSET(_34445073613[[#This Row],[instance]],-1,0), OFFSET(_34445073613[[#This Row],[model]],-1,0)+1, OFFSET(_34445073613[[#This Row],[model]],-1,0))</f>
        <v>4</v>
      </c>
      <c r="B429">
        <v>8</v>
      </c>
      <c r="C429" s="5">
        <v>8.3333333333333337E-6</v>
      </c>
      <c r="D429">
        <v>4</v>
      </c>
      <c r="E429">
        <v>4</v>
      </c>
      <c r="F429">
        <v>1</v>
      </c>
      <c r="G429" s="5">
        <v>3.7037037037037037E-6</v>
      </c>
      <c r="H429" s="5">
        <v>6.9449074074074075E-3</v>
      </c>
      <c r="I429" s="5">
        <v>6.482175925925926E-3</v>
      </c>
      <c r="J429" s="5">
        <v>3.8194444444444442E-6</v>
      </c>
    </row>
    <row r="430" spans="1:10" x14ac:dyDescent="0.25">
      <c r="A430">
        <f ca="1">IF(_34445073613[[#This Row],[instance]]&lt;OFFSET(_34445073613[[#This Row],[instance]],-1,0), OFFSET(_34445073613[[#This Row],[model]],-1,0)+1, OFFSET(_34445073613[[#This Row],[model]],-1,0))</f>
        <v>4</v>
      </c>
      <c r="B430">
        <v>8</v>
      </c>
      <c r="C430" s="5">
        <v>1.4351851851851851E-5</v>
      </c>
      <c r="D430">
        <v>4.375</v>
      </c>
      <c r="E430">
        <v>5</v>
      </c>
      <c r="F430">
        <v>2</v>
      </c>
      <c r="G430" s="5">
        <v>3.7037037037037037E-6</v>
      </c>
      <c r="H430" s="5">
        <v>6.9449074074074075E-3</v>
      </c>
      <c r="I430" s="5">
        <v>6.482175925925926E-3</v>
      </c>
      <c r="J430" s="5">
        <v>3.8194444444444442E-6</v>
      </c>
    </row>
    <row r="431" spans="1:10" x14ac:dyDescent="0.25">
      <c r="A431">
        <f ca="1">IF(_34445073613[[#This Row],[instance]]&lt;OFFSET(_34445073613[[#This Row],[instance]],-1,0), OFFSET(_34445073613[[#This Row],[model]],-1,0)+1, OFFSET(_34445073613[[#This Row],[model]],-1,0))</f>
        <v>4</v>
      </c>
      <c r="B431">
        <v>9</v>
      </c>
      <c r="C431" s="5">
        <v>7.2916666666666666E-6</v>
      </c>
      <c r="D431">
        <v>0</v>
      </c>
      <c r="E431">
        <v>0</v>
      </c>
      <c r="F431">
        <v>0</v>
      </c>
      <c r="G431" s="5">
        <v>3.7037037037037037E-6</v>
      </c>
      <c r="H431" s="5">
        <v>4.050925925925926E-6</v>
      </c>
      <c r="I431" s="5">
        <v>6.482175925925926E-3</v>
      </c>
      <c r="J431" s="5">
        <v>3.8194444444444442E-6</v>
      </c>
    </row>
    <row r="432" spans="1:10" x14ac:dyDescent="0.25">
      <c r="A432">
        <f ca="1">IF(_34445073613[[#This Row],[instance]]&lt;OFFSET(_34445073613[[#This Row],[instance]],-1,0), OFFSET(_34445073613[[#This Row],[model]],-1,0)+1, OFFSET(_34445073613[[#This Row],[model]],-1,0))</f>
        <v>4</v>
      </c>
      <c r="B432">
        <v>10</v>
      </c>
      <c r="C432" s="5">
        <v>7.4074074074074075E-6</v>
      </c>
      <c r="D432">
        <v>0</v>
      </c>
      <c r="E432">
        <v>0</v>
      </c>
      <c r="F432">
        <v>0</v>
      </c>
      <c r="G432" s="5">
        <v>3.7037037037037037E-6</v>
      </c>
      <c r="H432" s="5">
        <v>6.9446759259259253E-3</v>
      </c>
      <c r="I432" s="5">
        <v>6.482175925925926E-3</v>
      </c>
      <c r="J432" s="5">
        <v>3.8194444444444442E-6</v>
      </c>
    </row>
    <row r="433" spans="1:10" x14ac:dyDescent="0.25">
      <c r="A433">
        <f ca="1">IF(_34445073613[[#This Row],[instance]]&lt;OFFSET(_34445073613[[#This Row],[instance]],-1,0), OFFSET(_34445073613[[#This Row],[model]],-1,0)+1, OFFSET(_34445073613[[#This Row],[model]],-1,0))</f>
        <v>4</v>
      </c>
      <c r="B433">
        <v>10</v>
      </c>
      <c r="C433" s="5">
        <v>9.2592592592592591E-6</v>
      </c>
      <c r="D433">
        <v>1.5</v>
      </c>
      <c r="E433">
        <v>3</v>
      </c>
      <c r="F433">
        <v>1</v>
      </c>
      <c r="G433" s="5">
        <v>3.7037037037037037E-6</v>
      </c>
      <c r="H433" s="5">
        <v>6.9446759259259253E-3</v>
      </c>
      <c r="I433" s="5">
        <v>6.482175925925926E-3</v>
      </c>
      <c r="J433" s="5">
        <v>3.8194444444444442E-6</v>
      </c>
    </row>
    <row r="434" spans="1:10" x14ac:dyDescent="0.25">
      <c r="A434">
        <f ca="1">IF(_34445073613[[#This Row],[instance]]&lt;OFFSET(_34445073613[[#This Row],[instance]],-1,0), OFFSET(_34445073613[[#This Row],[model]],-1,0)+1, OFFSET(_34445073613[[#This Row],[model]],-1,0))</f>
        <v>4</v>
      </c>
      <c r="B434">
        <v>10</v>
      </c>
      <c r="C434" s="5">
        <v>9.2592592592592591E-6</v>
      </c>
      <c r="D434">
        <v>1.75</v>
      </c>
      <c r="E434">
        <v>3</v>
      </c>
      <c r="F434">
        <v>1</v>
      </c>
      <c r="G434" s="5">
        <v>3.7037037037037037E-6</v>
      </c>
      <c r="H434" s="5">
        <v>6.9446759259259253E-3</v>
      </c>
      <c r="I434" s="5">
        <v>6.482175925925926E-3</v>
      </c>
      <c r="J434" s="5">
        <v>3.8194444444444442E-6</v>
      </c>
    </row>
    <row r="435" spans="1:10" x14ac:dyDescent="0.25">
      <c r="A435">
        <f ca="1">IF(_34445073613[[#This Row],[instance]]&lt;OFFSET(_34445073613[[#This Row],[instance]],-1,0), OFFSET(_34445073613[[#This Row],[model]],-1,0)+1, OFFSET(_34445073613[[#This Row],[model]],-1,0))</f>
        <v>4</v>
      </c>
      <c r="B435">
        <v>10</v>
      </c>
      <c r="C435" s="5">
        <v>9.2592592592592591E-6</v>
      </c>
      <c r="D435">
        <v>1.875</v>
      </c>
      <c r="E435">
        <v>2</v>
      </c>
      <c r="F435">
        <v>1</v>
      </c>
      <c r="G435" s="5">
        <v>3.7037037037037037E-6</v>
      </c>
      <c r="H435" s="5">
        <v>6.9446759259259253E-3</v>
      </c>
      <c r="I435" s="5">
        <v>6.482175925925926E-3</v>
      </c>
      <c r="J435" s="5">
        <v>3.8194444444444442E-6</v>
      </c>
    </row>
    <row r="436" spans="1:10" x14ac:dyDescent="0.25">
      <c r="A436">
        <f ca="1">IF(_34445073613[[#This Row],[instance]]&lt;OFFSET(_34445073613[[#This Row],[instance]],-1,0), OFFSET(_34445073613[[#This Row],[model]],-1,0)+1, OFFSET(_34445073613[[#This Row],[model]],-1,0))</f>
        <v>4</v>
      </c>
      <c r="B436">
        <v>10</v>
      </c>
      <c r="C436" s="5">
        <v>9.2592592592592591E-6</v>
      </c>
      <c r="D436">
        <v>2.125</v>
      </c>
      <c r="E436">
        <v>3</v>
      </c>
      <c r="F436">
        <v>1</v>
      </c>
      <c r="G436" s="5">
        <v>3.7037037037037037E-6</v>
      </c>
      <c r="H436" s="5">
        <v>6.9446759259259253E-3</v>
      </c>
      <c r="I436" s="5">
        <v>6.482175925925926E-3</v>
      </c>
      <c r="J436" s="5">
        <v>3.8194444444444442E-6</v>
      </c>
    </row>
    <row r="437" spans="1:10" x14ac:dyDescent="0.25">
      <c r="A437">
        <f ca="1">IF(_34445073613[[#This Row],[instance]]&lt;OFFSET(_34445073613[[#This Row],[instance]],-1,0), OFFSET(_34445073613[[#This Row],[model]],-1,0)+1, OFFSET(_34445073613[[#This Row],[model]],-1,0))</f>
        <v>4</v>
      </c>
      <c r="B437">
        <v>10</v>
      </c>
      <c r="C437" s="5">
        <v>9.2592592592592591E-6</v>
      </c>
      <c r="D437">
        <v>2.25</v>
      </c>
      <c r="E437">
        <v>3</v>
      </c>
      <c r="F437">
        <v>1</v>
      </c>
      <c r="G437" s="5">
        <v>3.7037037037037037E-6</v>
      </c>
      <c r="H437" s="5">
        <v>6.9446759259259253E-3</v>
      </c>
      <c r="I437" s="5">
        <v>6.482175925925926E-3</v>
      </c>
      <c r="J437" s="5">
        <v>3.8194444444444442E-6</v>
      </c>
    </row>
    <row r="438" spans="1:10" x14ac:dyDescent="0.25">
      <c r="A438">
        <f ca="1">IF(_34445073613[[#This Row],[instance]]&lt;OFFSET(_34445073613[[#This Row],[instance]],-1,0), OFFSET(_34445073613[[#This Row],[model]],-1,0)+1, OFFSET(_34445073613[[#This Row],[model]],-1,0))</f>
        <v>4</v>
      </c>
      <c r="B438">
        <v>10</v>
      </c>
      <c r="C438" s="5">
        <v>9.3749999999999992E-6</v>
      </c>
      <c r="D438">
        <v>2.625</v>
      </c>
      <c r="E438">
        <v>3</v>
      </c>
      <c r="F438">
        <v>1</v>
      </c>
      <c r="G438" s="5">
        <v>3.7037037037037037E-6</v>
      </c>
      <c r="H438" s="5">
        <v>6.9446759259259253E-3</v>
      </c>
      <c r="I438" s="5">
        <v>6.482175925925926E-3</v>
      </c>
      <c r="J438" s="5">
        <v>3.8194444444444442E-6</v>
      </c>
    </row>
    <row r="439" spans="1:10" x14ac:dyDescent="0.25">
      <c r="A439">
        <f ca="1">IF(_34445073613[[#This Row],[instance]]&lt;OFFSET(_34445073613[[#This Row],[instance]],-1,0), OFFSET(_34445073613[[#This Row],[model]],-1,0)+1, OFFSET(_34445073613[[#This Row],[model]],-1,0))</f>
        <v>4</v>
      </c>
      <c r="B439">
        <v>10</v>
      </c>
      <c r="C439" s="5">
        <v>9.3749999999999992E-6</v>
      </c>
      <c r="D439">
        <v>2.75</v>
      </c>
      <c r="E439">
        <v>4</v>
      </c>
      <c r="F439">
        <v>1</v>
      </c>
      <c r="G439" s="5">
        <v>3.7037037037037037E-6</v>
      </c>
      <c r="H439" s="5">
        <v>6.9446759259259253E-3</v>
      </c>
      <c r="I439" s="5">
        <v>6.482175925925926E-3</v>
      </c>
      <c r="J439" s="5">
        <v>3.8194444444444442E-6</v>
      </c>
    </row>
    <row r="440" spans="1:10" x14ac:dyDescent="0.25">
      <c r="A440">
        <f ca="1">IF(_34445073613[[#This Row],[instance]]&lt;OFFSET(_34445073613[[#This Row],[instance]],-1,0), OFFSET(_34445073613[[#This Row],[model]],-1,0)+1, OFFSET(_34445073613[[#This Row],[model]],-1,0))</f>
        <v>4</v>
      </c>
      <c r="B440">
        <v>10</v>
      </c>
      <c r="C440" s="5">
        <v>9.3749999999999992E-6</v>
      </c>
      <c r="D440">
        <v>3</v>
      </c>
      <c r="E440">
        <v>4</v>
      </c>
      <c r="F440">
        <v>1</v>
      </c>
      <c r="G440" s="5">
        <v>3.7037037037037037E-6</v>
      </c>
      <c r="H440" s="5">
        <v>6.9446759259259253E-3</v>
      </c>
      <c r="I440" s="5">
        <v>6.482175925925926E-3</v>
      </c>
      <c r="J440" s="5">
        <v>3.8194444444444442E-6</v>
      </c>
    </row>
    <row r="441" spans="1:10" x14ac:dyDescent="0.25">
      <c r="A441">
        <f ca="1">IF(_34445073613[[#This Row],[instance]]&lt;OFFSET(_34445073613[[#This Row],[instance]],-1,0), OFFSET(_34445073613[[#This Row],[model]],-1,0)+1, OFFSET(_34445073613[[#This Row],[model]],-1,0))</f>
        <v>4</v>
      </c>
      <c r="B441">
        <v>10</v>
      </c>
      <c r="C441" s="5">
        <v>9.3749999999999992E-6</v>
      </c>
      <c r="D441">
        <v>3.125</v>
      </c>
      <c r="E441">
        <v>4</v>
      </c>
      <c r="F441">
        <v>1</v>
      </c>
      <c r="G441" s="5">
        <v>3.7037037037037037E-6</v>
      </c>
      <c r="H441" s="5">
        <v>6.9446759259259253E-3</v>
      </c>
      <c r="I441" s="5">
        <v>6.482175925925926E-3</v>
      </c>
      <c r="J441" s="5">
        <v>3.8194444444444442E-6</v>
      </c>
    </row>
    <row r="442" spans="1:10" x14ac:dyDescent="0.25">
      <c r="A442">
        <f ca="1">IF(_34445073613[[#This Row],[instance]]&lt;OFFSET(_34445073613[[#This Row],[instance]],-1,0), OFFSET(_34445073613[[#This Row],[model]],-1,0)+1, OFFSET(_34445073613[[#This Row],[model]],-1,0))</f>
        <v>4</v>
      </c>
      <c r="B442">
        <v>10</v>
      </c>
      <c r="C442" s="5">
        <v>9.3749999999999992E-6</v>
      </c>
      <c r="D442">
        <v>3.25</v>
      </c>
      <c r="E442">
        <v>4</v>
      </c>
      <c r="F442">
        <v>1</v>
      </c>
      <c r="G442" s="5">
        <v>3.7037037037037037E-6</v>
      </c>
      <c r="H442" s="5">
        <v>6.9446759259259253E-3</v>
      </c>
      <c r="I442" s="5">
        <v>6.482175925925926E-3</v>
      </c>
      <c r="J442" s="5">
        <v>3.8194444444444442E-6</v>
      </c>
    </row>
    <row r="443" spans="1:10" x14ac:dyDescent="0.25">
      <c r="A443">
        <f ca="1">IF(_34445073613[[#This Row],[instance]]&lt;OFFSET(_34445073613[[#This Row],[instance]],-1,0), OFFSET(_34445073613[[#This Row],[model]],-1,0)+1, OFFSET(_34445073613[[#This Row],[model]],-1,0))</f>
        <v>4</v>
      </c>
      <c r="B443">
        <v>10</v>
      </c>
      <c r="C443" s="5">
        <v>9.3749999999999992E-6</v>
      </c>
      <c r="D443">
        <v>3.5</v>
      </c>
      <c r="E443">
        <v>5</v>
      </c>
      <c r="F443">
        <v>1</v>
      </c>
      <c r="G443" s="5">
        <v>3.7037037037037037E-6</v>
      </c>
      <c r="H443" s="5">
        <v>6.9446759259259253E-3</v>
      </c>
      <c r="I443" s="5">
        <v>6.482175925925926E-3</v>
      </c>
      <c r="J443" s="5">
        <v>3.8194444444444442E-6</v>
      </c>
    </row>
    <row r="444" spans="1:10" x14ac:dyDescent="0.25">
      <c r="A444">
        <f ca="1">IF(_34445073613[[#This Row],[instance]]&lt;OFFSET(_34445073613[[#This Row],[instance]],-1,0), OFFSET(_34445073613[[#This Row],[model]],-1,0)+1, OFFSET(_34445073613[[#This Row],[model]],-1,0))</f>
        <v>4</v>
      </c>
      <c r="B444">
        <v>10</v>
      </c>
      <c r="C444" s="5">
        <v>9.3749999999999992E-6</v>
      </c>
      <c r="D444">
        <v>3.625</v>
      </c>
      <c r="E444">
        <v>4</v>
      </c>
      <c r="F444">
        <v>1</v>
      </c>
      <c r="G444" s="5">
        <v>3.7037037037037037E-6</v>
      </c>
      <c r="H444" s="5">
        <v>6.9446759259259253E-3</v>
      </c>
      <c r="I444" s="5">
        <v>6.482175925925926E-3</v>
      </c>
      <c r="J444" s="5">
        <v>3.8194444444444442E-6</v>
      </c>
    </row>
    <row r="445" spans="1:10" x14ac:dyDescent="0.25">
      <c r="A445">
        <f ca="1">IF(_34445073613[[#This Row],[instance]]&lt;OFFSET(_34445073613[[#This Row],[instance]],-1,0), OFFSET(_34445073613[[#This Row],[model]],-1,0)+1, OFFSET(_34445073613[[#This Row],[model]],-1,0))</f>
        <v>4</v>
      </c>
      <c r="B445">
        <v>10</v>
      </c>
      <c r="C445" s="5">
        <v>9.3749999999999992E-6</v>
      </c>
      <c r="D445">
        <v>4</v>
      </c>
      <c r="E445">
        <v>5</v>
      </c>
      <c r="F445">
        <v>1</v>
      </c>
      <c r="G445" s="5">
        <v>3.7037037037037037E-6</v>
      </c>
      <c r="H445" s="5">
        <v>6.9446759259259253E-3</v>
      </c>
      <c r="I445" s="5">
        <v>6.482175925925926E-3</v>
      </c>
      <c r="J445" s="5">
        <v>3.8194444444444442E-6</v>
      </c>
    </row>
    <row r="446" spans="1:10" x14ac:dyDescent="0.25">
      <c r="A446">
        <f ca="1">IF(_34445073613[[#This Row],[instance]]&lt;OFFSET(_34445073613[[#This Row],[instance]],-1,0), OFFSET(_34445073613[[#This Row],[model]],-1,0)+1, OFFSET(_34445073613[[#This Row],[model]],-1,0))</f>
        <v>4</v>
      </c>
      <c r="B446">
        <v>10</v>
      </c>
      <c r="C446" s="5">
        <v>9.722222222222221E-6</v>
      </c>
      <c r="D446">
        <v>4.25</v>
      </c>
      <c r="E446">
        <v>5</v>
      </c>
      <c r="F446">
        <v>1</v>
      </c>
      <c r="G446" s="5">
        <v>3.7037037037037037E-6</v>
      </c>
      <c r="H446" s="5">
        <v>6.9446759259259253E-3</v>
      </c>
      <c r="I446" s="5">
        <v>6.482175925925926E-3</v>
      </c>
      <c r="J446" s="5">
        <v>3.8194444444444442E-6</v>
      </c>
    </row>
    <row r="447" spans="1:10" x14ac:dyDescent="0.25">
      <c r="A447">
        <f ca="1">IF(_34445073613[[#This Row],[instance]]&lt;OFFSET(_34445073613[[#This Row],[instance]],-1,0), OFFSET(_34445073613[[#This Row],[model]],-1,0)+1, OFFSET(_34445073613[[#This Row],[model]],-1,0))</f>
        <v>4</v>
      </c>
      <c r="B447">
        <v>10</v>
      </c>
      <c r="C447" s="5">
        <v>9.8379629629629627E-6</v>
      </c>
      <c r="D447">
        <v>4.625</v>
      </c>
      <c r="E447">
        <v>5</v>
      </c>
      <c r="F447">
        <v>3</v>
      </c>
      <c r="G447" s="5">
        <v>3.7037037037037037E-6</v>
      </c>
      <c r="H447" s="5">
        <v>6.9446759259259253E-3</v>
      </c>
      <c r="I447" s="5">
        <v>6.482175925925926E-3</v>
      </c>
      <c r="J447" s="5">
        <v>3.8194444444444442E-6</v>
      </c>
    </row>
    <row r="448" spans="1:10" x14ac:dyDescent="0.25">
      <c r="A448">
        <f ca="1">IF(_34445073613[[#This Row],[instance]]&lt;OFFSET(_34445073613[[#This Row],[instance]],-1,0), OFFSET(_34445073613[[#This Row],[model]],-1,0)+1, OFFSET(_34445073613[[#This Row],[model]],-1,0))</f>
        <v>4</v>
      </c>
      <c r="B448">
        <v>10</v>
      </c>
      <c r="C448" s="5">
        <v>7.3842592592592593E-5</v>
      </c>
      <c r="D448">
        <v>5</v>
      </c>
      <c r="E448">
        <v>6</v>
      </c>
      <c r="F448">
        <v>3</v>
      </c>
      <c r="G448" s="5">
        <v>3.7037037037037037E-6</v>
      </c>
      <c r="H448" s="5">
        <v>6.9446759259259253E-3</v>
      </c>
      <c r="I448" s="5">
        <v>6.482175925925926E-3</v>
      </c>
      <c r="J448" s="5">
        <v>3.8194444444444442E-6</v>
      </c>
    </row>
    <row r="449" spans="1:10" x14ac:dyDescent="0.25">
      <c r="A449">
        <f ca="1">IF(_34445073613[[#This Row],[instance]]&lt;OFFSET(_34445073613[[#This Row],[instance]],-1,0), OFFSET(_34445073613[[#This Row],[model]],-1,0)+1, OFFSET(_34445073613[[#This Row],[model]],-1,0))</f>
        <v>4</v>
      </c>
      <c r="B449">
        <v>10</v>
      </c>
      <c r="C449" s="5">
        <v>9.0972222222222214E-5</v>
      </c>
      <c r="D449">
        <v>5</v>
      </c>
      <c r="E449">
        <v>6</v>
      </c>
      <c r="F449">
        <v>2</v>
      </c>
      <c r="G449" s="5">
        <v>3.7037037037037037E-6</v>
      </c>
      <c r="H449" s="5">
        <v>6.9446759259259253E-3</v>
      </c>
      <c r="I449" s="5">
        <v>6.482175925925926E-3</v>
      </c>
      <c r="J449" s="5">
        <v>3.8194444444444442E-6</v>
      </c>
    </row>
    <row r="450" spans="1:10" x14ac:dyDescent="0.25">
      <c r="A450">
        <f ca="1">IF(_34445073613[[#This Row],[instance]]&lt;OFFSET(_34445073613[[#This Row],[instance]],-1,0), OFFSET(_34445073613[[#This Row],[model]],-1,0)+1, OFFSET(_34445073613[[#This Row],[model]],-1,0))</f>
        <v>4</v>
      </c>
      <c r="B450">
        <v>11</v>
      </c>
      <c r="C450" s="5">
        <v>8.101851851851852E-6</v>
      </c>
      <c r="D450">
        <v>0</v>
      </c>
      <c r="E450">
        <v>0</v>
      </c>
      <c r="F450">
        <v>0</v>
      </c>
      <c r="G450" s="5">
        <v>3.8194444444444442E-6</v>
      </c>
      <c r="H450" s="5">
        <v>6.9449074074074075E-3</v>
      </c>
      <c r="I450" s="5">
        <v>6.482175925925926E-3</v>
      </c>
      <c r="J450" s="5">
        <v>3.8194444444444442E-6</v>
      </c>
    </row>
    <row r="451" spans="1:10" x14ac:dyDescent="0.25">
      <c r="A451">
        <f ca="1">IF(_34445073613[[#This Row],[instance]]&lt;OFFSET(_34445073613[[#This Row],[instance]],-1,0), OFFSET(_34445073613[[#This Row],[model]],-1,0)+1, OFFSET(_34445073613[[#This Row],[model]],-1,0))</f>
        <v>4</v>
      </c>
      <c r="B451">
        <v>11</v>
      </c>
      <c r="C451" s="5">
        <v>8.101851851851852E-6</v>
      </c>
      <c r="D451">
        <v>1.5</v>
      </c>
      <c r="E451">
        <v>3</v>
      </c>
      <c r="F451">
        <v>1</v>
      </c>
      <c r="G451" s="5">
        <v>3.8194444444444442E-6</v>
      </c>
      <c r="H451" s="5">
        <v>6.9449074074074075E-3</v>
      </c>
      <c r="I451" s="5">
        <v>6.482175925925926E-3</v>
      </c>
      <c r="J451" s="5">
        <v>3.8194444444444442E-6</v>
      </c>
    </row>
    <row r="452" spans="1:10" x14ac:dyDescent="0.25">
      <c r="A452">
        <f ca="1">IF(_34445073613[[#This Row],[instance]]&lt;OFFSET(_34445073613[[#This Row],[instance]],-1,0), OFFSET(_34445073613[[#This Row],[model]],-1,0)+1, OFFSET(_34445073613[[#This Row],[model]],-1,0))</f>
        <v>4</v>
      </c>
      <c r="B452">
        <v>11</v>
      </c>
      <c r="C452" s="5">
        <v>8.101851851851852E-6</v>
      </c>
      <c r="D452">
        <v>1.875</v>
      </c>
      <c r="E452">
        <v>4</v>
      </c>
      <c r="F452">
        <v>1</v>
      </c>
      <c r="G452" s="5">
        <v>3.8194444444444442E-6</v>
      </c>
      <c r="H452" s="5">
        <v>6.9449074074074075E-3</v>
      </c>
      <c r="I452" s="5">
        <v>6.482175925925926E-3</v>
      </c>
      <c r="J452" s="5">
        <v>3.8194444444444442E-6</v>
      </c>
    </row>
    <row r="453" spans="1:10" x14ac:dyDescent="0.25">
      <c r="A453">
        <f ca="1">IF(_34445073613[[#This Row],[instance]]&lt;OFFSET(_34445073613[[#This Row],[instance]],-1,0), OFFSET(_34445073613[[#This Row],[model]],-1,0)+1, OFFSET(_34445073613[[#This Row],[model]],-1,0))</f>
        <v>4</v>
      </c>
      <c r="B453">
        <v>11</v>
      </c>
      <c r="C453" s="5">
        <v>8.101851851851852E-6</v>
      </c>
      <c r="D453">
        <v>2.25</v>
      </c>
      <c r="E453">
        <v>4</v>
      </c>
      <c r="F453">
        <v>1</v>
      </c>
      <c r="G453" s="5">
        <v>3.8194444444444442E-6</v>
      </c>
      <c r="H453" s="5">
        <v>6.9449074074074075E-3</v>
      </c>
      <c r="I453" s="5">
        <v>6.482175925925926E-3</v>
      </c>
      <c r="J453" s="5">
        <v>3.8194444444444442E-6</v>
      </c>
    </row>
    <row r="454" spans="1:10" x14ac:dyDescent="0.25">
      <c r="A454">
        <f ca="1">IF(_34445073613[[#This Row],[instance]]&lt;OFFSET(_34445073613[[#This Row],[instance]],-1,0), OFFSET(_34445073613[[#This Row],[model]],-1,0)+1, OFFSET(_34445073613[[#This Row],[model]],-1,0))</f>
        <v>4</v>
      </c>
      <c r="B454">
        <v>11</v>
      </c>
      <c r="C454" s="5">
        <v>8.101851851851852E-6</v>
      </c>
      <c r="D454">
        <v>2.625</v>
      </c>
      <c r="E454">
        <v>5</v>
      </c>
      <c r="F454">
        <v>1</v>
      </c>
      <c r="G454" s="5">
        <v>3.8194444444444442E-6</v>
      </c>
      <c r="H454" s="5">
        <v>6.9449074074074075E-3</v>
      </c>
      <c r="I454" s="5">
        <v>6.482175925925926E-3</v>
      </c>
      <c r="J454" s="5">
        <v>3.8194444444444442E-6</v>
      </c>
    </row>
    <row r="455" spans="1:10" x14ac:dyDescent="0.25">
      <c r="A455">
        <f ca="1">IF(_34445073613[[#This Row],[instance]]&lt;OFFSET(_34445073613[[#This Row],[instance]],-1,0), OFFSET(_34445073613[[#This Row],[model]],-1,0)+1, OFFSET(_34445073613[[#This Row],[model]],-1,0))</f>
        <v>4</v>
      </c>
      <c r="B455">
        <v>11</v>
      </c>
      <c r="C455" s="5">
        <v>8.101851851851852E-6</v>
      </c>
      <c r="D455">
        <v>3</v>
      </c>
      <c r="E455">
        <v>4</v>
      </c>
      <c r="F455">
        <v>1</v>
      </c>
      <c r="G455" s="5">
        <v>3.8194444444444442E-6</v>
      </c>
      <c r="H455" s="5">
        <v>6.9449074074074075E-3</v>
      </c>
      <c r="I455" s="5">
        <v>6.482175925925926E-3</v>
      </c>
      <c r="J455" s="5">
        <v>3.8194444444444442E-6</v>
      </c>
    </row>
    <row r="456" spans="1:10" x14ac:dyDescent="0.25">
      <c r="A456">
        <f ca="1">IF(_34445073613[[#This Row],[instance]]&lt;OFFSET(_34445073613[[#This Row],[instance]],-1,0), OFFSET(_34445073613[[#This Row],[model]],-1,0)+1, OFFSET(_34445073613[[#This Row],[model]],-1,0))</f>
        <v>4</v>
      </c>
      <c r="B456">
        <v>11</v>
      </c>
      <c r="C456" s="5">
        <v>8.217592592592592E-6</v>
      </c>
      <c r="D456">
        <v>3.375</v>
      </c>
      <c r="E456">
        <v>5</v>
      </c>
      <c r="F456">
        <v>1</v>
      </c>
      <c r="G456" s="5">
        <v>3.8194444444444442E-6</v>
      </c>
      <c r="H456" s="5">
        <v>6.9449074074074075E-3</v>
      </c>
      <c r="I456" s="5">
        <v>6.482175925925926E-3</v>
      </c>
      <c r="J456" s="5">
        <v>3.8194444444444442E-6</v>
      </c>
    </row>
    <row r="457" spans="1:10" x14ac:dyDescent="0.25">
      <c r="A457">
        <f ca="1">IF(_34445073613[[#This Row],[instance]]&lt;OFFSET(_34445073613[[#This Row],[instance]],-1,0), OFFSET(_34445073613[[#This Row],[model]],-1,0)+1, OFFSET(_34445073613[[#This Row],[model]],-1,0))</f>
        <v>4</v>
      </c>
      <c r="B457">
        <v>11</v>
      </c>
      <c r="C457" s="5">
        <v>8.3333333333333337E-6</v>
      </c>
      <c r="D457">
        <v>3.75</v>
      </c>
      <c r="E457">
        <v>5</v>
      </c>
      <c r="F457">
        <v>1</v>
      </c>
      <c r="G457" s="5">
        <v>3.8194444444444442E-6</v>
      </c>
      <c r="H457" s="5">
        <v>6.9449074074074075E-3</v>
      </c>
      <c r="I457" s="5">
        <v>6.482175925925926E-3</v>
      </c>
      <c r="J457" s="5">
        <v>3.8194444444444442E-6</v>
      </c>
    </row>
    <row r="458" spans="1:10" x14ac:dyDescent="0.25">
      <c r="A458">
        <f ca="1">IF(_34445073613[[#This Row],[instance]]&lt;OFFSET(_34445073613[[#This Row],[instance]],-1,0), OFFSET(_34445073613[[#This Row],[model]],-1,0)+1, OFFSET(_34445073613[[#This Row],[model]],-1,0))</f>
        <v>4</v>
      </c>
      <c r="B458">
        <v>11</v>
      </c>
      <c r="C458" s="5">
        <v>2.8009259259259259E-5</v>
      </c>
      <c r="D458">
        <v>4.125</v>
      </c>
      <c r="E458">
        <v>6</v>
      </c>
      <c r="F458">
        <v>2</v>
      </c>
      <c r="G458" s="5">
        <v>3.8194444444444442E-6</v>
      </c>
      <c r="H458" s="5">
        <v>6.9449074074074075E-3</v>
      </c>
      <c r="I458" s="5">
        <v>6.482175925925926E-3</v>
      </c>
      <c r="J458" s="5">
        <v>3.8194444444444442E-6</v>
      </c>
    </row>
    <row r="459" spans="1:10" x14ac:dyDescent="0.25">
      <c r="A459">
        <f ca="1">IF(_34445073613[[#This Row],[instance]]&lt;OFFSET(_34445073613[[#This Row],[instance]],-1,0), OFFSET(_34445073613[[#This Row],[model]],-1,0)+1, OFFSET(_34445073613[[#This Row],[model]],-1,0))</f>
        <v>4</v>
      </c>
      <c r="B459">
        <v>12</v>
      </c>
      <c r="C459" s="5">
        <v>7.9861111111111102E-6</v>
      </c>
      <c r="D459">
        <v>0</v>
      </c>
      <c r="E459">
        <v>0</v>
      </c>
      <c r="F459">
        <v>0</v>
      </c>
      <c r="G459" s="5">
        <v>3.7037037037037037E-6</v>
      </c>
      <c r="H459" s="5">
        <v>6.9449074074074075E-3</v>
      </c>
      <c r="I459" s="5">
        <v>6.482175925925926E-3</v>
      </c>
      <c r="J459" s="5">
        <v>3.8194444444444442E-6</v>
      </c>
    </row>
    <row r="460" spans="1:10" x14ac:dyDescent="0.25">
      <c r="A460">
        <f ca="1">IF(_34445073613[[#This Row],[instance]]&lt;OFFSET(_34445073613[[#This Row],[instance]],-1,0), OFFSET(_34445073613[[#This Row],[model]],-1,0)+1, OFFSET(_34445073613[[#This Row],[model]],-1,0))</f>
        <v>4</v>
      </c>
      <c r="B460">
        <v>12</v>
      </c>
      <c r="C460" s="5">
        <v>1.2708333333333332E-4</v>
      </c>
      <c r="D460">
        <v>3</v>
      </c>
      <c r="E460">
        <v>1</v>
      </c>
      <c r="F460">
        <v>1</v>
      </c>
      <c r="G460" s="5">
        <v>3.7037037037037037E-6</v>
      </c>
      <c r="H460" s="5">
        <v>6.9449074074074075E-3</v>
      </c>
      <c r="I460" s="5">
        <v>6.482175925925926E-3</v>
      </c>
      <c r="J460" s="5">
        <v>3.8194444444444442E-6</v>
      </c>
    </row>
    <row r="461" spans="1:10" x14ac:dyDescent="0.25">
      <c r="A461">
        <f ca="1">IF(_34445073613[[#This Row],[instance]]&lt;OFFSET(_34445073613[[#This Row],[instance]],-1,0), OFFSET(_34445073613[[#This Row],[model]],-1,0)+1, OFFSET(_34445073613[[#This Row],[model]],-1,0))</f>
        <v>4</v>
      </c>
      <c r="B461">
        <v>12</v>
      </c>
      <c r="C461" s="5">
        <v>9.9722222222222226E-4</v>
      </c>
      <c r="D461">
        <v>6</v>
      </c>
      <c r="E461">
        <v>2</v>
      </c>
      <c r="F461">
        <v>2</v>
      </c>
      <c r="G461" s="5">
        <v>3.7037037037037037E-6</v>
      </c>
      <c r="H461" s="5">
        <v>6.9449074074074075E-3</v>
      </c>
      <c r="I461" s="5">
        <v>6.482175925925926E-3</v>
      </c>
      <c r="J461" s="5">
        <v>3.8194444444444442E-6</v>
      </c>
    </row>
    <row r="462" spans="1:10" x14ac:dyDescent="0.25">
      <c r="A462">
        <f ca="1">IF(_34445073613[[#This Row],[instance]]&lt;OFFSET(_34445073613[[#This Row],[instance]],-1,0), OFFSET(_34445073613[[#This Row],[model]],-1,0)+1, OFFSET(_34445073613[[#This Row],[model]],-1,0))</f>
        <v>4</v>
      </c>
      <c r="B462">
        <v>13</v>
      </c>
      <c r="C462" s="5">
        <v>8.101851851851852E-6</v>
      </c>
      <c r="D462">
        <v>0</v>
      </c>
      <c r="E462">
        <v>0</v>
      </c>
      <c r="F462">
        <v>0</v>
      </c>
      <c r="G462" s="5">
        <v>3.8194444444444442E-6</v>
      </c>
      <c r="H462" s="5">
        <v>6.9450231481481481E-3</v>
      </c>
      <c r="I462" s="5">
        <v>6.482175925925926E-3</v>
      </c>
      <c r="J462" s="5">
        <v>3.8194444444444442E-6</v>
      </c>
    </row>
    <row r="463" spans="1:10" x14ac:dyDescent="0.25">
      <c r="A463">
        <f ca="1">IF(_34445073613[[#This Row],[instance]]&lt;OFFSET(_34445073613[[#This Row],[instance]],-1,0), OFFSET(_34445073613[[#This Row],[model]],-1,0)+1, OFFSET(_34445073613[[#This Row],[model]],-1,0))</f>
        <v>4</v>
      </c>
      <c r="B463">
        <v>13</v>
      </c>
      <c r="C463" s="5">
        <v>1.087962962962963E-5</v>
      </c>
      <c r="D463">
        <v>1.375</v>
      </c>
      <c r="E463">
        <v>2</v>
      </c>
      <c r="F463">
        <v>1</v>
      </c>
      <c r="G463" s="5">
        <v>3.8194444444444442E-6</v>
      </c>
      <c r="H463" s="5">
        <v>6.9450231481481481E-3</v>
      </c>
      <c r="I463" s="5">
        <v>6.482175925925926E-3</v>
      </c>
      <c r="J463" s="5">
        <v>3.8194444444444442E-6</v>
      </c>
    </row>
    <row r="464" spans="1:10" x14ac:dyDescent="0.25">
      <c r="A464">
        <f ca="1">IF(_34445073613[[#This Row],[instance]]&lt;OFFSET(_34445073613[[#This Row],[instance]],-1,0), OFFSET(_34445073613[[#This Row],[model]],-1,0)+1, OFFSET(_34445073613[[#This Row],[model]],-1,0))</f>
        <v>4</v>
      </c>
      <c r="B464">
        <v>13</v>
      </c>
      <c r="C464" s="5">
        <v>1.087962962962963E-5</v>
      </c>
      <c r="D464">
        <v>1.75</v>
      </c>
      <c r="E464">
        <v>3</v>
      </c>
      <c r="F464">
        <v>1</v>
      </c>
      <c r="G464" s="5">
        <v>3.8194444444444442E-6</v>
      </c>
      <c r="H464" s="5">
        <v>6.9450231481481481E-3</v>
      </c>
      <c r="I464" s="5">
        <v>6.482175925925926E-3</v>
      </c>
      <c r="J464" s="5">
        <v>3.8194444444444442E-6</v>
      </c>
    </row>
    <row r="465" spans="1:10" x14ac:dyDescent="0.25">
      <c r="A465">
        <f ca="1">IF(_34445073613[[#This Row],[instance]]&lt;OFFSET(_34445073613[[#This Row],[instance]],-1,0), OFFSET(_34445073613[[#This Row],[model]],-1,0)+1, OFFSET(_34445073613[[#This Row],[model]],-1,0))</f>
        <v>4</v>
      </c>
      <c r="B465">
        <v>13</v>
      </c>
      <c r="C465" s="5">
        <v>1.087962962962963E-5</v>
      </c>
      <c r="D465">
        <v>2.125</v>
      </c>
      <c r="E465">
        <v>4</v>
      </c>
      <c r="F465">
        <v>1</v>
      </c>
      <c r="G465" s="5">
        <v>3.8194444444444442E-6</v>
      </c>
      <c r="H465" s="5">
        <v>6.9450231481481481E-3</v>
      </c>
      <c r="I465" s="5">
        <v>6.482175925925926E-3</v>
      </c>
      <c r="J465" s="5">
        <v>3.8194444444444442E-6</v>
      </c>
    </row>
    <row r="466" spans="1:10" x14ac:dyDescent="0.25">
      <c r="A466">
        <f ca="1">IF(_34445073613[[#This Row],[instance]]&lt;OFFSET(_34445073613[[#This Row],[instance]],-1,0), OFFSET(_34445073613[[#This Row],[model]],-1,0)+1, OFFSET(_34445073613[[#This Row],[model]],-1,0))</f>
        <v>4</v>
      </c>
      <c r="B466">
        <v>13</v>
      </c>
      <c r="C466" s="5">
        <v>1.087962962962963E-5</v>
      </c>
      <c r="D466">
        <v>2.25</v>
      </c>
      <c r="E466">
        <v>3</v>
      </c>
      <c r="F466">
        <v>1</v>
      </c>
      <c r="G466" s="5">
        <v>3.8194444444444442E-6</v>
      </c>
      <c r="H466" s="5">
        <v>6.9450231481481481E-3</v>
      </c>
      <c r="I466" s="5">
        <v>6.482175925925926E-3</v>
      </c>
      <c r="J466" s="5">
        <v>3.8194444444444442E-6</v>
      </c>
    </row>
    <row r="467" spans="1:10" x14ac:dyDescent="0.25">
      <c r="A467">
        <f ca="1">IF(_34445073613[[#This Row],[instance]]&lt;OFFSET(_34445073613[[#This Row],[instance]],-1,0), OFFSET(_34445073613[[#This Row],[model]],-1,0)+1, OFFSET(_34445073613[[#This Row],[model]],-1,0))</f>
        <v>4</v>
      </c>
      <c r="B467">
        <v>13</v>
      </c>
      <c r="C467" s="5">
        <v>1.087962962962963E-5</v>
      </c>
      <c r="D467">
        <v>2.375</v>
      </c>
      <c r="E467">
        <v>3</v>
      </c>
      <c r="F467">
        <v>1</v>
      </c>
      <c r="G467" s="5">
        <v>3.8194444444444442E-6</v>
      </c>
      <c r="H467" s="5">
        <v>6.9450231481481481E-3</v>
      </c>
      <c r="I467" s="5">
        <v>6.482175925925926E-3</v>
      </c>
      <c r="J467" s="5">
        <v>3.8194444444444442E-6</v>
      </c>
    </row>
    <row r="468" spans="1:10" x14ac:dyDescent="0.25">
      <c r="A468">
        <f ca="1">IF(_34445073613[[#This Row],[instance]]&lt;OFFSET(_34445073613[[#This Row],[instance]],-1,0), OFFSET(_34445073613[[#This Row],[model]],-1,0)+1, OFFSET(_34445073613[[#This Row],[model]],-1,0))</f>
        <v>4</v>
      </c>
      <c r="B468">
        <v>13</v>
      </c>
      <c r="C468" s="5">
        <v>1.1226851851851852E-5</v>
      </c>
      <c r="D468">
        <v>2.75</v>
      </c>
      <c r="E468">
        <v>4</v>
      </c>
      <c r="F468">
        <v>1</v>
      </c>
      <c r="G468" s="5">
        <v>3.8194444444444442E-6</v>
      </c>
      <c r="H468" s="5">
        <v>6.9450231481481481E-3</v>
      </c>
      <c r="I468" s="5">
        <v>6.482175925925926E-3</v>
      </c>
      <c r="J468" s="5">
        <v>3.8194444444444442E-6</v>
      </c>
    </row>
    <row r="469" spans="1:10" x14ac:dyDescent="0.25">
      <c r="A469">
        <f ca="1">IF(_34445073613[[#This Row],[instance]]&lt;OFFSET(_34445073613[[#This Row],[instance]],-1,0), OFFSET(_34445073613[[#This Row],[model]],-1,0)+1, OFFSET(_34445073613[[#This Row],[model]],-1,0))</f>
        <v>4</v>
      </c>
      <c r="B469">
        <v>13</v>
      </c>
      <c r="C469" s="5">
        <v>1.2152777777777777E-5</v>
      </c>
      <c r="D469">
        <v>3.125</v>
      </c>
      <c r="E469">
        <v>5</v>
      </c>
      <c r="F469">
        <v>1</v>
      </c>
      <c r="G469" s="5">
        <v>3.8194444444444442E-6</v>
      </c>
      <c r="H469" s="5">
        <v>6.9450231481481481E-3</v>
      </c>
      <c r="I469" s="5">
        <v>6.482175925925926E-3</v>
      </c>
      <c r="J469" s="5">
        <v>3.8194444444444442E-6</v>
      </c>
    </row>
    <row r="470" spans="1:10" x14ac:dyDescent="0.25">
      <c r="A470">
        <f ca="1">IF(_34445073613[[#This Row],[instance]]&lt;OFFSET(_34445073613[[#This Row],[instance]],-1,0), OFFSET(_34445073613[[#This Row],[model]],-1,0)+1, OFFSET(_34445073613[[#This Row],[model]],-1,0))</f>
        <v>4</v>
      </c>
      <c r="B470">
        <v>13</v>
      </c>
      <c r="C470" s="5">
        <v>1.3310185185185184E-5</v>
      </c>
      <c r="D470">
        <v>3.25</v>
      </c>
      <c r="E470">
        <v>4</v>
      </c>
      <c r="F470">
        <v>1</v>
      </c>
      <c r="G470" s="5">
        <v>3.8194444444444442E-6</v>
      </c>
      <c r="H470" s="5">
        <v>6.9450231481481481E-3</v>
      </c>
      <c r="I470" s="5">
        <v>6.482175925925926E-3</v>
      </c>
      <c r="J470" s="5">
        <v>3.8194444444444442E-6</v>
      </c>
    </row>
    <row r="471" spans="1:10" x14ac:dyDescent="0.25">
      <c r="A471">
        <f ca="1">IF(_34445073613[[#This Row],[instance]]&lt;OFFSET(_34445073613[[#This Row],[instance]],-1,0), OFFSET(_34445073613[[#This Row],[model]],-1,0)+1, OFFSET(_34445073613[[#This Row],[model]],-1,0))</f>
        <v>4</v>
      </c>
      <c r="B471">
        <v>13</v>
      </c>
      <c r="C471" s="5">
        <v>1.3310185185185184E-5</v>
      </c>
      <c r="D471">
        <v>3.375</v>
      </c>
      <c r="E471">
        <v>4</v>
      </c>
      <c r="F471">
        <v>1</v>
      </c>
      <c r="G471" s="5">
        <v>3.8194444444444442E-6</v>
      </c>
      <c r="H471" s="5">
        <v>6.9450231481481481E-3</v>
      </c>
      <c r="I471" s="5">
        <v>6.482175925925926E-3</v>
      </c>
      <c r="J471" s="5">
        <v>3.8194444444444442E-6</v>
      </c>
    </row>
    <row r="472" spans="1:10" x14ac:dyDescent="0.25">
      <c r="A472">
        <f ca="1">IF(_34445073613[[#This Row],[instance]]&lt;OFFSET(_34445073613[[#This Row],[instance]],-1,0), OFFSET(_34445073613[[#This Row],[model]],-1,0)+1, OFFSET(_34445073613[[#This Row],[model]],-1,0))</f>
        <v>4</v>
      </c>
      <c r="B472">
        <v>13</v>
      </c>
      <c r="C472" s="5">
        <v>1.3310185185185184E-5</v>
      </c>
      <c r="D472">
        <v>3.625</v>
      </c>
      <c r="E472">
        <v>5</v>
      </c>
      <c r="F472">
        <v>1</v>
      </c>
      <c r="G472" s="5">
        <v>3.8194444444444442E-6</v>
      </c>
      <c r="H472" s="5">
        <v>6.9450231481481481E-3</v>
      </c>
      <c r="I472" s="5">
        <v>6.482175925925926E-3</v>
      </c>
      <c r="J472" s="5">
        <v>3.8194444444444442E-6</v>
      </c>
    </row>
    <row r="473" spans="1:10" x14ac:dyDescent="0.25">
      <c r="A473">
        <f ca="1">IF(_34445073613[[#This Row],[instance]]&lt;OFFSET(_34445073613[[#This Row],[instance]],-1,0), OFFSET(_34445073613[[#This Row],[model]],-1,0)+1, OFFSET(_34445073613[[#This Row],[model]],-1,0))</f>
        <v>4</v>
      </c>
      <c r="B473">
        <v>13</v>
      </c>
      <c r="C473" s="5">
        <v>8.5185185185185185E-5</v>
      </c>
      <c r="D473">
        <v>3.75</v>
      </c>
      <c r="E473">
        <v>5</v>
      </c>
      <c r="F473">
        <v>1</v>
      </c>
      <c r="G473" s="5">
        <v>3.8194444444444442E-6</v>
      </c>
      <c r="H473" s="5">
        <v>6.9450231481481481E-3</v>
      </c>
      <c r="I473" s="5">
        <v>6.482175925925926E-3</v>
      </c>
      <c r="J473" s="5">
        <v>3.8194444444444442E-6</v>
      </c>
    </row>
    <row r="474" spans="1:10" x14ac:dyDescent="0.25">
      <c r="A474">
        <f ca="1">IF(_34445073613[[#This Row],[instance]]&lt;OFFSET(_34445073613[[#This Row],[instance]],-1,0), OFFSET(_34445073613[[#This Row],[model]],-1,0)+1, OFFSET(_34445073613[[#This Row],[model]],-1,0))</f>
        <v>4</v>
      </c>
      <c r="B474">
        <v>13</v>
      </c>
      <c r="C474" s="5">
        <v>6.1145833333333332E-4</v>
      </c>
      <c r="D474">
        <v>3.875</v>
      </c>
      <c r="E474">
        <v>4</v>
      </c>
      <c r="F474">
        <v>1</v>
      </c>
      <c r="G474" s="5">
        <v>3.8194444444444442E-6</v>
      </c>
      <c r="H474" s="5">
        <v>6.9450231481481481E-3</v>
      </c>
      <c r="I474" s="5">
        <v>6.482175925925926E-3</v>
      </c>
      <c r="J474" s="5">
        <v>3.8194444444444442E-6</v>
      </c>
    </row>
    <row r="475" spans="1:10" x14ac:dyDescent="0.25">
      <c r="A475">
        <f ca="1">IF(_34445073613[[#This Row],[instance]]&lt;OFFSET(_34445073613[[#This Row],[instance]],-1,0), OFFSET(_34445073613[[#This Row],[model]],-1,0)+1, OFFSET(_34445073613[[#This Row],[model]],-1,0))</f>
        <v>4</v>
      </c>
      <c r="B475">
        <v>13</v>
      </c>
      <c r="C475" s="5">
        <v>1.4488425925925925E-3</v>
      </c>
      <c r="D475">
        <v>4.25</v>
      </c>
      <c r="E475">
        <v>5</v>
      </c>
      <c r="F475">
        <v>2</v>
      </c>
      <c r="G475" s="5">
        <v>3.8194444444444442E-6</v>
      </c>
      <c r="H475" s="5">
        <v>6.9450231481481481E-3</v>
      </c>
      <c r="I475" s="5">
        <v>6.482175925925926E-3</v>
      </c>
      <c r="J475" s="5">
        <v>3.8194444444444442E-6</v>
      </c>
    </row>
    <row r="476" spans="1:10" x14ac:dyDescent="0.25">
      <c r="A476">
        <f ca="1">IF(_34445073613[[#This Row],[instance]]&lt;OFFSET(_34445073613[[#This Row],[instance]],-1,0), OFFSET(_34445073613[[#This Row],[model]],-1,0)+1, OFFSET(_34445073613[[#This Row],[model]],-1,0))</f>
        <v>4</v>
      </c>
      <c r="B476">
        <v>13</v>
      </c>
      <c r="C476" s="5">
        <v>1.4496527777777778E-3</v>
      </c>
      <c r="D476">
        <v>4.25</v>
      </c>
      <c r="E476">
        <v>5</v>
      </c>
      <c r="F476">
        <v>1</v>
      </c>
      <c r="G476" s="5">
        <v>3.8194444444444442E-6</v>
      </c>
      <c r="H476" s="5">
        <v>6.9450231481481481E-3</v>
      </c>
      <c r="I476" s="5">
        <v>6.482175925925926E-3</v>
      </c>
      <c r="J476" s="5">
        <v>3.8194444444444442E-6</v>
      </c>
    </row>
    <row r="477" spans="1:10" x14ac:dyDescent="0.25">
      <c r="A477">
        <f ca="1">IF(_34445073613[[#This Row],[instance]]&lt;OFFSET(_34445073613[[#This Row],[instance]],-1,0), OFFSET(_34445073613[[#This Row],[model]],-1,0)+1, OFFSET(_34445073613[[#This Row],[model]],-1,0))</f>
        <v>4</v>
      </c>
      <c r="B477">
        <v>13</v>
      </c>
      <c r="C477" s="5">
        <v>1.4496527777777778E-3</v>
      </c>
      <c r="D477">
        <v>4.625</v>
      </c>
      <c r="E477">
        <v>6</v>
      </c>
      <c r="F477">
        <v>3</v>
      </c>
      <c r="G477" s="5">
        <v>3.8194444444444442E-6</v>
      </c>
      <c r="H477" s="5">
        <v>6.9450231481481481E-3</v>
      </c>
      <c r="I477" s="5">
        <v>6.482175925925926E-3</v>
      </c>
      <c r="J477" s="5">
        <v>3.8194444444444442E-6</v>
      </c>
    </row>
    <row r="478" spans="1:10" x14ac:dyDescent="0.25">
      <c r="A478">
        <f ca="1">IF(_34445073613[[#This Row],[instance]]&lt;OFFSET(_34445073613[[#This Row],[instance]],-1,0), OFFSET(_34445073613[[#This Row],[model]],-1,0)+1, OFFSET(_34445073613[[#This Row],[model]],-1,0))</f>
        <v>4</v>
      </c>
      <c r="B478">
        <v>13</v>
      </c>
      <c r="C478" s="5">
        <v>1.4974537037037038E-3</v>
      </c>
      <c r="D478">
        <v>4.625</v>
      </c>
      <c r="E478">
        <v>6</v>
      </c>
      <c r="F478">
        <v>2</v>
      </c>
      <c r="G478" s="5">
        <v>3.8194444444444442E-6</v>
      </c>
      <c r="H478" s="5">
        <v>6.9450231481481481E-3</v>
      </c>
      <c r="I478" s="5">
        <v>6.482175925925926E-3</v>
      </c>
      <c r="J478" s="5">
        <v>3.8194444444444442E-6</v>
      </c>
    </row>
    <row r="479" spans="1:10" x14ac:dyDescent="0.25">
      <c r="A479">
        <f ca="1">IF(_34445073613[[#This Row],[instance]]&lt;OFFSET(_34445073613[[#This Row],[instance]],-1,0), OFFSET(_34445073613[[#This Row],[model]],-1,0)+1, OFFSET(_34445073613[[#This Row],[model]],-1,0))</f>
        <v>4</v>
      </c>
      <c r="B479">
        <v>14</v>
      </c>
      <c r="C479" s="5">
        <v>8.101851851851852E-6</v>
      </c>
      <c r="D479">
        <v>0</v>
      </c>
      <c r="E479">
        <v>0</v>
      </c>
      <c r="F479">
        <v>0</v>
      </c>
      <c r="G479" s="5">
        <v>3.8194444444444442E-6</v>
      </c>
      <c r="H479" s="5">
        <v>6.9449074074074075E-3</v>
      </c>
      <c r="I479" s="5">
        <v>6.482175925925926E-3</v>
      </c>
      <c r="J479" s="5">
        <v>3.8194444444444442E-6</v>
      </c>
    </row>
    <row r="480" spans="1:10" x14ac:dyDescent="0.25">
      <c r="A480">
        <f ca="1">IF(_34445073613[[#This Row],[instance]]&lt;OFFSET(_34445073613[[#This Row],[instance]],-1,0), OFFSET(_34445073613[[#This Row],[model]],-1,0)+1, OFFSET(_34445073613[[#This Row],[model]],-1,0))</f>
        <v>4</v>
      </c>
      <c r="B480">
        <v>14</v>
      </c>
      <c r="C480" s="5">
        <v>8.101851851851852E-6</v>
      </c>
      <c r="D480">
        <v>4.5</v>
      </c>
      <c r="E480">
        <v>5</v>
      </c>
      <c r="F480">
        <v>1</v>
      </c>
      <c r="G480" s="5">
        <v>3.8194444444444442E-6</v>
      </c>
      <c r="H480" s="5">
        <v>6.9449074074074075E-3</v>
      </c>
      <c r="I480" s="5">
        <v>6.482175925925926E-3</v>
      </c>
      <c r="J480" s="5">
        <v>3.8194444444444442E-6</v>
      </c>
    </row>
    <row r="481" spans="1:10" x14ac:dyDescent="0.25">
      <c r="A481">
        <f ca="1">IF(_34445073613[[#This Row],[instance]]&lt;OFFSET(_34445073613[[#This Row],[instance]],-1,0), OFFSET(_34445073613[[#This Row],[model]],-1,0)+1, OFFSET(_34445073613[[#This Row],[model]],-1,0))</f>
        <v>4</v>
      </c>
      <c r="B481">
        <v>14</v>
      </c>
      <c r="C481" s="5">
        <v>8.101851851851852E-6</v>
      </c>
      <c r="D481">
        <v>5.25</v>
      </c>
      <c r="E481">
        <v>6</v>
      </c>
      <c r="F481">
        <v>1</v>
      </c>
      <c r="G481" s="5">
        <v>3.8194444444444442E-6</v>
      </c>
      <c r="H481" s="5">
        <v>6.9449074074074075E-3</v>
      </c>
      <c r="I481" s="5">
        <v>6.482175925925926E-3</v>
      </c>
      <c r="J481" s="5">
        <v>3.8194444444444442E-6</v>
      </c>
    </row>
    <row r="482" spans="1:10" x14ac:dyDescent="0.25">
      <c r="A482">
        <f ca="1">IF(_34445073613[[#This Row],[instance]]&lt;OFFSET(_34445073613[[#This Row],[instance]],-1,0), OFFSET(_34445073613[[#This Row],[model]],-1,0)+1, OFFSET(_34445073613[[#This Row],[model]],-1,0))</f>
        <v>4</v>
      </c>
      <c r="B482">
        <v>14</v>
      </c>
      <c r="C482" s="5">
        <v>8.9120370370370373E-6</v>
      </c>
      <c r="D482">
        <v>6.75</v>
      </c>
      <c r="E482">
        <v>7</v>
      </c>
      <c r="F482">
        <v>1</v>
      </c>
      <c r="G482" s="5">
        <v>3.8194444444444442E-6</v>
      </c>
      <c r="H482" s="5">
        <v>6.9449074074074075E-3</v>
      </c>
      <c r="I482" s="5">
        <v>6.482175925925926E-3</v>
      </c>
      <c r="J482" s="5">
        <v>3.8194444444444442E-6</v>
      </c>
    </row>
    <row r="483" spans="1:10" x14ac:dyDescent="0.25">
      <c r="A483">
        <f ca="1">IF(_34445073613[[#This Row],[instance]]&lt;OFFSET(_34445073613[[#This Row],[instance]],-1,0), OFFSET(_34445073613[[#This Row],[model]],-1,0)+1, OFFSET(_34445073613[[#This Row],[model]],-1,0))</f>
        <v>4</v>
      </c>
      <c r="B483">
        <v>14</v>
      </c>
      <c r="C483" s="5">
        <v>9.0277777777777774E-6</v>
      </c>
      <c r="D483">
        <v>7.25</v>
      </c>
      <c r="E483">
        <v>6</v>
      </c>
      <c r="F483">
        <v>1</v>
      </c>
      <c r="G483" s="5">
        <v>3.8194444444444442E-6</v>
      </c>
      <c r="H483" s="5">
        <v>6.9449074074074075E-3</v>
      </c>
      <c r="I483" s="5">
        <v>6.482175925925926E-3</v>
      </c>
      <c r="J483" s="5">
        <v>3.8194444444444442E-6</v>
      </c>
    </row>
    <row r="484" spans="1:10" x14ac:dyDescent="0.25">
      <c r="A484">
        <f ca="1">IF(_34445073613[[#This Row],[instance]]&lt;OFFSET(_34445073613[[#This Row],[instance]],-1,0), OFFSET(_34445073613[[#This Row],[model]],-1,0)+1, OFFSET(_34445073613[[#This Row],[model]],-1,0))</f>
        <v>4</v>
      </c>
      <c r="B484">
        <v>14</v>
      </c>
      <c r="C484" s="5">
        <v>9.0277777777777774E-6</v>
      </c>
      <c r="D484">
        <v>7.5</v>
      </c>
      <c r="E484">
        <v>6</v>
      </c>
      <c r="F484">
        <v>1</v>
      </c>
      <c r="G484" s="5">
        <v>3.8194444444444442E-6</v>
      </c>
      <c r="H484" s="5">
        <v>6.9449074074074075E-3</v>
      </c>
      <c r="I484" s="5">
        <v>6.482175925925926E-3</v>
      </c>
      <c r="J484" s="5">
        <v>3.8194444444444442E-6</v>
      </c>
    </row>
    <row r="485" spans="1:10" x14ac:dyDescent="0.25">
      <c r="A485">
        <f ca="1">IF(_34445073613[[#This Row],[instance]]&lt;OFFSET(_34445073613[[#This Row],[instance]],-1,0), OFFSET(_34445073613[[#This Row],[model]],-1,0)+1, OFFSET(_34445073613[[#This Row],[model]],-1,0))</f>
        <v>4</v>
      </c>
      <c r="B485">
        <v>15</v>
      </c>
      <c r="C485" s="5">
        <v>7.9861111111111102E-6</v>
      </c>
      <c r="D485">
        <v>0</v>
      </c>
      <c r="E485">
        <v>0</v>
      </c>
      <c r="F485">
        <v>0</v>
      </c>
      <c r="G485" s="5">
        <v>3.7037037037037037E-6</v>
      </c>
      <c r="H485" s="5">
        <v>6.9449074074074075E-3</v>
      </c>
      <c r="I485" s="5">
        <v>6.482175925925926E-3</v>
      </c>
      <c r="J485" s="5">
        <v>3.8194444444444442E-6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EE23-F0C5-4298-9ADF-425B1C625E5E}">
  <dimension ref="A1:AC667"/>
  <sheetViews>
    <sheetView topLeftCell="A495" zoomScale="60" zoomScaleNormal="60" workbookViewId="0">
      <selection activeCell="M524" sqref="M524"/>
    </sheetView>
  </sheetViews>
  <sheetFormatPr defaultRowHeight="15" x14ac:dyDescent="0.25"/>
  <cols>
    <col min="1" max="1" width="13.28515625" bestFit="1" customWidth="1"/>
    <col min="2" max="2" width="16.140625" bestFit="1" customWidth="1"/>
    <col min="3" max="3" width="14.7109375" style="5" bestFit="1" customWidth="1"/>
    <col min="4" max="4" width="11.140625" bestFit="1" customWidth="1"/>
    <col min="5" max="5" width="14.42578125" bestFit="1" customWidth="1"/>
    <col min="6" max="6" width="13" bestFit="1" customWidth="1"/>
    <col min="7" max="7" width="24" style="5" bestFit="1" customWidth="1"/>
    <col min="8" max="8" width="17.5703125" style="5" bestFit="1" customWidth="1"/>
    <col min="9" max="9" width="21.5703125" style="5" bestFit="1" customWidth="1"/>
    <col min="10" max="10" width="28" style="5" bestFit="1" customWidth="1"/>
    <col min="11" max="11" width="9.7109375" style="5" customWidth="1"/>
    <col min="12" max="12" width="13.28515625" style="5" bestFit="1" customWidth="1"/>
    <col min="13" max="13" width="16.140625" style="5" bestFit="1" customWidth="1"/>
    <col min="14" max="14" width="17" style="5" bestFit="1" customWidth="1"/>
    <col min="15" max="15" width="11.140625" style="5" bestFit="1" customWidth="1"/>
    <col min="16" max="16" width="10.28515625" customWidth="1"/>
    <col min="17" max="17" width="9.85546875" bestFit="1" customWidth="1"/>
    <col min="18" max="18" width="7.7109375" style="2" bestFit="1" customWidth="1"/>
    <col min="19" max="19" width="6.28515625" bestFit="1" customWidth="1"/>
    <col min="20" max="20" width="6.85546875" bestFit="1" customWidth="1"/>
    <col min="21" max="21" width="6.28515625" bestFit="1" customWidth="1"/>
    <col min="22" max="22" width="6.85546875" bestFit="1" customWidth="1"/>
    <col min="23" max="23" width="6.28515625" bestFit="1" customWidth="1"/>
    <col min="24" max="24" width="8.7109375" bestFit="1" customWidth="1"/>
  </cols>
  <sheetData>
    <row r="1" spans="1:24" x14ac:dyDescent="0.25">
      <c r="A1" s="5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L1" t="s">
        <v>9</v>
      </c>
      <c r="M1" t="s">
        <v>0</v>
      </c>
      <c r="N1" t="s">
        <v>10</v>
      </c>
      <c r="O1" t="s">
        <v>11</v>
      </c>
      <c r="Q1" t="s">
        <v>0</v>
      </c>
      <c r="R1" s="2" t="s">
        <v>9</v>
      </c>
      <c r="S1" s="3">
        <f>TIME(0,0,10)</f>
        <v>1.1574074074074075E-4</v>
      </c>
      <c r="T1" s="3">
        <f>TIME(0,0,30)</f>
        <v>3.4722222222222224E-4</v>
      </c>
      <c r="U1" s="3">
        <f>TIME(0,1,0)</f>
        <v>6.9444444444444447E-4</v>
      </c>
      <c r="V1" s="3">
        <f>TIME(0,5,0)</f>
        <v>3.472222222222222E-3</v>
      </c>
      <c r="W1" s="3">
        <f>TIME(0,10,0)</f>
        <v>6.9444444444444441E-3</v>
      </c>
      <c r="X1" s="8" t="s">
        <v>11</v>
      </c>
    </row>
    <row r="2" spans="1:24" x14ac:dyDescent="0.25">
      <c r="A2">
        <v>1</v>
      </c>
      <c r="B2">
        <v>1</v>
      </c>
      <c r="C2" s="5">
        <v>8.5648148148148138E-6</v>
      </c>
      <c r="D2">
        <v>0</v>
      </c>
      <c r="E2">
        <v>0</v>
      </c>
      <c r="F2">
        <v>0</v>
      </c>
      <c r="G2" s="5">
        <v>3.7037037037037037E-6</v>
      </c>
      <c r="H2" s="5">
        <v>6.9452546296296293E-3</v>
      </c>
      <c r="I2" s="5">
        <v>6.9452546296296293E-3</v>
      </c>
      <c r="J2" s="5">
        <v>3.5879629629629629E-6</v>
      </c>
      <c r="L2">
        <v>2</v>
      </c>
      <c r="M2">
        <v>8</v>
      </c>
      <c r="N2">
        <v>13.875</v>
      </c>
      <c r="O2" t="b">
        <v>1</v>
      </c>
      <c r="P2" s="1"/>
      <c r="Q2">
        <v>1</v>
      </c>
    </row>
    <row r="3" spans="1:24" x14ac:dyDescent="0.25">
      <c r="A3">
        <f ca="1">IF(_157721372917[[#This Row],[instance]]&lt;OFFSET(_157721372917[[#This Row],[instance]],-1,0), OFFSET(_157721372917[[#This Row],[model]],-1,0)+1, OFFSET(_157721372917[[#This Row],[model]],-1,0))</f>
        <v>1</v>
      </c>
      <c r="B3">
        <v>1</v>
      </c>
      <c r="C3" s="5">
        <v>8.5648148148148138E-6</v>
      </c>
      <c r="D3">
        <v>3</v>
      </c>
      <c r="E3">
        <v>1</v>
      </c>
      <c r="F3">
        <v>1</v>
      </c>
      <c r="G3" s="5">
        <v>3.7037037037037037E-6</v>
      </c>
      <c r="H3" s="5">
        <v>6.9452546296296293E-3</v>
      </c>
      <c r="I3" s="5">
        <v>6.9452546296296293E-3</v>
      </c>
      <c r="J3" s="5">
        <v>3.5879629629629629E-6</v>
      </c>
      <c r="L3">
        <v>5</v>
      </c>
      <c r="M3">
        <v>4</v>
      </c>
      <c r="N3">
        <v>24</v>
      </c>
      <c r="O3" t="b">
        <v>1</v>
      </c>
      <c r="P3" s="1"/>
      <c r="R3" s="2">
        <v>1</v>
      </c>
      <c r="S3" cm="1">
        <f t="array" aca="1" ref="S3" ca="1">_xlfn.MAXIFS(COL(bench,"wine"), COL(bench,"model"), $R3, COL(bench,"instance"), INDEX($Q:$Q, ROW()-$R3), COL(bench,"time"),"&lt;="&amp;S$1)</f>
        <v>15</v>
      </c>
      <c r="T3" cm="1">
        <f t="array" aca="1" ref="T3" ca="1">_xlfn.MAXIFS(COL(bench,"wine"), COL(bench,"model"), $R3, COL(bench,"instance"), INDEX($Q:$Q, ROW()-$R3), COL(bench,"time"),"&lt;="&amp;T$1)-SUM($S3:S3)</f>
        <v>3</v>
      </c>
      <c r="U3" cm="1">
        <f t="array" aca="1" ref="U3" ca="1">_xlfn.MAXIFS(COL(bench,"wine"), COL(bench,"model"), $R3, COL(bench,"instance"), INDEX($Q:$Q, ROW()-$R3), COL(bench,"time"),"&lt;="&amp;U$1)-SUM($S3:T3)</f>
        <v>0</v>
      </c>
      <c r="V3" cm="1">
        <f t="array" aca="1" ref="V3" ca="1">_xlfn.MAXIFS(COL(bench,"wine"), COL(bench,"model"), $R3, COL(bench,"instance"), INDEX($Q:$Q, ROW()-$R3), COL(bench,"time"),"&lt;="&amp;V$1)-SUM($S3:U3)</f>
        <v>0</v>
      </c>
      <c r="W3" cm="1">
        <f t="array" aca="1" ref="W3" ca="1">_xlfn.MAXIFS(COL(bench,"wine"), COL(bench,"model"), $R3, COL(bench,"instance"), INDEX($Q:$Q, ROW()-$R3), COL(bench,"time"),"&lt;="&amp;W$1)-SUM($S3:V3)</f>
        <v>0</v>
      </c>
      <c r="X3" t="e" cm="1">
        <f t="array" ref="X3" xml:space="preserve"> _xlfn.LET(
  _xlpm.idx, _xlfn.XMATCH(1,
      (COL(summary,"model")=$R3)*(COL(summary,"instance")=INDEX($Q:$Q, ROW()-$R3))),
  IFERROR(INDEX(COL(summary,"objective"), _xlpm.idx), #N/A)
)</f>
        <v>#N/A</v>
      </c>
    </row>
    <row r="4" spans="1:24" x14ac:dyDescent="0.25">
      <c r="A4">
        <f ca="1">IF(_157721372917[[#This Row],[instance]]&lt;OFFSET(_157721372917[[#This Row],[instance]],-1,0), OFFSET(_157721372917[[#This Row],[model]],-1,0)+1, OFFSET(_157721372917[[#This Row],[model]],-1,0))</f>
        <v>1</v>
      </c>
      <c r="B4">
        <v>1</v>
      </c>
      <c r="C4" s="5">
        <v>8.6805555555555555E-6</v>
      </c>
      <c r="D4">
        <v>6</v>
      </c>
      <c r="E4">
        <v>2</v>
      </c>
      <c r="F4">
        <v>2</v>
      </c>
      <c r="G4" s="5">
        <v>3.7037037037037037E-6</v>
      </c>
      <c r="H4" s="5">
        <v>6.9452546296296293E-3</v>
      </c>
      <c r="I4" s="5">
        <v>6.9452546296296293E-3</v>
      </c>
      <c r="J4" s="5">
        <v>3.5879629629629629E-6</v>
      </c>
      <c r="L4">
        <v>5</v>
      </c>
      <c r="M4">
        <v>8</v>
      </c>
      <c r="N4">
        <v>13.875</v>
      </c>
      <c r="O4" t="b">
        <v>1</v>
      </c>
      <c r="P4" s="1"/>
      <c r="R4" s="2">
        <v>2</v>
      </c>
      <c r="S4" cm="1">
        <f t="array" aca="1" ref="S4" ca="1">_xlfn.MAXIFS(COL(bench,"wine"), COL(bench,"model"), $R4, COL(bench,"instance"), INDEX($Q:$Q, ROW()-$R4), COL(bench,"time"),"&lt;="&amp;S$1)</f>
        <v>18</v>
      </c>
      <c r="T4" cm="1">
        <f t="array" aca="1" ref="T4" ca="1">_xlfn.MAXIFS(COL(bench,"wine"), COL(bench,"model"), $R4, COL(bench,"instance"), INDEX($Q:$Q, ROW()-$R4), COL(bench,"time"),"&lt;="&amp;T$1)-SUM($S4:S4)</f>
        <v>0</v>
      </c>
      <c r="U4" cm="1">
        <f t="array" aca="1" ref="U4" ca="1">_xlfn.MAXIFS(COL(bench,"wine"), COL(bench,"model"), $R4, COL(bench,"instance"), INDEX($Q:$Q, ROW()-$R4), COL(bench,"time"),"&lt;="&amp;U$1)-SUM($S4:T4)</f>
        <v>0</v>
      </c>
      <c r="V4" cm="1">
        <f t="array" aca="1" ref="V4" ca="1">_xlfn.MAXIFS(COL(bench,"wine"), COL(bench,"model"), $R4, COL(bench,"instance"), INDEX($Q:$Q, ROW()-$R4), COL(bench,"time"),"&lt;="&amp;V$1)-SUM($S4:U4)</f>
        <v>0</v>
      </c>
      <c r="W4" cm="1">
        <f t="array" aca="1" ref="W4" ca="1">_xlfn.MAXIFS(COL(bench,"wine"), COL(bench,"model"), $R4, COL(bench,"instance"), INDEX($Q:$Q, ROW()-$R4), COL(bench,"time"),"&lt;="&amp;W$1)-SUM($S4:V4)</f>
        <v>0</v>
      </c>
      <c r="X4" t="e" cm="1">
        <f t="array" ref="X4" xml:space="preserve"> _xlfn.LET(
  _xlpm.idx, _xlfn.XMATCH(1,
      (COL(summary,"model")=$R4)*(COL(summary,"instance")=INDEX($Q:$Q, ROW()-$R4))),
  IFERROR(INDEX(COL(summary,"objective"), _xlpm.idx), #N/A)
)</f>
        <v>#N/A</v>
      </c>
    </row>
    <row r="5" spans="1:24" x14ac:dyDescent="0.25">
      <c r="A5">
        <f ca="1">IF(_157721372917[[#This Row],[instance]]&lt;OFFSET(_157721372917[[#This Row],[instance]],-1,0), OFFSET(_157721372917[[#This Row],[model]],-1,0)+1, OFFSET(_157721372917[[#This Row],[model]],-1,0))</f>
        <v>1</v>
      </c>
      <c r="B5">
        <v>1</v>
      </c>
      <c r="C5" s="5">
        <v>8.6805555555555555E-6</v>
      </c>
      <c r="D5">
        <v>9</v>
      </c>
      <c r="E5">
        <v>3</v>
      </c>
      <c r="F5">
        <v>3</v>
      </c>
      <c r="G5" s="5">
        <v>3.7037037037037037E-6</v>
      </c>
      <c r="H5" s="5">
        <v>6.9452546296296293E-3</v>
      </c>
      <c r="I5" s="5">
        <v>6.9452546296296293E-3</v>
      </c>
      <c r="J5" s="5">
        <v>3.5879629629629629E-6</v>
      </c>
      <c r="L5">
        <v>5</v>
      </c>
      <c r="M5">
        <v>11</v>
      </c>
      <c r="N5">
        <v>11.25</v>
      </c>
      <c r="O5" t="b">
        <v>1</v>
      </c>
      <c r="P5" s="1"/>
      <c r="R5" s="2">
        <v>3</v>
      </c>
      <c r="S5" cm="1">
        <f t="array" aca="1" ref="S5" ca="1">_xlfn.MAXIFS(COL(bench,"wine"), COL(bench,"model"), $R5, COL(bench,"instance"), INDEX($Q:$Q, ROW()-$R5), COL(bench,"time"),"&lt;="&amp;S$1)</f>
        <v>3</v>
      </c>
      <c r="T5" cm="1">
        <f t="array" aca="1" ref="T5" ca="1">_xlfn.MAXIFS(COL(bench,"wine"), COL(bench,"model"), $R5, COL(bench,"instance"), INDEX($Q:$Q, ROW()-$R5), COL(bench,"time"),"&lt;="&amp;T$1)-SUM($S5:S5)</f>
        <v>0</v>
      </c>
      <c r="U5" cm="1">
        <f t="array" aca="1" ref="U5" ca="1">_xlfn.MAXIFS(COL(bench,"wine"), COL(bench,"model"), $R5, COL(bench,"instance"), INDEX($Q:$Q, ROW()-$R5), COL(bench,"time"),"&lt;="&amp;U$1)-SUM($S5:T5)</f>
        <v>0</v>
      </c>
      <c r="V5" cm="1">
        <f t="array" aca="1" ref="V5" ca="1">_xlfn.MAXIFS(COL(bench,"wine"), COL(bench,"model"), $R5, COL(bench,"instance"), INDEX($Q:$Q, ROW()-$R5), COL(bench,"time"),"&lt;="&amp;V$1)-SUM($S5:U5)</f>
        <v>0</v>
      </c>
      <c r="W5" cm="1">
        <f t="array" aca="1" ref="W5" ca="1">_xlfn.MAXIFS(COL(bench,"wine"), COL(bench,"model"), $R5, COL(bench,"instance"), INDEX($Q:$Q, ROW()-$R5), COL(bench,"time"),"&lt;="&amp;W$1)-SUM($S5:V5)</f>
        <v>0</v>
      </c>
      <c r="X5" t="e" cm="1">
        <f t="array" ref="X5" xml:space="preserve"> _xlfn.LET(
  _xlpm.idx, _xlfn.XMATCH(1,
      (COL(summary,"model")=$R5)*(COL(summary,"instance")=INDEX($Q:$Q, ROW()-$R5))),
  IFERROR(INDEX(COL(summary,"objective"), _xlpm.idx), #N/A)
)</f>
        <v>#N/A</v>
      </c>
    </row>
    <row r="6" spans="1:24" x14ac:dyDescent="0.25">
      <c r="A6">
        <f ca="1">IF(_157721372917[[#This Row],[instance]]&lt;OFFSET(_157721372917[[#This Row],[instance]],-1,0), OFFSET(_157721372917[[#This Row],[model]],-1,0)+1, OFFSET(_157721372917[[#This Row],[model]],-1,0))</f>
        <v>1</v>
      </c>
      <c r="B6">
        <v>1</v>
      </c>
      <c r="C6" s="5">
        <v>8.7962962962962956E-6</v>
      </c>
      <c r="D6">
        <v>12</v>
      </c>
      <c r="E6">
        <v>4</v>
      </c>
      <c r="F6">
        <v>4</v>
      </c>
      <c r="G6" s="5">
        <v>3.7037037037037037E-6</v>
      </c>
      <c r="H6" s="5">
        <v>6.9452546296296293E-3</v>
      </c>
      <c r="I6" s="5">
        <v>6.9452546296296293E-3</v>
      </c>
      <c r="J6" s="5">
        <v>3.5879629629629629E-6</v>
      </c>
      <c r="L6"/>
      <c r="N6"/>
      <c r="O6"/>
      <c r="P6" s="1"/>
      <c r="R6" s="2">
        <v>4</v>
      </c>
      <c r="S6" cm="1">
        <f t="array" aca="1" ref="S6" ca="1">_xlfn.MAXIFS(COL(bench,"wine"), COL(bench,"model"), $R6, COL(bench,"instance"), INDEX($Q:$Q, ROW()-$R6), COL(bench,"time"),"&lt;="&amp;S$1)</f>
        <v>0</v>
      </c>
      <c r="T6" cm="1">
        <f t="array" aca="1" ref="T6" ca="1">_xlfn.MAXIFS(COL(bench,"wine"), COL(bench,"model"), $R6, COL(bench,"instance"), INDEX($Q:$Q, ROW()-$R6), COL(bench,"time"),"&lt;="&amp;T$1)-SUM($S6:S6)</f>
        <v>0</v>
      </c>
      <c r="U6" cm="1">
        <f t="array" aca="1" ref="U6" ca="1">_xlfn.MAXIFS(COL(bench,"wine"), COL(bench,"model"), $R6, COL(bench,"instance"), INDEX($Q:$Q, ROW()-$R6), COL(bench,"time"),"&lt;="&amp;U$1)-SUM($S6:T6)</f>
        <v>0</v>
      </c>
      <c r="V6" cm="1">
        <f t="array" aca="1" ref="V6" ca="1">_xlfn.MAXIFS(COL(bench,"wine"), COL(bench,"model"), $R6, COL(bench,"instance"), INDEX($Q:$Q, ROW()-$R6), COL(bench,"time"),"&lt;="&amp;V$1)-SUM($S6:U6)</f>
        <v>0</v>
      </c>
      <c r="W6" cm="1">
        <f t="array" aca="1" ref="W6" ca="1">_xlfn.MAXIFS(COL(bench,"wine"), COL(bench,"model"), $R6, COL(bench,"instance"), INDEX($Q:$Q, ROW()-$R6), COL(bench,"time"),"&lt;="&amp;W$1)-SUM($S6:V6)</f>
        <v>0</v>
      </c>
      <c r="X6" t="e" cm="1">
        <f t="array" ref="X6" xml:space="preserve"> _xlfn.LET(
  _xlpm.idx, _xlfn.XMATCH(1,
      (COL(summary,"model")=$R6)*(COL(summary,"instance")=INDEX($Q:$Q, ROW()-$R6))),
  IFERROR(INDEX(COL(summary,"objective"), _xlpm.idx), #N/A)
)</f>
        <v>#N/A</v>
      </c>
    </row>
    <row r="7" spans="1:24" x14ac:dyDescent="0.25">
      <c r="A7">
        <f ca="1">IF(_157721372917[[#This Row],[instance]]&lt;OFFSET(_157721372917[[#This Row],[instance]],-1,0), OFFSET(_157721372917[[#This Row],[model]],-1,0)+1, OFFSET(_157721372917[[#This Row],[model]],-1,0))</f>
        <v>1</v>
      </c>
      <c r="B7">
        <v>1</v>
      </c>
      <c r="C7" s="5">
        <v>9.4675925925925922E-5</v>
      </c>
      <c r="D7">
        <v>15</v>
      </c>
      <c r="E7">
        <v>5</v>
      </c>
      <c r="F7">
        <v>5</v>
      </c>
      <c r="G7" s="5">
        <v>3.7037037037037037E-6</v>
      </c>
      <c r="H7" s="5">
        <v>6.9452546296296293E-3</v>
      </c>
      <c r="I7" s="5">
        <v>6.9452546296296293E-3</v>
      </c>
      <c r="J7" s="5">
        <v>3.5879629629629629E-6</v>
      </c>
      <c r="L7"/>
      <c r="M7"/>
      <c r="N7"/>
      <c r="O7"/>
      <c r="P7" s="1"/>
      <c r="R7" s="2">
        <v>5</v>
      </c>
      <c r="S7" cm="1">
        <f t="array" aca="1" ref="S7" ca="1">_xlfn.MAXIFS(COL(bench,"wine"), COL(bench,"model"), $R7, COL(bench,"instance"), INDEX($Q:$Q, ROW()-$R7), COL(bench,"time"),"&lt;="&amp;S$1)</f>
        <v>22.5</v>
      </c>
      <c r="T7" cm="1">
        <f t="array" aca="1" ref="T7" ca="1">_xlfn.MAXIFS(COL(bench,"wine"), COL(bench,"model"), $R7, COL(bench,"instance"), INDEX($Q:$Q, ROW()-$R7), COL(bench,"time"),"&lt;="&amp;T$1)-SUM($S7:S7)</f>
        <v>0</v>
      </c>
      <c r="U7" cm="1">
        <f t="array" aca="1" ref="U7" ca="1">_xlfn.MAXIFS(COL(bench,"wine"), COL(bench,"model"), $R7, COL(bench,"instance"), INDEX($Q:$Q, ROW()-$R7), COL(bench,"time"),"&lt;="&amp;U$1)-SUM($S7:T7)</f>
        <v>0</v>
      </c>
      <c r="V7" cm="1">
        <f t="array" aca="1" ref="V7" ca="1">_xlfn.MAXIFS(COL(bench,"wine"), COL(bench,"model"), $R7, COL(bench,"instance"), INDEX($Q:$Q, ROW()-$R7), COL(bench,"time"),"&lt;="&amp;V$1)-SUM($S7:U7)</f>
        <v>0</v>
      </c>
      <c r="W7" cm="1">
        <f t="array" aca="1" ref="W7" ca="1">_xlfn.MAXIFS(COL(bench,"wine"), COL(bench,"model"), $R7, COL(bench,"instance"), INDEX($Q:$Q, ROW()-$R7), COL(bench,"time"),"&lt;="&amp;W$1)-SUM($S7:V7)</f>
        <v>0</v>
      </c>
      <c r="X7" t="e" cm="1">
        <f t="array" ref="X7" xml:space="preserve"> _xlfn.LET(
  _xlpm.idx, _xlfn.XMATCH(1,
      (COL(summary,"model")=$R7)*(COL(summary,"instance")=INDEX($Q:$Q, ROW()-$R7))),
  IFERROR(INDEX(COL(summary,"objective"), _xlpm.idx), #N/A)
)</f>
        <v>#N/A</v>
      </c>
    </row>
    <row r="8" spans="1:24" x14ac:dyDescent="0.25">
      <c r="A8">
        <f ca="1">IF(_157721372917[[#This Row],[instance]]&lt;OFFSET(_157721372917[[#This Row],[instance]],-1,0), OFFSET(_157721372917[[#This Row],[model]],-1,0)+1, OFFSET(_157721372917[[#This Row],[model]],-1,0))</f>
        <v>1</v>
      </c>
      <c r="B8">
        <v>1</v>
      </c>
      <c r="C8" s="5">
        <v>1.5625E-4</v>
      </c>
      <c r="D8">
        <v>18</v>
      </c>
      <c r="E8">
        <v>6</v>
      </c>
      <c r="F8">
        <v>6</v>
      </c>
      <c r="G8" s="5">
        <v>3.7037037037037037E-6</v>
      </c>
      <c r="H8" s="5">
        <v>6.9452546296296293E-3</v>
      </c>
      <c r="I8" s="5">
        <v>6.9452546296296293E-3</v>
      </c>
      <c r="J8" s="5">
        <v>3.5879629629629629E-6</v>
      </c>
      <c r="L8"/>
      <c r="M8"/>
      <c r="N8"/>
      <c r="O8"/>
      <c r="P8" s="1"/>
    </row>
    <row r="9" spans="1:24" x14ac:dyDescent="0.25">
      <c r="A9">
        <f ca="1">IF(_157721372917[[#This Row],[instance]]&lt;OFFSET(_157721372917[[#This Row],[instance]],-1,0), OFFSET(_157721372917[[#This Row],[model]],-1,0)+1, OFFSET(_157721372917[[#This Row],[model]],-1,0))</f>
        <v>1</v>
      </c>
      <c r="B9">
        <v>2</v>
      </c>
      <c r="C9" s="5">
        <v>8.217592592592592E-6</v>
      </c>
      <c r="D9">
        <v>0</v>
      </c>
      <c r="E9">
        <v>0</v>
      </c>
      <c r="F9">
        <v>0</v>
      </c>
      <c r="G9" s="5">
        <v>3.5879629629629629E-6</v>
      </c>
      <c r="H9" s="5">
        <v>6.9451388888888887E-3</v>
      </c>
      <c r="I9" s="5">
        <v>6.9452546296296293E-3</v>
      </c>
      <c r="J9" s="5">
        <v>3.5879629629629629E-6</v>
      </c>
      <c r="L9"/>
      <c r="M9"/>
      <c r="N9"/>
      <c r="O9"/>
      <c r="P9" s="1"/>
      <c r="Q9">
        <v>2</v>
      </c>
    </row>
    <row r="10" spans="1:24" x14ac:dyDescent="0.25">
      <c r="A10">
        <f ca="1">IF(_157721372917[[#This Row],[instance]]&lt;OFFSET(_157721372917[[#This Row],[instance]],-1,0), OFFSET(_157721372917[[#This Row],[model]],-1,0)+1, OFFSET(_157721372917[[#This Row],[model]],-1,0))</f>
        <v>1</v>
      </c>
      <c r="B10">
        <v>2</v>
      </c>
      <c r="C10" s="5">
        <v>8.217592592592592E-6</v>
      </c>
      <c r="D10">
        <v>3</v>
      </c>
      <c r="E10">
        <v>1</v>
      </c>
      <c r="F10">
        <v>1</v>
      </c>
      <c r="G10" s="5">
        <v>3.5879629629629629E-6</v>
      </c>
      <c r="H10" s="5">
        <v>6.9451388888888887E-3</v>
      </c>
      <c r="I10" s="5">
        <v>6.9452546296296293E-3</v>
      </c>
      <c r="J10" s="5">
        <v>3.5879629629629629E-6</v>
      </c>
      <c r="L10"/>
      <c r="M10"/>
      <c r="N10"/>
      <c r="O10"/>
      <c r="P10" s="1"/>
      <c r="R10" s="2">
        <v>1</v>
      </c>
      <c r="S10" cm="1">
        <f t="array" aca="1" ref="S10" ca="1">_xlfn.MAXIFS(COL(bench,"wine"), COL(bench,"model"), $R10, COL(bench,"instance"), INDEX($Q:$Q, ROW()-$R10), COL(bench,"time"),"&lt;="&amp;S$1)</f>
        <v>3</v>
      </c>
      <c r="T10" cm="1">
        <f t="array" aca="1" ref="T10" ca="1">_xlfn.MAXIFS(COL(bench,"wine"), COL(bench,"model"), $R10, COL(bench,"instance"), INDEX($Q:$Q, ROW()-$R10), COL(bench,"time"),"&lt;="&amp;T$1)-SUM($S10:S10)</f>
        <v>0</v>
      </c>
      <c r="U10" cm="1">
        <f t="array" aca="1" ref="U10" ca="1">_xlfn.MAXIFS(COL(bench,"wine"), COL(bench,"model"), $R10, COL(bench,"instance"), INDEX($Q:$Q, ROW()-$R10), COL(bench,"time"),"&lt;="&amp;U$1)-SUM($S10:T10)</f>
        <v>0</v>
      </c>
      <c r="V10" cm="1">
        <f t="array" aca="1" ref="V10" ca="1">_xlfn.MAXIFS(COL(bench,"wine"), COL(bench,"model"), $R10, COL(bench,"instance"), INDEX($Q:$Q, ROW()-$R10), COL(bench,"time"),"&lt;="&amp;V$1)-SUM($S10:U10)</f>
        <v>0</v>
      </c>
      <c r="W10" cm="1">
        <f t="array" aca="1" ref="W10" ca="1">_xlfn.MAXIFS(COL(bench,"wine"), COL(bench,"model"), $R10, COL(bench,"instance"), INDEX($Q:$Q, ROW()-$R10), COL(bench,"time"),"&lt;="&amp;W$1)-SUM($S10:V10)</f>
        <v>0</v>
      </c>
      <c r="X10" t="e" cm="1">
        <f t="array" ref="X10" xml:space="preserve"> _xlfn.LET(
  _xlpm.idx, _xlfn.XMATCH(1,
      (COL(summary,"model")=$R10)*(COL(summary,"instance")=INDEX($Q:$Q, ROW()-$R10))),
  IFERROR(INDEX(COL(summary,"objective"), _xlpm.idx), #N/A)
)</f>
        <v>#N/A</v>
      </c>
    </row>
    <row r="11" spans="1:24" x14ac:dyDescent="0.25">
      <c r="A11">
        <f ca="1">IF(_157721372917[[#This Row],[instance]]&lt;OFFSET(_157721372917[[#This Row],[instance]],-1,0), OFFSET(_157721372917[[#This Row],[model]],-1,0)+1, OFFSET(_157721372917[[#This Row],[model]],-1,0))</f>
        <v>1</v>
      </c>
      <c r="B11">
        <v>3</v>
      </c>
      <c r="C11" s="5">
        <v>8.217592592592592E-6</v>
      </c>
      <c r="D11">
        <v>0</v>
      </c>
      <c r="E11">
        <v>0</v>
      </c>
      <c r="F11">
        <v>0</v>
      </c>
      <c r="G11" s="5">
        <v>3.5879629629629629E-6</v>
      </c>
      <c r="H11" s="5">
        <v>6.9451388888888887E-3</v>
      </c>
      <c r="I11" s="5">
        <v>6.9452546296296293E-3</v>
      </c>
      <c r="J11" s="5">
        <v>3.5879629629629629E-6</v>
      </c>
      <c r="L11"/>
      <c r="M11"/>
      <c r="N11"/>
      <c r="O11"/>
      <c r="P11" s="1"/>
      <c r="R11" s="2">
        <v>2</v>
      </c>
      <c r="S11" cm="1">
        <f t="array" aca="1" ref="S11" ca="1">_xlfn.MAXIFS(COL(bench,"wine"), COL(bench,"model"), $R11, COL(bench,"instance"), INDEX($Q:$Q, ROW()-$R11), COL(bench,"time"),"&lt;="&amp;S$1)</f>
        <v>3</v>
      </c>
      <c r="T11" cm="1">
        <f t="array" aca="1" ref="T11" ca="1">_xlfn.MAXIFS(COL(bench,"wine"), COL(bench,"model"), $R11, COL(bench,"instance"), INDEX($Q:$Q, ROW()-$R11), COL(bench,"time"),"&lt;="&amp;T$1)-SUM($S11:S11)</f>
        <v>0</v>
      </c>
      <c r="U11" cm="1">
        <f t="array" aca="1" ref="U11" ca="1">_xlfn.MAXIFS(COL(bench,"wine"), COL(bench,"model"), $R11, COL(bench,"instance"), INDEX($Q:$Q, ROW()-$R11), COL(bench,"time"),"&lt;="&amp;U$1)-SUM($S11:T11)</f>
        <v>0</v>
      </c>
      <c r="V11" cm="1">
        <f t="array" aca="1" ref="V11" ca="1">_xlfn.MAXIFS(COL(bench,"wine"), COL(bench,"model"), $R11, COL(bench,"instance"), INDEX($Q:$Q, ROW()-$R11), COL(bench,"time"),"&lt;="&amp;V$1)-SUM($S11:U11)</f>
        <v>0</v>
      </c>
      <c r="W11" cm="1">
        <f t="array" aca="1" ref="W11" ca="1">_xlfn.MAXIFS(COL(bench,"wine"), COL(bench,"model"), $R11, COL(bench,"instance"), INDEX($Q:$Q, ROW()-$R11), COL(bench,"time"),"&lt;="&amp;W$1)-SUM($S11:V11)</f>
        <v>0</v>
      </c>
      <c r="X11" t="e" cm="1">
        <f t="array" ref="X11" xml:space="preserve"> _xlfn.LET(
  _xlpm.idx, _xlfn.XMATCH(1,
      (COL(summary,"model")=$R11)*(COL(summary,"instance")=INDEX($Q:$Q, ROW()-$R11))),
  IFERROR(INDEX(COL(summary,"objective"), _xlpm.idx), #N/A)
)</f>
        <v>#N/A</v>
      </c>
    </row>
    <row r="12" spans="1:24" x14ac:dyDescent="0.25">
      <c r="A12">
        <f ca="1">IF(_157721372917[[#This Row],[instance]]&lt;OFFSET(_157721372917[[#This Row],[instance]],-1,0), OFFSET(_157721372917[[#This Row],[model]],-1,0)+1, OFFSET(_157721372917[[#This Row],[model]],-1,0))</f>
        <v>1</v>
      </c>
      <c r="B12">
        <v>3</v>
      </c>
      <c r="C12" s="5">
        <v>8.3333333333333337E-6</v>
      </c>
      <c r="D12">
        <v>9</v>
      </c>
      <c r="E12">
        <v>3</v>
      </c>
      <c r="F12">
        <v>1</v>
      </c>
      <c r="G12" s="5">
        <v>3.5879629629629629E-6</v>
      </c>
      <c r="H12" s="5">
        <v>6.9451388888888887E-3</v>
      </c>
      <c r="I12" s="5">
        <v>6.9452546296296293E-3</v>
      </c>
      <c r="J12" s="5">
        <v>3.5879629629629629E-6</v>
      </c>
      <c r="L12"/>
      <c r="M12"/>
      <c r="N12"/>
      <c r="O12"/>
      <c r="P12" s="1"/>
      <c r="R12" s="2">
        <v>3</v>
      </c>
      <c r="S12" cm="1">
        <f t="array" aca="1" ref="S12" ca="1">_xlfn.MAXIFS(COL(bench,"wine"), COL(bench,"model"), $R12, COL(bench,"instance"), INDEX($Q:$Q, ROW()-$R12), COL(bench,"time"),"&lt;="&amp;S$1)</f>
        <v>3</v>
      </c>
      <c r="T12" cm="1">
        <f t="array" aca="1" ref="T12" ca="1">_xlfn.MAXIFS(COL(bench,"wine"), COL(bench,"model"), $R12, COL(bench,"instance"), INDEX($Q:$Q, ROW()-$R12), COL(bench,"time"),"&lt;="&amp;T$1)-SUM($S12:S12)</f>
        <v>0</v>
      </c>
      <c r="U12" cm="1">
        <f t="array" aca="1" ref="U12" ca="1">_xlfn.MAXIFS(COL(bench,"wine"), COL(bench,"model"), $R12, COL(bench,"instance"), INDEX($Q:$Q, ROW()-$R12), COL(bench,"time"),"&lt;="&amp;U$1)-SUM($S12:T12)</f>
        <v>0</v>
      </c>
      <c r="V12" cm="1">
        <f t="array" aca="1" ref="V12" ca="1">_xlfn.MAXIFS(COL(bench,"wine"), COL(bench,"model"), $R12, COL(bench,"instance"), INDEX($Q:$Q, ROW()-$R12), COL(bench,"time"),"&lt;="&amp;V$1)-SUM($S12:U12)</f>
        <v>0</v>
      </c>
      <c r="W12" cm="1">
        <f t="array" aca="1" ref="W12" ca="1">_xlfn.MAXIFS(COL(bench,"wine"), COL(bench,"model"), $R12, COL(bench,"instance"), INDEX($Q:$Q, ROW()-$R12), COL(bench,"time"),"&lt;="&amp;W$1)-SUM($S12:V12)</f>
        <v>0</v>
      </c>
      <c r="X12" t="e" cm="1">
        <f t="array" ref="X12" xml:space="preserve"> _xlfn.LET(
  _xlpm.idx, _xlfn.XMATCH(1,
      (COL(summary,"model")=$R12)*(COL(summary,"instance")=INDEX($Q:$Q, ROW()-$R12))),
  IFERROR(INDEX(COL(summary,"objective"), _xlpm.idx), #N/A)
)</f>
        <v>#N/A</v>
      </c>
    </row>
    <row r="13" spans="1:24" x14ac:dyDescent="0.25">
      <c r="A13">
        <f ca="1">IF(_157721372917[[#This Row],[instance]]&lt;OFFSET(_157721372917[[#This Row],[instance]],-1,0), OFFSET(_157721372917[[#This Row],[model]],-1,0)+1, OFFSET(_157721372917[[#This Row],[model]],-1,0))</f>
        <v>1</v>
      </c>
      <c r="B13">
        <v>3</v>
      </c>
      <c r="C13" s="5">
        <v>8.3333333333333337E-6</v>
      </c>
      <c r="D13">
        <v>12</v>
      </c>
      <c r="E13">
        <v>4</v>
      </c>
      <c r="F13">
        <v>1</v>
      </c>
      <c r="G13" s="5">
        <v>3.5879629629629629E-6</v>
      </c>
      <c r="H13" s="5">
        <v>6.9451388888888887E-3</v>
      </c>
      <c r="I13" s="5">
        <v>6.9452546296296293E-3</v>
      </c>
      <c r="J13" s="5">
        <v>3.5879629629629629E-6</v>
      </c>
      <c r="L13"/>
      <c r="M13"/>
      <c r="N13"/>
      <c r="O13"/>
      <c r="P13" s="1"/>
      <c r="R13" s="2">
        <v>4</v>
      </c>
      <c r="S13" cm="1">
        <f t="array" aca="1" ref="S13" ca="1">_xlfn.MAXIFS(COL(bench,"wine"), COL(bench,"model"), $R13, COL(bench,"instance"), INDEX($Q:$Q, ROW()-$R13), COL(bench,"time"),"&lt;="&amp;S$1)</f>
        <v>0</v>
      </c>
      <c r="T13" cm="1">
        <f t="array" aca="1" ref="T13" ca="1">_xlfn.MAXIFS(COL(bench,"wine"), COL(bench,"model"), $R13, COL(bench,"instance"), INDEX($Q:$Q, ROW()-$R13), COL(bench,"time"),"&lt;="&amp;T$1)-SUM($S13:S13)</f>
        <v>0</v>
      </c>
      <c r="U13" cm="1">
        <f t="array" aca="1" ref="U13" ca="1">_xlfn.MAXIFS(COL(bench,"wine"), COL(bench,"model"), $R13, COL(bench,"instance"), INDEX($Q:$Q, ROW()-$R13), COL(bench,"time"),"&lt;="&amp;U$1)-SUM($S13:T13)</f>
        <v>0</v>
      </c>
      <c r="V13" cm="1">
        <f t="array" aca="1" ref="V13" ca="1">_xlfn.MAXIFS(COL(bench,"wine"), COL(bench,"model"), $R13, COL(bench,"instance"), INDEX($Q:$Q, ROW()-$R13), COL(bench,"time"),"&lt;="&amp;V$1)-SUM($S13:U13)</f>
        <v>0</v>
      </c>
      <c r="W13" cm="1">
        <f t="array" aca="1" ref="W13" ca="1">_xlfn.MAXIFS(COL(bench,"wine"), COL(bench,"model"), $R13, COL(bench,"instance"), INDEX($Q:$Q, ROW()-$R13), COL(bench,"time"),"&lt;="&amp;W$1)-SUM($S13:V13)</f>
        <v>0</v>
      </c>
      <c r="X13" t="e" cm="1">
        <f t="array" ref="X13" xml:space="preserve"> _xlfn.LET(
  _xlpm.idx, _xlfn.XMATCH(1,
      (COL(summary,"model")=$R13)*(COL(summary,"instance")=INDEX($Q:$Q, ROW()-$R13))),
  IFERROR(INDEX(COL(summary,"objective"), _xlpm.idx), #N/A)
)</f>
        <v>#N/A</v>
      </c>
    </row>
    <row r="14" spans="1:24" x14ac:dyDescent="0.25">
      <c r="A14">
        <f ca="1">IF(_157721372917[[#This Row],[instance]]&lt;OFFSET(_157721372917[[#This Row],[instance]],-1,0), OFFSET(_157721372917[[#This Row],[model]],-1,0)+1, OFFSET(_157721372917[[#This Row],[model]],-1,0))</f>
        <v>1</v>
      </c>
      <c r="B14">
        <v>3</v>
      </c>
      <c r="C14" s="5">
        <v>3.7840277777777776E-3</v>
      </c>
      <c r="D14">
        <v>14</v>
      </c>
      <c r="E14">
        <v>6</v>
      </c>
      <c r="F14">
        <v>2</v>
      </c>
      <c r="G14" s="5">
        <v>3.5879629629629629E-6</v>
      </c>
      <c r="H14" s="5">
        <v>6.9451388888888887E-3</v>
      </c>
      <c r="I14" s="5">
        <v>6.9452546296296293E-3</v>
      </c>
      <c r="J14" s="5">
        <v>3.5879629629629629E-6</v>
      </c>
      <c r="L14"/>
      <c r="M14"/>
      <c r="N14"/>
      <c r="O14"/>
      <c r="P14" s="1"/>
      <c r="R14" s="2">
        <v>5</v>
      </c>
      <c r="S14" cm="1">
        <f t="array" aca="1" ref="S14" ca="1">_xlfn.MAXIFS(COL(bench,"wine"), COL(bench,"model"), $R14, COL(bench,"instance"), INDEX($Q:$Q, ROW()-$R14), COL(bench,"time"),"&lt;="&amp;S$1)</f>
        <v>8.25</v>
      </c>
      <c r="T14" cm="1">
        <f t="array" aca="1" ref="T14" ca="1">_xlfn.MAXIFS(COL(bench,"wine"), COL(bench,"model"), $R14, COL(bench,"instance"), INDEX($Q:$Q, ROW()-$R14), COL(bench,"time"),"&lt;="&amp;T$1)-SUM($S14:S14)</f>
        <v>0</v>
      </c>
      <c r="U14" cm="1">
        <f t="array" aca="1" ref="U14" ca="1">_xlfn.MAXIFS(COL(bench,"wine"), COL(bench,"model"), $R14, COL(bench,"instance"), INDEX($Q:$Q, ROW()-$R14), COL(bench,"time"),"&lt;="&amp;U$1)-SUM($S14:T14)</f>
        <v>0</v>
      </c>
      <c r="V14" cm="1">
        <f t="array" aca="1" ref="V14" ca="1">_xlfn.MAXIFS(COL(bench,"wine"), COL(bench,"model"), $R14, COL(bench,"instance"), INDEX($Q:$Q, ROW()-$R14), COL(bench,"time"),"&lt;="&amp;V$1)-SUM($S14:U14)</f>
        <v>0</v>
      </c>
      <c r="W14" cm="1">
        <f t="array" aca="1" ref="W14" ca="1">_xlfn.MAXIFS(COL(bench,"wine"), COL(bench,"model"), $R14, COL(bench,"instance"), INDEX($Q:$Q, ROW()-$R14), COL(bench,"time"),"&lt;="&amp;W$1)-SUM($S14:V14)</f>
        <v>0</v>
      </c>
      <c r="X14" t="e" cm="1">
        <f t="array" ref="X14" xml:space="preserve"> _xlfn.LET(
  _xlpm.idx, _xlfn.XMATCH(1,
      (COL(summary,"model")=$R14)*(COL(summary,"instance")=INDEX($Q:$Q, ROW()-$R14))),
  IFERROR(INDEX(COL(summary,"objective"), _xlpm.idx), #N/A)
)</f>
        <v>#N/A</v>
      </c>
    </row>
    <row r="15" spans="1:24" x14ac:dyDescent="0.25">
      <c r="A15">
        <f ca="1">IF(_157721372917[[#This Row],[instance]]&lt;OFFSET(_157721372917[[#This Row],[instance]],-1,0), OFFSET(_157721372917[[#This Row],[model]],-1,0)+1, OFFSET(_157721372917[[#This Row],[model]],-1,0))</f>
        <v>1</v>
      </c>
      <c r="B15">
        <v>3</v>
      </c>
      <c r="C15" s="5">
        <v>3.7939814814814815E-3</v>
      </c>
      <c r="D15">
        <v>15</v>
      </c>
      <c r="E15">
        <v>7</v>
      </c>
      <c r="F15">
        <v>2</v>
      </c>
      <c r="G15" s="5">
        <v>3.5879629629629629E-6</v>
      </c>
      <c r="H15" s="5">
        <v>6.9451388888888887E-3</v>
      </c>
      <c r="I15" s="5">
        <v>6.9452546296296293E-3</v>
      </c>
      <c r="J15" s="5">
        <v>3.5879629629629629E-6</v>
      </c>
      <c r="L15"/>
      <c r="M15"/>
      <c r="N15"/>
      <c r="O15"/>
      <c r="P15" s="1"/>
    </row>
    <row r="16" spans="1:24" x14ac:dyDescent="0.25">
      <c r="A16">
        <f ca="1">IF(_157721372917[[#This Row],[instance]]&lt;OFFSET(_157721372917[[#This Row],[instance]],-1,0), OFFSET(_157721372917[[#This Row],[model]],-1,0)+1, OFFSET(_157721372917[[#This Row],[model]],-1,0))</f>
        <v>1</v>
      </c>
      <c r="B16">
        <v>3</v>
      </c>
      <c r="C16" s="5">
        <v>3.8098379629629628E-3</v>
      </c>
      <c r="D16">
        <v>16</v>
      </c>
      <c r="E16">
        <v>8</v>
      </c>
      <c r="F16">
        <v>3</v>
      </c>
      <c r="G16" s="5">
        <v>3.5879629629629629E-6</v>
      </c>
      <c r="H16" s="5">
        <v>6.9451388888888887E-3</v>
      </c>
      <c r="I16" s="5">
        <v>6.9452546296296293E-3</v>
      </c>
      <c r="J16" s="5">
        <v>3.5879629629629629E-6</v>
      </c>
      <c r="L16"/>
      <c r="M16"/>
      <c r="N16"/>
      <c r="O16"/>
      <c r="P16" s="1"/>
      <c r="Q16">
        <v>3</v>
      </c>
    </row>
    <row r="17" spans="1:24" x14ac:dyDescent="0.25">
      <c r="A17">
        <f ca="1">IF(_157721372917[[#This Row],[instance]]&lt;OFFSET(_157721372917[[#This Row],[instance]],-1,0), OFFSET(_157721372917[[#This Row],[model]],-1,0)+1, OFFSET(_157721372917[[#This Row],[model]],-1,0))</f>
        <v>1</v>
      </c>
      <c r="B17">
        <v>3</v>
      </c>
      <c r="C17" s="5">
        <v>3.8103009259259257E-3</v>
      </c>
      <c r="D17">
        <v>16</v>
      </c>
      <c r="E17">
        <v>8</v>
      </c>
      <c r="F17">
        <v>2</v>
      </c>
      <c r="G17" s="5">
        <v>3.5879629629629629E-6</v>
      </c>
      <c r="H17" s="5">
        <v>6.9451388888888887E-3</v>
      </c>
      <c r="I17" s="5">
        <v>6.9452546296296293E-3</v>
      </c>
      <c r="J17" s="5">
        <v>3.5879629629629629E-6</v>
      </c>
      <c r="L17"/>
      <c r="M17"/>
      <c r="N17"/>
      <c r="O17"/>
      <c r="P17" s="1"/>
      <c r="R17" s="2">
        <v>1</v>
      </c>
      <c r="S17" cm="1">
        <f t="array" aca="1" ref="S17" ca="1">_xlfn.MAXIFS(COL(bench,"wine"), COL(bench,"model"), $R17, COL(bench,"instance"), INDEX($Q:$Q, ROW()-$R17), COL(bench,"time"),"&lt;="&amp;S$1)</f>
        <v>12</v>
      </c>
      <c r="T17" cm="1">
        <f t="array" aca="1" ref="T17" ca="1">_xlfn.MAXIFS(COL(bench,"wine"), COL(bench,"model"), $R17, COL(bench,"instance"), INDEX($Q:$Q, ROW()-$R17), COL(bench,"time"),"&lt;="&amp;T$1)-SUM($S17:S17)</f>
        <v>0</v>
      </c>
      <c r="U17" cm="1">
        <f t="array" aca="1" ref="U17" ca="1">_xlfn.MAXIFS(COL(bench,"wine"), COL(bench,"model"), $R17, COL(bench,"instance"), INDEX($Q:$Q, ROW()-$R17), COL(bench,"time"),"&lt;="&amp;U$1)-SUM($S17:T17)</f>
        <v>0</v>
      </c>
      <c r="V17" cm="1">
        <f t="array" aca="1" ref="V17" ca="1">_xlfn.MAXIFS(COL(bench,"wine"), COL(bench,"model"), $R17, COL(bench,"instance"), INDEX($Q:$Q, ROW()-$R17), COL(bench,"time"),"&lt;="&amp;V$1)-SUM($S17:U17)</f>
        <v>0</v>
      </c>
      <c r="W17" cm="1">
        <f t="array" aca="1" ref="W17" ca="1">_xlfn.MAXIFS(COL(bench,"wine"), COL(bench,"model"), $R17, COL(bench,"instance"), INDEX($Q:$Q, ROW()-$R17), COL(bench,"time"),"&lt;="&amp;W$1)-SUM($S17:V17)</f>
        <v>6.5</v>
      </c>
      <c r="X17" t="e" cm="1">
        <f t="array" ref="X17" xml:space="preserve"> _xlfn.LET(
  _xlpm.idx, _xlfn.XMATCH(1,
      (COL(summary,"model")=$R17)*(COL(summary,"instance")=INDEX($Q:$Q, ROW()-$R17))),
  IFERROR(INDEX(COL(summary,"objective"), _xlpm.idx), #N/A)
)</f>
        <v>#N/A</v>
      </c>
    </row>
    <row r="18" spans="1:24" x14ac:dyDescent="0.25">
      <c r="A18">
        <f ca="1">IF(_157721372917[[#This Row],[instance]]&lt;OFFSET(_157721372917[[#This Row],[instance]],-1,0), OFFSET(_157721372917[[#This Row],[model]],-1,0)+1, OFFSET(_157721372917[[#This Row],[model]],-1,0))</f>
        <v>1</v>
      </c>
      <c r="B18">
        <v>3</v>
      </c>
      <c r="C18" s="5">
        <v>3.8194444444444443E-3</v>
      </c>
      <c r="D18">
        <v>16.75</v>
      </c>
      <c r="E18">
        <v>9</v>
      </c>
      <c r="F18">
        <v>2</v>
      </c>
      <c r="G18" s="5">
        <v>3.5879629629629629E-6</v>
      </c>
      <c r="H18" s="5">
        <v>6.9451388888888887E-3</v>
      </c>
      <c r="I18" s="5">
        <v>6.9452546296296293E-3</v>
      </c>
      <c r="J18" s="5">
        <v>3.5879629629629629E-6</v>
      </c>
      <c r="L18"/>
      <c r="M18"/>
      <c r="N18"/>
      <c r="O18"/>
      <c r="P18" s="1"/>
      <c r="R18" s="2">
        <v>2</v>
      </c>
      <c r="S18" cm="1">
        <f t="array" aca="1" ref="S18" ca="1">_xlfn.MAXIFS(COL(bench,"wine"), COL(bench,"model"), $R18, COL(bench,"instance"), INDEX($Q:$Q, ROW()-$R18), COL(bench,"time"),"&lt;="&amp;S$1)</f>
        <v>12</v>
      </c>
      <c r="T18" cm="1">
        <f t="array" aca="1" ref="T18" ca="1">_xlfn.MAXIFS(COL(bench,"wine"), COL(bench,"model"), $R18, COL(bench,"instance"), INDEX($Q:$Q, ROW()-$R18), COL(bench,"time"),"&lt;="&amp;T$1)-SUM($S18:S18)</f>
        <v>0</v>
      </c>
      <c r="U18" cm="1">
        <f t="array" aca="1" ref="U18" ca="1">_xlfn.MAXIFS(COL(bench,"wine"), COL(bench,"model"), $R18, COL(bench,"instance"), INDEX($Q:$Q, ROW()-$R18), COL(bench,"time"),"&lt;="&amp;U$1)-SUM($S18:T18)</f>
        <v>0</v>
      </c>
      <c r="V18" cm="1">
        <f t="array" aca="1" ref="V18" ca="1">_xlfn.MAXIFS(COL(bench,"wine"), COL(bench,"model"), $R18, COL(bench,"instance"), INDEX($Q:$Q, ROW()-$R18), COL(bench,"time"),"&lt;="&amp;V$1)-SUM($S18:U18)</f>
        <v>0</v>
      </c>
      <c r="W18" cm="1">
        <f t="array" aca="1" ref="W18" ca="1">_xlfn.MAXIFS(COL(bench,"wine"), COL(bench,"model"), $R18, COL(bench,"instance"), INDEX($Q:$Q, ROW()-$R18), COL(bench,"time"),"&lt;="&amp;W$1)-SUM($S18:V18)</f>
        <v>2</v>
      </c>
      <c r="X18" t="e" cm="1">
        <f t="array" ref="X18" xml:space="preserve"> _xlfn.LET(
  _xlpm.idx, _xlfn.XMATCH(1,
      (COL(summary,"model")=$R18)*(COL(summary,"instance")=INDEX($Q:$Q, ROW()-$R18))),
  IFERROR(INDEX(COL(summary,"objective"), _xlpm.idx), #N/A)
)</f>
        <v>#N/A</v>
      </c>
    </row>
    <row r="19" spans="1:24" x14ac:dyDescent="0.25">
      <c r="A19">
        <f ca="1">IF(_157721372917[[#This Row],[instance]]&lt;OFFSET(_157721372917[[#This Row],[instance]],-1,0), OFFSET(_157721372917[[#This Row],[model]],-1,0)+1, OFFSET(_157721372917[[#This Row],[model]],-1,0))</f>
        <v>1</v>
      </c>
      <c r="B19">
        <v>3</v>
      </c>
      <c r="C19" s="5">
        <v>3.8230324074074074E-3</v>
      </c>
      <c r="D19">
        <v>17.75</v>
      </c>
      <c r="E19">
        <v>10</v>
      </c>
      <c r="F19">
        <v>3</v>
      </c>
      <c r="G19" s="5">
        <v>3.5879629629629629E-6</v>
      </c>
      <c r="H19" s="5">
        <v>6.9451388888888887E-3</v>
      </c>
      <c r="I19" s="5">
        <v>6.9452546296296293E-3</v>
      </c>
      <c r="J19" s="5">
        <v>3.5879629629629629E-6</v>
      </c>
      <c r="L19"/>
      <c r="M19"/>
      <c r="N19"/>
      <c r="O19"/>
      <c r="P19" s="1"/>
      <c r="R19" s="2">
        <v>3</v>
      </c>
      <c r="S19" cm="1">
        <f t="array" aca="1" ref="S19" ca="1">_xlfn.MAXIFS(COL(bench,"wine"), COL(bench,"model"), $R19, COL(bench,"instance"), INDEX($Q:$Q, ROW()-$R19), COL(bench,"time"),"&lt;="&amp;S$1)</f>
        <v>0</v>
      </c>
      <c r="T19" cm="1">
        <f t="array" aca="1" ref="T19" ca="1">_xlfn.MAXIFS(COL(bench,"wine"), COL(bench,"model"), $R19, COL(bench,"instance"), INDEX($Q:$Q, ROW()-$R19), COL(bench,"time"),"&lt;="&amp;T$1)-SUM($S19:S19)</f>
        <v>0</v>
      </c>
      <c r="U19" cm="1">
        <f t="array" aca="1" ref="U19" ca="1">_xlfn.MAXIFS(COL(bench,"wine"), COL(bench,"model"), $R19, COL(bench,"instance"), INDEX($Q:$Q, ROW()-$R19), COL(bench,"time"),"&lt;="&amp;U$1)-SUM($S19:T19)</f>
        <v>0</v>
      </c>
      <c r="V19" cm="1">
        <f t="array" aca="1" ref="V19" ca="1">_xlfn.MAXIFS(COL(bench,"wine"), COL(bench,"model"), $R19, COL(bench,"instance"), INDEX($Q:$Q, ROW()-$R19), COL(bench,"time"),"&lt;="&amp;V$1)-SUM($S19:U19)</f>
        <v>0</v>
      </c>
      <c r="W19" cm="1">
        <f t="array" aca="1" ref="W19" ca="1">_xlfn.MAXIFS(COL(bench,"wine"), COL(bench,"model"), $R19, COL(bench,"instance"), INDEX($Q:$Q, ROW()-$R19), COL(bench,"time"),"&lt;="&amp;W$1)-SUM($S19:V19)</f>
        <v>0</v>
      </c>
      <c r="X19" t="e" cm="1">
        <f t="array" ref="X19" xml:space="preserve"> _xlfn.LET(
  _xlpm.idx, _xlfn.XMATCH(1,
      (COL(summary,"model")=$R19)*(COL(summary,"instance")=INDEX($Q:$Q, ROW()-$R19))),
  IFERROR(INDEX(COL(summary,"objective"), _xlpm.idx), #N/A)
)</f>
        <v>#N/A</v>
      </c>
    </row>
    <row r="20" spans="1:24" x14ac:dyDescent="0.25">
      <c r="A20">
        <f ca="1">IF(_157721372917[[#This Row],[instance]]&lt;OFFSET(_157721372917[[#This Row],[instance]],-1,0), OFFSET(_157721372917[[#This Row],[model]],-1,0)+1, OFFSET(_157721372917[[#This Row],[model]],-1,0))</f>
        <v>1</v>
      </c>
      <c r="B20">
        <v>3</v>
      </c>
      <c r="C20" s="5">
        <v>3.8230324074074074E-3</v>
      </c>
      <c r="D20">
        <v>17.75</v>
      </c>
      <c r="E20">
        <v>10</v>
      </c>
      <c r="F20">
        <v>2</v>
      </c>
      <c r="G20" s="5">
        <v>3.5879629629629629E-6</v>
      </c>
      <c r="H20" s="5">
        <v>6.9451388888888887E-3</v>
      </c>
      <c r="I20" s="5">
        <v>6.9452546296296293E-3</v>
      </c>
      <c r="J20" s="5">
        <v>3.5879629629629629E-6</v>
      </c>
      <c r="L20"/>
      <c r="M20"/>
      <c r="N20"/>
      <c r="O20"/>
      <c r="P20" s="1"/>
      <c r="R20" s="2">
        <v>4</v>
      </c>
      <c r="S20" cm="1">
        <f t="array" aca="1" ref="S20" ca="1">_xlfn.MAXIFS(COL(bench,"wine"), COL(bench,"model"), $R20, COL(bench,"instance"), INDEX($Q:$Q, ROW()-$R20), COL(bench,"time"),"&lt;="&amp;S$1)</f>
        <v>1.875</v>
      </c>
      <c r="T20" cm="1">
        <f t="array" aca="1" ref="T20" ca="1">_xlfn.MAXIFS(COL(bench,"wine"), COL(bench,"model"), $R20, COL(bench,"instance"), INDEX($Q:$Q, ROW()-$R20), COL(bench,"time"),"&lt;="&amp;T$1)-SUM($S20:S20)</f>
        <v>0.375</v>
      </c>
      <c r="U20" cm="1">
        <f t="array" aca="1" ref="U20" ca="1">_xlfn.MAXIFS(COL(bench,"wine"), COL(bench,"model"), $R20, COL(bench,"instance"), INDEX($Q:$Q, ROW()-$R20), COL(bench,"time"),"&lt;="&amp;U$1)-SUM($S20:T20)</f>
        <v>0</v>
      </c>
      <c r="V20" cm="1">
        <f t="array" aca="1" ref="V20" ca="1">_xlfn.MAXIFS(COL(bench,"wine"), COL(bench,"model"), $R20, COL(bench,"instance"), INDEX($Q:$Q, ROW()-$R20), COL(bench,"time"),"&lt;="&amp;V$1)-SUM($S20:U20)</f>
        <v>0</v>
      </c>
      <c r="W20" cm="1">
        <f t="array" aca="1" ref="W20" ca="1">_xlfn.MAXIFS(COL(bench,"wine"), COL(bench,"model"), $R20, COL(bench,"instance"), INDEX($Q:$Q, ROW()-$R20), COL(bench,"time"),"&lt;="&amp;W$1)-SUM($S20:V20)</f>
        <v>0</v>
      </c>
      <c r="X20" t="e" cm="1">
        <f t="array" ref="X20" xml:space="preserve"> _xlfn.LET(
  _xlpm.idx, _xlfn.XMATCH(1,
      (COL(summary,"model")=$R20)*(COL(summary,"instance")=INDEX($Q:$Q, ROW()-$R20))),
  IFERROR(INDEX(COL(summary,"objective"), _xlpm.idx), #N/A)
)</f>
        <v>#N/A</v>
      </c>
    </row>
    <row r="21" spans="1:24" x14ac:dyDescent="0.25">
      <c r="A21">
        <f ca="1">IF(_157721372917[[#This Row],[instance]]&lt;OFFSET(_157721372917[[#This Row],[instance]],-1,0), OFFSET(_157721372917[[#This Row],[model]],-1,0)+1, OFFSET(_157721372917[[#This Row],[model]],-1,0))</f>
        <v>1</v>
      </c>
      <c r="B21">
        <v>3</v>
      </c>
      <c r="C21" s="5">
        <v>4.00787037037037E-3</v>
      </c>
      <c r="D21">
        <v>18.5</v>
      </c>
      <c r="E21">
        <v>11</v>
      </c>
      <c r="F21">
        <v>3</v>
      </c>
      <c r="G21" s="5">
        <v>3.5879629629629629E-6</v>
      </c>
      <c r="H21" s="5">
        <v>6.9451388888888887E-3</v>
      </c>
      <c r="I21" s="5">
        <v>6.9452546296296293E-3</v>
      </c>
      <c r="J21" s="5">
        <v>3.5879629629629629E-6</v>
      </c>
      <c r="L21"/>
      <c r="M21"/>
      <c r="N21"/>
      <c r="O21"/>
      <c r="P21" s="1"/>
      <c r="R21" s="2">
        <v>5</v>
      </c>
      <c r="S21" cm="1">
        <f t="array" aca="1" ref="S21" ca="1">_xlfn.MAXIFS(COL(bench,"wine"), COL(bench,"model"), $R21, COL(bench,"instance"), INDEX($Q:$Q, ROW()-$R21), COL(bench,"time"),"&lt;="&amp;S$1)</f>
        <v>21.125</v>
      </c>
      <c r="T21" cm="1">
        <f t="array" aca="1" ref="T21" ca="1">_xlfn.MAXIFS(COL(bench,"wine"), COL(bench,"model"), $R21, COL(bench,"instance"), INDEX($Q:$Q, ROW()-$R21), COL(bench,"time"),"&lt;="&amp;T$1)-SUM($S21:S21)</f>
        <v>0</v>
      </c>
      <c r="U21" cm="1">
        <f t="array" aca="1" ref="U21" ca="1">_xlfn.MAXIFS(COL(bench,"wine"), COL(bench,"model"), $R21, COL(bench,"instance"), INDEX($Q:$Q, ROW()-$R21), COL(bench,"time"),"&lt;="&amp;U$1)-SUM($S21:T21)</f>
        <v>0</v>
      </c>
      <c r="V21" cm="1">
        <f t="array" aca="1" ref="V21" ca="1">_xlfn.MAXIFS(COL(bench,"wine"), COL(bench,"model"), $R21, COL(bench,"instance"), INDEX($Q:$Q, ROW()-$R21), COL(bench,"time"),"&lt;="&amp;V$1)-SUM($S21:U21)</f>
        <v>0</v>
      </c>
      <c r="W21" cm="1">
        <f t="array" aca="1" ref="W21" ca="1">_xlfn.MAXIFS(COL(bench,"wine"), COL(bench,"model"), $R21, COL(bench,"instance"), INDEX($Q:$Q, ROW()-$R21), COL(bench,"time"),"&lt;="&amp;W$1)-SUM($S21:V21)</f>
        <v>0</v>
      </c>
      <c r="X21" t="e" cm="1">
        <f t="array" ref="X21" xml:space="preserve"> _xlfn.LET(
  _xlpm.idx, _xlfn.XMATCH(1,
      (COL(summary,"model")=$R21)*(COL(summary,"instance")=INDEX($Q:$Q, ROW()-$R21))),
  IFERROR(INDEX(COL(summary,"objective"), _xlpm.idx), #N/A)
)</f>
        <v>#N/A</v>
      </c>
    </row>
    <row r="22" spans="1:24" x14ac:dyDescent="0.25">
      <c r="A22">
        <f ca="1">IF(_157721372917[[#This Row],[instance]]&lt;OFFSET(_157721372917[[#This Row],[instance]],-1,0), OFFSET(_157721372917[[#This Row],[model]],-1,0)+1, OFFSET(_157721372917[[#This Row],[model]],-1,0))</f>
        <v>1</v>
      </c>
      <c r="B22">
        <v>4</v>
      </c>
      <c r="C22" s="5">
        <v>8.3333333333333337E-6</v>
      </c>
      <c r="D22">
        <v>0</v>
      </c>
      <c r="E22">
        <v>0</v>
      </c>
      <c r="F22">
        <v>0</v>
      </c>
      <c r="G22" s="5">
        <v>3.472222222222222E-6</v>
      </c>
      <c r="H22" s="5">
        <v>6.9452546296296293E-3</v>
      </c>
      <c r="I22" s="5">
        <v>6.9452546296296293E-3</v>
      </c>
      <c r="J22" s="5">
        <v>3.5879629629629629E-6</v>
      </c>
      <c r="L22"/>
      <c r="M22"/>
      <c r="N22"/>
      <c r="O22"/>
      <c r="P22" s="1"/>
    </row>
    <row r="23" spans="1:24" x14ac:dyDescent="0.25">
      <c r="A23">
        <f ca="1">IF(_157721372917[[#This Row],[instance]]&lt;OFFSET(_157721372917[[#This Row],[instance]],-1,0), OFFSET(_157721372917[[#This Row],[model]],-1,0)+1, OFFSET(_157721372917[[#This Row],[model]],-1,0))</f>
        <v>1</v>
      </c>
      <c r="B23">
        <v>4</v>
      </c>
      <c r="C23" s="5">
        <v>8.3333333333333337E-6</v>
      </c>
      <c r="D23">
        <v>3</v>
      </c>
      <c r="E23">
        <v>1</v>
      </c>
      <c r="F23">
        <v>1</v>
      </c>
      <c r="G23" s="5">
        <v>3.472222222222222E-6</v>
      </c>
      <c r="H23" s="5">
        <v>6.9452546296296293E-3</v>
      </c>
      <c r="I23" s="5">
        <v>6.9452546296296293E-3</v>
      </c>
      <c r="J23" s="5">
        <v>3.5879629629629629E-6</v>
      </c>
      <c r="L23"/>
      <c r="M23"/>
      <c r="N23"/>
      <c r="O23"/>
      <c r="P23" s="1"/>
      <c r="Q23">
        <v>4</v>
      </c>
    </row>
    <row r="24" spans="1:24" x14ac:dyDescent="0.25">
      <c r="A24">
        <f ca="1">IF(_157721372917[[#This Row],[instance]]&lt;OFFSET(_157721372917[[#This Row],[instance]],-1,0), OFFSET(_157721372917[[#This Row],[model]],-1,0)+1, OFFSET(_157721372917[[#This Row],[model]],-1,0))</f>
        <v>1</v>
      </c>
      <c r="B24">
        <v>4</v>
      </c>
      <c r="C24" s="5">
        <v>8.3333333333333337E-6</v>
      </c>
      <c r="D24">
        <v>6</v>
      </c>
      <c r="E24">
        <v>2</v>
      </c>
      <c r="F24">
        <v>2</v>
      </c>
      <c r="G24" s="5">
        <v>3.472222222222222E-6</v>
      </c>
      <c r="H24" s="5">
        <v>6.9452546296296293E-3</v>
      </c>
      <c r="I24" s="5">
        <v>6.9452546296296293E-3</v>
      </c>
      <c r="J24" s="5">
        <v>3.5879629629629629E-6</v>
      </c>
      <c r="L24"/>
      <c r="M24"/>
      <c r="N24"/>
      <c r="O24"/>
      <c r="P24" s="1"/>
      <c r="R24" s="2">
        <v>1</v>
      </c>
      <c r="S24" cm="1">
        <f t="array" aca="1" ref="S24" ca="1">_xlfn.MAXIFS(COL(bench,"wine"), COL(bench,"model"), $R24, COL(bench,"instance"), INDEX($Q:$Q, ROW()-$R24), COL(bench,"time"),"&lt;="&amp;S$1)</f>
        <v>19</v>
      </c>
      <c r="T24" cm="1">
        <f t="array" aca="1" ref="T24" ca="1">_xlfn.MAXIFS(COL(bench,"wine"), COL(bench,"model"), $R24, COL(bench,"instance"), INDEX($Q:$Q, ROW()-$R24), COL(bench,"time"),"&lt;="&amp;T$1)-SUM($S24:S24)</f>
        <v>0</v>
      </c>
      <c r="U24" cm="1">
        <f t="array" aca="1" ref="U24" ca="1">_xlfn.MAXIFS(COL(bench,"wine"), COL(bench,"model"), $R24, COL(bench,"instance"), INDEX($Q:$Q, ROW()-$R24), COL(bench,"time"),"&lt;="&amp;U$1)-SUM($S24:T24)</f>
        <v>1</v>
      </c>
      <c r="V24" cm="1">
        <f t="array" aca="1" ref="V24" ca="1">_xlfn.MAXIFS(COL(bench,"wine"), COL(bench,"model"), $R24, COL(bench,"instance"), INDEX($Q:$Q, ROW()-$R24), COL(bench,"time"),"&lt;="&amp;V$1)-SUM($S24:U24)</f>
        <v>0.75</v>
      </c>
      <c r="W24" cm="1">
        <f t="array" aca="1" ref="W24" ca="1">_xlfn.MAXIFS(COL(bench,"wine"), COL(bench,"model"), $R24, COL(bench,"instance"), INDEX($Q:$Q, ROW()-$R24), COL(bench,"time"),"&lt;="&amp;W$1)-SUM($S24:V24)</f>
        <v>1.75</v>
      </c>
      <c r="X24" t="e" cm="1">
        <f t="array" ref="X24" xml:space="preserve"> _xlfn.LET(
  _xlpm.idx, _xlfn.XMATCH(1,
      (COL(summary,"model")=$R24)*(COL(summary,"instance")=INDEX($Q:$Q, ROW()-$R24))),
  IFERROR(INDEX(COL(summary,"objective"), _xlpm.idx), #N/A)
)</f>
        <v>#N/A</v>
      </c>
    </row>
    <row r="25" spans="1:24" x14ac:dyDescent="0.25">
      <c r="A25">
        <f ca="1">IF(_157721372917[[#This Row],[instance]]&lt;OFFSET(_157721372917[[#This Row],[instance]],-1,0), OFFSET(_157721372917[[#This Row],[model]],-1,0)+1, OFFSET(_157721372917[[#This Row],[model]],-1,0))</f>
        <v>1</v>
      </c>
      <c r="B25">
        <v>4</v>
      </c>
      <c r="C25" s="5">
        <v>8.5648148148148138E-6</v>
      </c>
      <c r="D25">
        <v>9</v>
      </c>
      <c r="E25">
        <v>3</v>
      </c>
      <c r="F25">
        <v>1</v>
      </c>
      <c r="G25" s="5">
        <v>3.472222222222222E-6</v>
      </c>
      <c r="H25" s="5">
        <v>6.9452546296296293E-3</v>
      </c>
      <c r="I25" s="5">
        <v>6.9452546296296293E-3</v>
      </c>
      <c r="J25" s="5">
        <v>3.5879629629629629E-6</v>
      </c>
      <c r="L25"/>
      <c r="M25"/>
      <c r="N25"/>
      <c r="O25"/>
      <c r="P25" s="1"/>
      <c r="R25" s="2">
        <v>2</v>
      </c>
      <c r="S25" cm="1">
        <f t="array" aca="1" ref="S25" ca="1">_xlfn.MAXIFS(COL(bench,"wine"), COL(bench,"model"), $R25, COL(bench,"instance"), INDEX($Q:$Q, ROW()-$R25), COL(bench,"time"),"&lt;="&amp;S$1)</f>
        <v>13</v>
      </c>
      <c r="T25" cm="1">
        <f t="array" aca="1" ref="T25" ca="1">_xlfn.MAXIFS(COL(bench,"wine"), COL(bench,"model"), $R25, COL(bench,"instance"), INDEX($Q:$Q, ROW()-$R25), COL(bench,"time"),"&lt;="&amp;T$1)-SUM($S25:S25)</f>
        <v>0</v>
      </c>
      <c r="U25" cm="1">
        <f t="array" aca="1" ref="U25" ca="1">_xlfn.MAXIFS(COL(bench,"wine"), COL(bench,"model"), $R25, COL(bench,"instance"), INDEX($Q:$Q, ROW()-$R25), COL(bench,"time"),"&lt;="&amp;U$1)-SUM($S25:T25)</f>
        <v>2</v>
      </c>
      <c r="V25" cm="1">
        <f t="array" aca="1" ref="V25" ca="1">_xlfn.MAXIFS(COL(bench,"wine"), COL(bench,"model"), $R25, COL(bench,"instance"), INDEX($Q:$Q, ROW()-$R25), COL(bench,"time"),"&lt;="&amp;V$1)-SUM($S25:U25)</f>
        <v>4</v>
      </c>
      <c r="W25" cm="1">
        <f t="array" aca="1" ref="W25" ca="1">_xlfn.MAXIFS(COL(bench,"wine"), COL(bench,"model"), $R25, COL(bench,"instance"), INDEX($Q:$Q, ROW()-$R25), COL(bench,"time"),"&lt;="&amp;W$1)-SUM($S25:V25)</f>
        <v>3.5</v>
      </c>
      <c r="X25" t="e" cm="1">
        <f t="array" ref="X25" xml:space="preserve"> _xlfn.LET(
  _xlpm.idx, _xlfn.XMATCH(1,
      (COL(summary,"model")=$R25)*(COL(summary,"instance")=INDEX($Q:$Q, ROW()-$R25))),
  IFERROR(INDEX(COL(summary,"objective"), _xlpm.idx), #N/A)
)</f>
        <v>#N/A</v>
      </c>
    </row>
    <row r="26" spans="1:24" x14ac:dyDescent="0.25">
      <c r="A26">
        <f ca="1">IF(_157721372917[[#This Row],[instance]]&lt;OFFSET(_157721372917[[#This Row],[instance]],-1,0), OFFSET(_157721372917[[#This Row],[model]],-1,0)+1, OFFSET(_157721372917[[#This Row],[model]],-1,0))</f>
        <v>1</v>
      </c>
      <c r="B26">
        <v>4</v>
      </c>
      <c r="C26" s="5">
        <v>8.5648148148148138E-6</v>
      </c>
      <c r="D26">
        <v>12</v>
      </c>
      <c r="E26">
        <v>4</v>
      </c>
      <c r="F26">
        <v>1</v>
      </c>
      <c r="G26" s="5">
        <v>3.472222222222222E-6</v>
      </c>
      <c r="H26" s="5">
        <v>6.9452546296296293E-3</v>
      </c>
      <c r="I26" s="5">
        <v>6.9452546296296293E-3</v>
      </c>
      <c r="J26" s="5">
        <v>3.5879629629629629E-6</v>
      </c>
      <c r="L26"/>
      <c r="M26"/>
      <c r="N26"/>
      <c r="O26"/>
      <c r="P26" s="1"/>
      <c r="R26" s="2">
        <v>3</v>
      </c>
      <c r="S26" cm="1">
        <f t="array" aca="1" ref="S26" ca="1">_xlfn.MAXIFS(COL(bench,"wine"), COL(bench,"model"), $R26, COL(bench,"instance"), INDEX($Q:$Q, ROW()-$R26), COL(bench,"time"),"&lt;="&amp;S$1)</f>
        <v>0</v>
      </c>
      <c r="T26" cm="1">
        <f t="array" aca="1" ref="T26" ca="1">_xlfn.MAXIFS(COL(bench,"wine"), COL(bench,"model"), $R26, COL(bench,"instance"), INDEX($Q:$Q, ROW()-$R26), COL(bench,"time"),"&lt;="&amp;T$1)-SUM($S26:S26)</f>
        <v>0</v>
      </c>
      <c r="U26" cm="1">
        <f t="array" aca="1" ref="U26" ca="1">_xlfn.MAXIFS(COL(bench,"wine"), COL(bench,"model"), $R26, COL(bench,"instance"), INDEX($Q:$Q, ROW()-$R26), COL(bench,"time"),"&lt;="&amp;U$1)-SUM($S26:T26)</f>
        <v>0</v>
      </c>
      <c r="V26" cm="1">
        <f t="array" aca="1" ref="V26" ca="1">_xlfn.MAXIFS(COL(bench,"wine"), COL(bench,"model"), $R26, COL(bench,"instance"), INDEX($Q:$Q, ROW()-$R26), COL(bench,"time"),"&lt;="&amp;V$1)-SUM($S26:U26)</f>
        <v>0</v>
      </c>
      <c r="W26" cm="1">
        <f t="array" aca="1" ref="W26" ca="1">_xlfn.MAXIFS(COL(bench,"wine"), COL(bench,"model"), $R26, COL(bench,"instance"), INDEX($Q:$Q, ROW()-$R26), COL(bench,"time"),"&lt;="&amp;W$1)-SUM($S26:V26)</f>
        <v>0</v>
      </c>
      <c r="X26" t="e" cm="1">
        <f t="array" ref="X26" xml:space="preserve"> _xlfn.LET(
  _xlpm.idx, _xlfn.XMATCH(1,
      (COL(summary,"model")=$R26)*(COL(summary,"instance")=INDEX($Q:$Q, ROW()-$R26))),
  IFERROR(INDEX(COL(summary,"objective"), _xlpm.idx), #N/A)
)</f>
        <v>#N/A</v>
      </c>
    </row>
    <row r="27" spans="1:24" x14ac:dyDescent="0.25">
      <c r="A27">
        <f ca="1">IF(_157721372917[[#This Row],[instance]]&lt;OFFSET(_157721372917[[#This Row],[instance]],-1,0), OFFSET(_157721372917[[#This Row],[model]],-1,0)+1, OFFSET(_157721372917[[#This Row],[model]],-1,0))</f>
        <v>1</v>
      </c>
      <c r="B27">
        <v>4</v>
      </c>
      <c r="C27" s="5">
        <v>8.6805555555555555E-6</v>
      </c>
      <c r="D27">
        <v>15</v>
      </c>
      <c r="E27">
        <v>5</v>
      </c>
      <c r="F27">
        <v>2</v>
      </c>
      <c r="G27" s="5">
        <v>3.472222222222222E-6</v>
      </c>
      <c r="H27" s="5">
        <v>6.9452546296296293E-3</v>
      </c>
      <c r="I27" s="5">
        <v>6.9452546296296293E-3</v>
      </c>
      <c r="J27" s="5">
        <v>3.5879629629629629E-6</v>
      </c>
      <c r="L27"/>
      <c r="M27"/>
      <c r="N27"/>
      <c r="O27"/>
      <c r="P27" s="1"/>
      <c r="R27" s="2">
        <v>4</v>
      </c>
      <c r="S27" cm="1">
        <f t="array" aca="1" ref="S27" ca="1">_xlfn.MAXIFS(COL(bench,"wine"), COL(bench,"model"), $R27, COL(bench,"instance"), INDEX($Q:$Q, ROW()-$R27), COL(bench,"time"),"&lt;="&amp;S$1)</f>
        <v>0</v>
      </c>
      <c r="T27" cm="1">
        <f t="array" aca="1" ref="T27" ca="1">_xlfn.MAXIFS(COL(bench,"wine"), COL(bench,"model"), $R27, COL(bench,"instance"), INDEX($Q:$Q, ROW()-$R27), COL(bench,"time"),"&lt;="&amp;T$1)-SUM($S27:S27)</f>
        <v>0</v>
      </c>
      <c r="U27" cm="1">
        <f t="array" aca="1" ref="U27" ca="1">_xlfn.MAXIFS(COL(bench,"wine"), COL(bench,"model"), $R27, COL(bench,"instance"), INDEX($Q:$Q, ROW()-$R27), COL(bench,"time"),"&lt;="&amp;U$1)-SUM($S27:T27)</f>
        <v>0</v>
      </c>
      <c r="V27" cm="1">
        <f t="array" aca="1" ref="V27" ca="1">_xlfn.MAXIFS(COL(bench,"wine"), COL(bench,"model"), $R27, COL(bench,"instance"), INDEX($Q:$Q, ROW()-$R27), COL(bench,"time"),"&lt;="&amp;V$1)-SUM($S27:U27)</f>
        <v>0</v>
      </c>
      <c r="W27" cm="1">
        <f t="array" aca="1" ref="W27" ca="1">_xlfn.MAXIFS(COL(bench,"wine"), COL(bench,"model"), $R27, COL(bench,"instance"), INDEX($Q:$Q, ROW()-$R27), COL(bench,"time"),"&lt;="&amp;W$1)-SUM($S27:V27)</f>
        <v>0</v>
      </c>
      <c r="X27" t="e" cm="1">
        <f t="array" ref="X27" xml:space="preserve"> _xlfn.LET(
  _xlpm.idx, _xlfn.XMATCH(1,
      (COL(summary,"model")=$R27)*(COL(summary,"instance")=INDEX($Q:$Q, ROW()-$R27))),
  IFERROR(INDEX(COL(summary,"objective"), _xlpm.idx), #N/A)
)</f>
        <v>#N/A</v>
      </c>
    </row>
    <row r="28" spans="1:24" x14ac:dyDescent="0.25">
      <c r="A28">
        <f ca="1">IF(_157721372917[[#This Row],[instance]]&lt;OFFSET(_157721372917[[#This Row],[instance]],-1,0), OFFSET(_157721372917[[#This Row],[model]],-1,0)+1, OFFSET(_157721372917[[#This Row],[model]],-1,0))</f>
        <v>1</v>
      </c>
      <c r="B28">
        <v>4</v>
      </c>
      <c r="C28" s="5">
        <v>1.3425925925925926E-5</v>
      </c>
      <c r="D28">
        <v>16</v>
      </c>
      <c r="E28">
        <v>6</v>
      </c>
      <c r="F28">
        <v>2</v>
      </c>
      <c r="G28" s="5">
        <v>3.472222222222222E-6</v>
      </c>
      <c r="H28" s="5">
        <v>6.9452546296296293E-3</v>
      </c>
      <c r="I28" s="5">
        <v>6.9452546296296293E-3</v>
      </c>
      <c r="J28" s="5">
        <v>3.5879629629629629E-6</v>
      </c>
      <c r="L28"/>
      <c r="M28"/>
      <c r="N28"/>
      <c r="O28"/>
      <c r="P28" s="1"/>
      <c r="R28" s="2">
        <v>5</v>
      </c>
      <c r="S28" cm="1">
        <f t="array" aca="1" ref="S28" ca="1">_xlfn.MAXIFS(COL(bench,"wine"), COL(bench,"model"), $R28, COL(bench,"instance"), INDEX($Q:$Q, ROW()-$R28), COL(bench,"time"),"&lt;="&amp;S$1)</f>
        <v>24</v>
      </c>
      <c r="T28" cm="1">
        <f t="array" aca="1" ref="T28" ca="1">_xlfn.MAXIFS(COL(bench,"wine"), COL(bench,"model"), $R28, COL(bench,"instance"), INDEX($Q:$Q, ROW()-$R28), COL(bench,"time"),"&lt;="&amp;T$1)-SUM($S28:S28)</f>
        <v>0</v>
      </c>
      <c r="U28" cm="1">
        <f t="array" aca="1" ref="U28" ca="1">_xlfn.MAXIFS(COL(bench,"wine"), COL(bench,"model"), $R28, COL(bench,"instance"), INDEX($Q:$Q, ROW()-$R28), COL(bench,"time"),"&lt;="&amp;U$1)-SUM($S28:T28)</f>
        <v>0</v>
      </c>
      <c r="V28" cm="1">
        <f t="array" aca="1" ref="V28" ca="1">_xlfn.MAXIFS(COL(bench,"wine"), COL(bench,"model"), $R28, COL(bench,"instance"), INDEX($Q:$Q, ROW()-$R28), COL(bench,"time"),"&lt;="&amp;V$1)-SUM($S28:U28)</f>
        <v>0</v>
      </c>
      <c r="W28" cm="1">
        <f t="array" aca="1" ref="W28" ca="1">_xlfn.MAXIFS(COL(bench,"wine"), COL(bench,"model"), $R28, COL(bench,"instance"), INDEX($Q:$Q, ROW()-$R28), COL(bench,"time"),"&lt;="&amp;W$1)-SUM($S28:V28)</f>
        <v>0</v>
      </c>
      <c r="X28" cm="1">
        <f t="array" ref="X28" xml:space="preserve"> _xlfn.LET(
  _xlpm.idx, _xlfn.XMATCH(1,
      (COL(summary,"model")=$R28)*(COL(summary,"instance")=INDEX($Q:$Q, ROW()-$R28))),
  IFERROR(INDEX(COL(summary,"objective"), _xlpm.idx), #N/A)
)</f>
        <v>24</v>
      </c>
    </row>
    <row r="29" spans="1:24" x14ac:dyDescent="0.25">
      <c r="A29">
        <f ca="1">IF(_157721372917[[#This Row],[instance]]&lt;OFFSET(_157721372917[[#This Row],[instance]],-1,0), OFFSET(_157721372917[[#This Row],[model]],-1,0)+1, OFFSET(_157721372917[[#This Row],[model]],-1,0))</f>
        <v>1</v>
      </c>
      <c r="B29">
        <v>4</v>
      </c>
      <c r="C29" s="5">
        <v>1.6087962962962964E-5</v>
      </c>
      <c r="D29">
        <v>17</v>
      </c>
      <c r="E29">
        <v>7</v>
      </c>
      <c r="F29">
        <v>3</v>
      </c>
      <c r="G29" s="5">
        <v>3.472222222222222E-6</v>
      </c>
      <c r="H29" s="5">
        <v>6.9452546296296293E-3</v>
      </c>
      <c r="I29" s="5">
        <v>6.9452546296296293E-3</v>
      </c>
      <c r="J29" s="5">
        <v>3.5879629629629629E-6</v>
      </c>
      <c r="L29"/>
      <c r="M29"/>
      <c r="N29"/>
      <c r="O29"/>
      <c r="P29" s="1"/>
    </row>
    <row r="30" spans="1:24" x14ac:dyDescent="0.25">
      <c r="A30">
        <f ca="1">IF(_157721372917[[#This Row],[instance]]&lt;OFFSET(_157721372917[[#This Row],[instance]],-1,0), OFFSET(_157721372917[[#This Row],[model]],-1,0)+1, OFFSET(_157721372917[[#This Row],[model]],-1,0))</f>
        <v>1</v>
      </c>
      <c r="B30">
        <v>4</v>
      </c>
      <c r="C30" s="5">
        <v>1.7592592592592591E-5</v>
      </c>
      <c r="D30">
        <v>17</v>
      </c>
      <c r="E30">
        <v>7</v>
      </c>
      <c r="F30">
        <v>2</v>
      </c>
      <c r="G30" s="5">
        <v>3.472222222222222E-6</v>
      </c>
      <c r="H30" s="5">
        <v>6.9452546296296293E-3</v>
      </c>
      <c r="I30" s="5">
        <v>6.9452546296296293E-3</v>
      </c>
      <c r="J30" s="5">
        <v>3.5879629629629629E-6</v>
      </c>
      <c r="L30"/>
      <c r="M30"/>
      <c r="N30"/>
      <c r="O30"/>
      <c r="P30" s="1"/>
      <c r="Q30">
        <v>5</v>
      </c>
    </row>
    <row r="31" spans="1:24" x14ac:dyDescent="0.25">
      <c r="A31">
        <f ca="1">IF(_157721372917[[#This Row],[instance]]&lt;OFFSET(_157721372917[[#This Row],[instance]],-1,0), OFFSET(_157721372917[[#This Row],[model]],-1,0)+1, OFFSET(_157721372917[[#This Row],[model]],-1,0))</f>
        <v>1</v>
      </c>
      <c r="B31">
        <v>4</v>
      </c>
      <c r="C31" s="5">
        <v>1.7592592592592591E-5</v>
      </c>
      <c r="D31">
        <v>18</v>
      </c>
      <c r="E31">
        <v>8</v>
      </c>
      <c r="F31">
        <v>3</v>
      </c>
      <c r="G31" s="5">
        <v>3.472222222222222E-6</v>
      </c>
      <c r="H31" s="5">
        <v>6.9452546296296293E-3</v>
      </c>
      <c r="I31" s="5">
        <v>6.9452546296296293E-3</v>
      </c>
      <c r="J31" s="5">
        <v>3.5879629629629629E-6</v>
      </c>
      <c r="L31"/>
      <c r="M31"/>
      <c r="N31"/>
      <c r="O31"/>
      <c r="P31" s="1"/>
      <c r="R31" s="2">
        <v>1</v>
      </c>
      <c r="S31" cm="1">
        <f t="array" aca="1" ref="S31" ca="1">_xlfn.MAXIFS(COL(bench,"wine"), COL(bench,"model"), $R31, COL(bench,"instance"), INDEX($Q:$Q, ROW()-$R31), COL(bench,"time"),"&lt;="&amp;S$1)</f>
        <v>10</v>
      </c>
      <c r="T31" cm="1">
        <f t="array" aca="1" ref="T31" ca="1">_xlfn.MAXIFS(COL(bench,"wine"), COL(bench,"model"), $R31, COL(bench,"instance"), INDEX($Q:$Q, ROW()-$R31), COL(bench,"time"),"&lt;="&amp;T$1)-SUM($S31:S31)</f>
        <v>0</v>
      </c>
      <c r="U31" cm="1">
        <f t="array" aca="1" ref="U31" ca="1">_xlfn.MAXIFS(COL(bench,"wine"), COL(bench,"model"), $R31, COL(bench,"instance"), INDEX($Q:$Q, ROW()-$R31), COL(bench,"time"),"&lt;="&amp;U$1)-SUM($S31:T31)</f>
        <v>0.5</v>
      </c>
      <c r="V31" cm="1">
        <f t="array" aca="1" ref="V31" ca="1">_xlfn.MAXIFS(COL(bench,"wine"), COL(bench,"model"), $R31, COL(bench,"instance"), INDEX($Q:$Q, ROW()-$R31), COL(bench,"time"),"&lt;="&amp;V$1)-SUM($S31:U31)</f>
        <v>0.375</v>
      </c>
      <c r="W31" cm="1">
        <f t="array" aca="1" ref="W31" ca="1">_xlfn.MAXIFS(COL(bench,"wine"), COL(bench,"model"), $R31, COL(bench,"instance"), INDEX($Q:$Q, ROW()-$R31), COL(bench,"time"),"&lt;="&amp;W$1)-SUM($S31:V31)</f>
        <v>0</v>
      </c>
      <c r="X31" t="e" cm="1">
        <f t="array" ref="X31" xml:space="preserve"> _xlfn.LET(
  _xlpm.idx, _xlfn.XMATCH(1,
      (COL(summary,"model")=$R31)*(COL(summary,"instance")=INDEX($Q:$Q, ROW()-$R31))),
  IFERROR(INDEX(COL(summary,"objective"), _xlpm.idx), #N/A)
)</f>
        <v>#N/A</v>
      </c>
    </row>
    <row r="32" spans="1:24" x14ac:dyDescent="0.25">
      <c r="A32">
        <f ca="1">IF(_157721372917[[#This Row],[instance]]&lt;OFFSET(_157721372917[[#This Row],[instance]],-1,0), OFFSET(_157721372917[[#This Row],[model]],-1,0)+1, OFFSET(_157721372917[[#This Row],[model]],-1,0))</f>
        <v>1</v>
      </c>
      <c r="B32">
        <v>4</v>
      </c>
      <c r="C32" s="5">
        <v>1.7592592592592591E-5</v>
      </c>
      <c r="D32">
        <v>18</v>
      </c>
      <c r="E32">
        <v>8</v>
      </c>
      <c r="F32">
        <v>2</v>
      </c>
      <c r="G32" s="5">
        <v>3.472222222222222E-6</v>
      </c>
      <c r="H32" s="5">
        <v>6.9452546296296293E-3</v>
      </c>
      <c r="I32" s="5">
        <v>6.9452546296296293E-3</v>
      </c>
      <c r="J32" s="5">
        <v>3.5879629629629629E-6</v>
      </c>
      <c r="L32"/>
      <c r="M32"/>
      <c r="N32"/>
      <c r="O32"/>
      <c r="P32" s="1"/>
      <c r="R32" s="2">
        <v>2</v>
      </c>
      <c r="S32" cm="1">
        <f t="array" aca="1" ref="S32" ca="1">_xlfn.MAXIFS(COL(bench,"wine"), COL(bench,"model"), $R32, COL(bench,"instance"), INDEX($Q:$Q, ROW()-$R32), COL(bench,"time"),"&lt;="&amp;S$1)</f>
        <v>9</v>
      </c>
      <c r="T32" cm="1">
        <f t="array" aca="1" ref="T32" ca="1">_xlfn.MAXIFS(COL(bench,"wine"), COL(bench,"model"), $R32, COL(bench,"instance"), INDEX($Q:$Q, ROW()-$R32), COL(bench,"time"),"&lt;="&amp;T$1)-SUM($S32:S32)</f>
        <v>0</v>
      </c>
      <c r="U32" cm="1">
        <f t="array" aca="1" ref="U32" ca="1">_xlfn.MAXIFS(COL(bench,"wine"), COL(bench,"model"), $R32, COL(bench,"instance"), INDEX($Q:$Q, ROW()-$R32), COL(bench,"time"),"&lt;="&amp;U$1)-SUM($S32:T32)</f>
        <v>0</v>
      </c>
      <c r="V32" cm="1">
        <f t="array" aca="1" ref="V32" ca="1">_xlfn.MAXIFS(COL(bench,"wine"), COL(bench,"model"), $R32, COL(bench,"instance"), INDEX($Q:$Q, ROW()-$R32), COL(bench,"time"),"&lt;="&amp;V$1)-SUM($S32:U32)</f>
        <v>0</v>
      </c>
      <c r="W32" cm="1">
        <f t="array" aca="1" ref="W32" ca="1">_xlfn.MAXIFS(COL(bench,"wine"), COL(bench,"model"), $R32, COL(bench,"instance"), INDEX($Q:$Q, ROW()-$R32), COL(bench,"time"),"&lt;="&amp;W$1)-SUM($S32:V32)</f>
        <v>0</v>
      </c>
      <c r="X32" t="e" cm="1">
        <f t="array" ref="X32" xml:space="preserve"> _xlfn.LET(
  _xlpm.idx, _xlfn.XMATCH(1,
      (COL(summary,"model")=$R32)*(COL(summary,"instance")=INDEX($Q:$Q, ROW()-$R32))),
  IFERROR(INDEX(COL(summary,"objective"), _xlpm.idx), #N/A)
)</f>
        <v>#N/A</v>
      </c>
    </row>
    <row r="33" spans="1:24" x14ac:dyDescent="0.25">
      <c r="A33">
        <f ca="1">IF(_157721372917[[#This Row],[instance]]&lt;OFFSET(_157721372917[[#This Row],[instance]],-1,0), OFFSET(_157721372917[[#This Row],[model]],-1,0)+1, OFFSET(_157721372917[[#This Row],[model]],-1,0))</f>
        <v>1</v>
      </c>
      <c r="B33">
        <v>4</v>
      </c>
      <c r="C33" s="5">
        <v>5.1041666666666663E-5</v>
      </c>
      <c r="D33">
        <v>19</v>
      </c>
      <c r="E33">
        <v>9</v>
      </c>
      <c r="F33">
        <v>3</v>
      </c>
      <c r="G33" s="5">
        <v>3.472222222222222E-6</v>
      </c>
      <c r="H33" s="5">
        <v>6.9452546296296293E-3</v>
      </c>
      <c r="I33" s="5">
        <v>6.9452546296296293E-3</v>
      </c>
      <c r="J33" s="5">
        <v>3.5879629629629629E-6</v>
      </c>
      <c r="L33"/>
      <c r="M33"/>
      <c r="N33"/>
      <c r="O33"/>
      <c r="P33" s="1"/>
      <c r="R33" s="2">
        <v>3</v>
      </c>
      <c r="S33" cm="1">
        <f t="array" aca="1" ref="S33" ca="1">_xlfn.MAXIFS(COL(bench,"wine"), COL(bench,"model"), $R33, COL(bench,"instance"), INDEX($Q:$Q, ROW()-$R33), COL(bench,"time"),"&lt;="&amp;S$1)</f>
        <v>5.875</v>
      </c>
      <c r="T33" cm="1">
        <f t="array" aca="1" ref="T33" ca="1">_xlfn.MAXIFS(COL(bench,"wine"), COL(bench,"model"), $R33, COL(bench,"instance"), INDEX($Q:$Q, ROW()-$R33), COL(bench,"time"),"&lt;="&amp;T$1)-SUM($S33:S33)</f>
        <v>0</v>
      </c>
      <c r="U33" cm="1">
        <f t="array" aca="1" ref="U33" ca="1">_xlfn.MAXIFS(COL(bench,"wine"), COL(bench,"model"), $R33, COL(bench,"instance"), INDEX($Q:$Q, ROW()-$R33), COL(bench,"time"),"&lt;="&amp;U$1)-SUM($S33:T33)</f>
        <v>0</v>
      </c>
      <c r="V33" cm="1">
        <f t="array" aca="1" ref="V33" ca="1">_xlfn.MAXIFS(COL(bench,"wine"), COL(bench,"model"), $R33, COL(bench,"instance"), INDEX($Q:$Q, ROW()-$R33), COL(bench,"time"),"&lt;="&amp;V$1)-SUM($S33:U33)</f>
        <v>0</v>
      </c>
      <c r="W33" cm="1">
        <f t="array" aca="1" ref="W33" ca="1">_xlfn.MAXIFS(COL(bench,"wine"), COL(bench,"model"), $R33, COL(bench,"instance"), INDEX($Q:$Q, ROW()-$R33), COL(bench,"time"),"&lt;="&amp;W$1)-SUM($S33:V33)</f>
        <v>0</v>
      </c>
      <c r="X33" t="e" cm="1">
        <f t="array" ref="X33" xml:space="preserve"> _xlfn.LET(
  _xlpm.idx, _xlfn.XMATCH(1,
      (COL(summary,"model")=$R33)*(COL(summary,"instance")=INDEX($Q:$Q, ROW()-$R33))),
  IFERROR(INDEX(COL(summary,"objective"), _xlpm.idx), #N/A)
)</f>
        <v>#N/A</v>
      </c>
    </row>
    <row r="34" spans="1:24" x14ac:dyDescent="0.25">
      <c r="A34">
        <f ca="1">IF(_157721372917[[#This Row],[instance]]&lt;OFFSET(_157721372917[[#This Row],[instance]],-1,0), OFFSET(_157721372917[[#This Row],[model]],-1,0)+1, OFFSET(_157721372917[[#This Row],[model]],-1,0))</f>
        <v>1</v>
      </c>
      <c r="B34">
        <v>4</v>
      </c>
      <c r="C34" s="5">
        <v>6.5509259259259256E-5</v>
      </c>
      <c r="D34">
        <v>19</v>
      </c>
      <c r="E34">
        <v>9</v>
      </c>
      <c r="F34">
        <v>2</v>
      </c>
      <c r="G34" s="5">
        <v>3.472222222222222E-6</v>
      </c>
      <c r="H34" s="5">
        <v>6.9452546296296293E-3</v>
      </c>
      <c r="I34" s="5">
        <v>6.9452546296296293E-3</v>
      </c>
      <c r="J34" s="5">
        <v>3.5879629629629629E-6</v>
      </c>
      <c r="L34"/>
      <c r="M34"/>
      <c r="N34"/>
      <c r="O34"/>
      <c r="P34" s="1"/>
      <c r="R34" s="2">
        <v>4</v>
      </c>
      <c r="S34" cm="1">
        <f t="array" aca="1" ref="S34" ca="1">_xlfn.MAXIFS(COL(bench,"wine"), COL(bench,"model"), $R34, COL(bench,"instance"), INDEX($Q:$Q, ROW()-$R34), COL(bench,"time"),"&lt;="&amp;S$1)</f>
        <v>1.5</v>
      </c>
      <c r="T34" cm="1">
        <f t="array" aca="1" ref="T34" ca="1">_xlfn.MAXIFS(COL(bench,"wine"), COL(bench,"model"), $R34, COL(bench,"instance"), INDEX($Q:$Q, ROW()-$R34), COL(bench,"time"),"&lt;="&amp;T$1)-SUM($S34:S34)</f>
        <v>0</v>
      </c>
      <c r="U34" cm="1">
        <f t="array" aca="1" ref="U34" ca="1">_xlfn.MAXIFS(COL(bench,"wine"), COL(bench,"model"), $R34, COL(bench,"instance"), INDEX($Q:$Q, ROW()-$R34), COL(bench,"time"),"&lt;="&amp;U$1)-SUM($S34:T34)</f>
        <v>0</v>
      </c>
      <c r="V34" cm="1">
        <f t="array" aca="1" ref="V34" ca="1">_xlfn.MAXIFS(COL(bench,"wine"), COL(bench,"model"), $R34, COL(bench,"instance"), INDEX($Q:$Q, ROW()-$R34), COL(bench,"time"),"&lt;="&amp;V$1)-SUM($S34:U34)</f>
        <v>0</v>
      </c>
      <c r="W34" cm="1">
        <f t="array" aca="1" ref="W34" ca="1">_xlfn.MAXIFS(COL(bench,"wine"), COL(bench,"model"), $R34, COL(bench,"instance"), INDEX($Q:$Q, ROW()-$R34), COL(bench,"time"),"&lt;="&amp;W$1)-SUM($S34:V34)</f>
        <v>0</v>
      </c>
      <c r="X34" t="e" cm="1">
        <f t="array" ref="X34" xml:space="preserve"> _xlfn.LET(
  _xlpm.idx, _xlfn.XMATCH(1,
      (COL(summary,"model")=$R34)*(COL(summary,"instance")=INDEX($Q:$Q, ROW()-$R34))),
  IFERROR(INDEX(COL(summary,"objective"), _xlpm.idx), #N/A)
)</f>
        <v>#N/A</v>
      </c>
    </row>
    <row r="35" spans="1:24" x14ac:dyDescent="0.25">
      <c r="A35">
        <f ca="1">IF(_157721372917[[#This Row],[instance]]&lt;OFFSET(_157721372917[[#This Row],[instance]],-1,0), OFFSET(_157721372917[[#This Row],[model]],-1,0)+1, OFFSET(_157721372917[[#This Row],[model]],-1,0))</f>
        <v>1</v>
      </c>
      <c r="B35">
        <v>4</v>
      </c>
      <c r="C35" s="5">
        <v>5.2847222222222217E-4</v>
      </c>
      <c r="D35">
        <v>20</v>
      </c>
      <c r="E35">
        <v>10</v>
      </c>
      <c r="F35">
        <v>4</v>
      </c>
      <c r="G35" s="5">
        <v>3.472222222222222E-6</v>
      </c>
      <c r="H35" s="5">
        <v>6.9452546296296293E-3</v>
      </c>
      <c r="I35" s="5">
        <v>6.9452546296296293E-3</v>
      </c>
      <c r="J35" s="5">
        <v>3.5879629629629629E-6</v>
      </c>
      <c r="L35"/>
      <c r="M35"/>
      <c r="N35"/>
      <c r="O35"/>
      <c r="P35" s="1"/>
      <c r="R35" s="2">
        <v>5</v>
      </c>
      <c r="S35" cm="1">
        <f t="array" aca="1" ref="S35" ca="1">_xlfn.MAXIFS(COL(bench,"wine"), COL(bench,"model"), $R35, COL(bench,"instance"), INDEX($Q:$Q, ROW()-$R35), COL(bench,"time"),"&lt;="&amp;S$1)</f>
        <v>16.375</v>
      </c>
      <c r="T35" cm="1">
        <f t="array" aca="1" ref="T35" ca="1">_xlfn.MAXIFS(COL(bench,"wine"), COL(bench,"model"), $R35, COL(bench,"instance"), INDEX($Q:$Q, ROW()-$R35), COL(bench,"time"),"&lt;="&amp;T$1)-SUM($S35:S35)</f>
        <v>0</v>
      </c>
      <c r="U35" cm="1">
        <f t="array" aca="1" ref="U35" ca="1">_xlfn.MAXIFS(COL(bench,"wine"), COL(bench,"model"), $R35, COL(bench,"instance"), INDEX($Q:$Q, ROW()-$R35), COL(bench,"time"),"&lt;="&amp;U$1)-SUM($S35:T35)</f>
        <v>0</v>
      </c>
      <c r="V35" cm="1">
        <f t="array" aca="1" ref="V35" ca="1">_xlfn.MAXIFS(COL(bench,"wine"), COL(bench,"model"), $R35, COL(bench,"instance"), INDEX($Q:$Q, ROW()-$R35), COL(bench,"time"),"&lt;="&amp;V$1)-SUM($S35:U35)</f>
        <v>0</v>
      </c>
      <c r="W35" cm="1">
        <f t="array" aca="1" ref="W35" ca="1">_xlfn.MAXIFS(COL(bench,"wine"), COL(bench,"model"), $R35, COL(bench,"instance"), INDEX($Q:$Q, ROW()-$R35), COL(bench,"time"),"&lt;="&amp;W$1)-SUM($S35:V35)</f>
        <v>0</v>
      </c>
      <c r="X35" t="e" cm="1">
        <f t="array" ref="X35" xml:space="preserve"> _xlfn.LET(
  _xlpm.idx, _xlfn.XMATCH(1,
      (COL(summary,"model")=$R35)*(COL(summary,"instance")=INDEX($Q:$Q, ROW()-$R35))),
  IFERROR(INDEX(COL(summary,"objective"), _xlpm.idx), #N/A)
)</f>
        <v>#N/A</v>
      </c>
    </row>
    <row r="36" spans="1:24" x14ac:dyDescent="0.25">
      <c r="A36">
        <f ca="1">IF(_157721372917[[#This Row],[instance]]&lt;OFFSET(_157721372917[[#This Row],[instance]],-1,0), OFFSET(_157721372917[[#This Row],[model]],-1,0)+1, OFFSET(_157721372917[[#This Row],[model]],-1,0))</f>
        <v>1</v>
      </c>
      <c r="B36">
        <v>4</v>
      </c>
      <c r="C36" s="5">
        <v>1.0023148148148148E-3</v>
      </c>
      <c r="D36">
        <v>20</v>
      </c>
      <c r="E36">
        <v>10</v>
      </c>
      <c r="F36">
        <v>3</v>
      </c>
      <c r="G36" s="5">
        <v>3.472222222222222E-6</v>
      </c>
      <c r="H36" s="5">
        <v>6.9452546296296293E-3</v>
      </c>
      <c r="I36" s="5">
        <v>6.9452546296296293E-3</v>
      </c>
      <c r="J36" s="5">
        <v>3.5879629629629629E-6</v>
      </c>
      <c r="L36"/>
      <c r="M36"/>
      <c r="N36"/>
      <c r="O36"/>
      <c r="P36" s="1"/>
    </row>
    <row r="37" spans="1:24" x14ac:dyDescent="0.25">
      <c r="A37">
        <f ca="1">IF(_157721372917[[#This Row],[instance]]&lt;OFFSET(_157721372917[[#This Row],[instance]],-1,0), OFFSET(_157721372917[[#This Row],[model]],-1,0)+1, OFFSET(_157721372917[[#This Row],[model]],-1,0))</f>
        <v>1</v>
      </c>
      <c r="B37">
        <v>4</v>
      </c>
      <c r="C37" s="5">
        <v>1.250462962962963E-3</v>
      </c>
      <c r="D37">
        <v>20</v>
      </c>
      <c r="E37">
        <v>10</v>
      </c>
      <c r="F37">
        <v>2</v>
      </c>
      <c r="G37" s="5">
        <v>3.472222222222222E-6</v>
      </c>
      <c r="H37" s="5">
        <v>6.9452546296296293E-3</v>
      </c>
      <c r="I37" s="5">
        <v>6.9452546296296293E-3</v>
      </c>
      <c r="J37" s="5">
        <v>3.5879629629629629E-6</v>
      </c>
      <c r="L37"/>
      <c r="M37"/>
      <c r="N37"/>
      <c r="O37"/>
      <c r="P37" s="1"/>
      <c r="Q37">
        <v>6</v>
      </c>
    </row>
    <row r="38" spans="1:24" x14ac:dyDescent="0.25">
      <c r="A38">
        <f ca="1">IF(_157721372917[[#This Row],[instance]]&lt;OFFSET(_157721372917[[#This Row],[instance]],-1,0), OFFSET(_157721372917[[#This Row],[model]],-1,0)+1, OFFSET(_157721372917[[#This Row],[model]],-1,0))</f>
        <v>1</v>
      </c>
      <c r="B38">
        <v>4</v>
      </c>
      <c r="C38" s="5">
        <v>2.3839120370370368E-3</v>
      </c>
      <c r="D38">
        <v>20.5</v>
      </c>
      <c r="E38">
        <v>11</v>
      </c>
      <c r="F38">
        <v>4</v>
      </c>
      <c r="G38" s="5">
        <v>3.472222222222222E-6</v>
      </c>
      <c r="H38" s="5">
        <v>6.9452546296296293E-3</v>
      </c>
      <c r="I38" s="5">
        <v>6.9452546296296293E-3</v>
      </c>
      <c r="J38" s="5">
        <v>3.5879629629629629E-6</v>
      </c>
      <c r="L38"/>
      <c r="M38"/>
      <c r="N38"/>
      <c r="O38"/>
      <c r="P38" s="1"/>
      <c r="R38" s="2">
        <v>1</v>
      </c>
      <c r="S38" cm="1">
        <f t="array" aca="1" ref="S38" ca="1">_xlfn.MAXIFS(COL(bench,"wine"), COL(bench,"model"), $R38, COL(bench,"instance"), INDEX($Q:$Q, ROW()-$R38), COL(bench,"time"),"&lt;="&amp;S$1)</f>
        <v>12.5</v>
      </c>
      <c r="T38" cm="1">
        <f t="array" aca="1" ref="T38" ca="1">_xlfn.MAXIFS(COL(bench,"wine"), COL(bench,"model"), $R38, COL(bench,"instance"), INDEX($Q:$Q, ROW()-$R38), COL(bench,"time"),"&lt;="&amp;T$1)-SUM($S38:S38)</f>
        <v>0</v>
      </c>
      <c r="U38" cm="1">
        <f t="array" aca="1" ref="U38" ca="1">_xlfn.MAXIFS(COL(bench,"wine"), COL(bench,"model"), $R38, COL(bench,"instance"), INDEX($Q:$Q, ROW()-$R38), COL(bench,"time"),"&lt;="&amp;U$1)-SUM($S38:T38)</f>
        <v>0</v>
      </c>
      <c r="V38" cm="1">
        <f t="array" aca="1" ref="V38" ca="1">_xlfn.MAXIFS(COL(bench,"wine"), COL(bench,"model"), $R38, COL(bench,"instance"), INDEX($Q:$Q, ROW()-$R38), COL(bench,"time"),"&lt;="&amp;V$1)-SUM($S38:U38)</f>
        <v>0</v>
      </c>
      <c r="W38" cm="1">
        <f t="array" aca="1" ref="W38" ca="1">_xlfn.MAXIFS(COL(bench,"wine"), COL(bench,"model"), $R38, COL(bench,"instance"), INDEX($Q:$Q, ROW()-$R38), COL(bench,"time"),"&lt;="&amp;W$1)-SUM($S38:V38)</f>
        <v>0</v>
      </c>
      <c r="X38" t="e" cm="1">
        <f t="array" ref="X38" xml:space="preserve"> _xlfn.LET(
  _xlpm.idx, _xlfn.XMATCH(1,
      (COL(summary,"model")=$R38)*(COL(summary,"instance")=INDEX($Q:$Q, ROW()-$R38))),
  IFERROR(INDEX(COL(summary,"objective"), _xlpm.idx), #N/A)
)</f>
        <v>#N/A</v>
      </c>
    </row>
    <row r="39" spans="1:24" x14ac:dyDescent="0.25">
      <c r="A39">
        <f ca="1">IF(_157721372917[[#This Row],[instance]]&lt;OFFSET(_157721372917[[#This Row],[instance]],-1,0), OFFSET(_157721372917[[#This Row],[model]],-1,0)+1, OFFSET(_157721372917[[#This Row],[model]],-1,0))</f>
        <v>1</v>
      </c>
      <c r="B39">
        <v>4</v>
      </c>
      <c r="C39" s="5">
        <v>2.452083333333333E-3</v>
      </c>
      <c r="D39">
        <v>20.75</v>
      </c>
      <c r="E39">
        <v>11</v>
      </c>
      <c r="F39">
        <v>4</v>
      </c>
      <c r="G39" s="5">
        <v>3.472222222222222E-6</v>
      </c>
      <c r="H39" s="5">
        <v>6.9452546296296293E-3</v>
      </c>
      <c r="I39" s="5">
        <v>6.9452546296296293E-3</v>
      </c>
      <c r="J39" s="5">
        <v>3.5879629629629629E-6</v>
      </c>
      <c r="L39"/>
      <c r="M39"/>
      <c r="N39"/>
      <c r="O39"/>
      <c r="P39" s="1"/>
      <c r="R39" s="2">
        <v>2</v>
      </c>
      <c r="S39" cm="1">
        <f t="array" aca="1" ref="S39" ca="1">_xlfn.MAXIFS(COL(bench,"wine"), COL(bench,"model"), $R39, COL(bench,"instance"), INDEX($Q:$Q, ROW()-$R39), COL(bench,"time"),"&lt;="&amp;S$1)</f>
        <v>6</v>
      </c>
      <c r="T39" cm="1">
        <f t="array" aca="1" ref="T39" ca="1">_xlfn.MAXIFS(COL(bench,"wine"), COL(bench,"model"), $R39, COL(bench,"instance"), INDEX($Q:$Q, ROW()-$R39), COL(bench,"time"),"&lt;="&amp;T$1)-SUM($S39:S39)</f>
        <v>0</v>
      </c>
      <c r="U39" cm="1">
        <f t="array" aca="1" ref="U39" ca="1">_xlfn.MAXIFS(COL(bench,"wine"), COL(bench,"model"), $R39, COL(bench,"instance"), INDEX($Q:$Q, ROW()-$R39), COL(bench,"time"),"&lt;="&amp;U$1)-SUM($S39:T39)</f>
        <v>0</v>
      </c>
      <c r="V39" cm="1">
        <f t="array" aca="1" ref="V39" ca="1">_xlfn.MAXIFS(COL(bench,"wine"), COL(bench,"model"), $R39, COL(bench,"instance"), INDEX($Q:$Q, ROW()-$R39), COL(bench,"time"),"&lt;="&amp;V$1)-SUM($S39:U39)</f>
        <v>0</v>
      </c>
      <c r="W39" cm="1">
        <f t="array" aca="1" ref="W39" ca="1">_xlfn.MAXIFS(COL(bench,"wine"), COL(bench,"model"), $R39, COL(bench,"instance"), INDEX($Q:$Q, ROW()-$R39), COL(bench,"time"),"&lt;="&amp;W$1)-SUM($S39:V39)</f>
        <v>0</v>
      </c>
      <c r="X39" t="e" cm="1">
        <f t="array" ref="X39" xml:space="preserve"> _xlfn.LET(
  _xlpm.idx, _xlfn.XMATCH(1,
      (COL(summary,"model")=$R39)*(COL(summary,"instance")=INDEX($Q:$Q, ROW()-$R39))),
  IFERROR(INDEX(COL(summary,"objective"), _xlpm.idx), #N/A)
)</f>
        <v>#N/A</v>
      </c>
    </row>
    <row r="40" spans="1:24" x14ac:dyDescent="0.25">
      <c r="A40">
        <f ca="1">IF(_157721372917[[#This Row],[instance]]&lt;OFFSET(_157721372917[[#This Row],[instance]],-1,0), OFFSET(_157721372917[[#This Row],[model]],-1,0)+1, OFFSET(_157721372917[[#This Row],[model]],-1,0))</f>
        <v>1</v>
      </c>
      <c r="B40">
        <v>4</v>
      </c>
      <c r="C40" s="5">
        <v>2.452083333333333E-3</v>
      </c>
      <c r="D40">
        <v>20.75</v>
      </c>
      <c r="E40">
        <v>11</v>
      </c>
      <c r="F40">
        <v>3</v>
      </c>
      <c r="G40" s="5">
        <v>3.472222222222222E-6</v>
      </c>
      <c r="H40" s="5">
        <v>6.9452546296296293E-3</v>
      </c>
      <c r="I40" s="5">
        <v>6.9452546296296293E-3</v>
      </c>
      <c r="J40" s="5">
        <v>3.5879629629629629E-6</v>
      </c>
      <c r="L40"/>
      <c r="M40"/>
      <c r="N40"/>
      <c r="O40"/>
      <c r="P40" s="1"/>
      <c r="R40" s="2">
        <v>3</v>
      </c>
      <c r="S40" cm="1">
        <f t="array" aca="1" ref="S40" ca="1">_xlfn.MAXIFS(COL(bench,"wine"), COL(bench,"model"), $R40, COL(bench,"instance"), INDEX($Q:$Q, ROW()-$R40), COL(bench,"time"),"&lt;="&amp;S$1)</f>
        <v>3</v>
      </c>
      <c r="T40" cm="1">
        <f t="array" aca="1" ref="T40" ca="1">_xlfn.MAXIFS(COL(bench,"wine"), COL(bench,"model"), $R40, COL(bench,"instance"), INDEX($Q:$Q, ROW()-$R40), COL(bench,"time"),"&lt;="&amp;T$1)-SUM($S40:S40)</f>
        <v>0</v>
      </c>
      <c r="U40" cm="1">
        <f t="array" aca="1" ref="U40" ca="1">_xlfn.MAXIFS(COL(bench,"wine"), COL(bench,"model"), $R40, COL(bench,"instance"), INDEX($Q:$Q, ROW()-$R40), COL(bench,"time"),"&lt;="&amp;U$1)-SUM($S40:T40)</f>
        <v>0</v>
      </c>
      <c r="V40" cm="1">
        <f t="array" aca="1" ref="V40" ca="1">_xlfn.MAXIFS(COL(bench,"wine"), COL(bench,"model"), $R40, COL(bench,"instance"), INDEX($Q:$Q, ROW()-$R40), COL(bench,"time"),"&lt;="&amp;V$1)-SUM($S40:U40)</f>
        <v>0</v>
      </c>
      <c r="W40" cm="1">
        <f t="array" aca="1" ref="W40" ca="1">_xlfn.MAXIFS(COL(bench,"wine"), COL(bench,"model"), $R40, COL(bench,"instance"), INDEX($Q:$Q, ROW()-$R40), COL(bench,"time"),"&lt;="&amp;W$1)-SUM($S40:V40)</f>
        <v>0</v>
      </c>
      <c r="X40" t="e" cm="1">
        <f t="array" ref="X40" xml:space="preserve"> _xlfn.LET(
  _xlpm.idx, _xlfn.XMATCH(1,
      (COL(summary,"model")=$R40)*(COL(summary,"instance")=INDEX($Q:$Q, ROW()-$R40))),
  IFERROR(INDEX(COL(summary,"objective"), _xlpm.idx), #N/A)
)</f>
        <v>#N/A</v>
      </c>
    </row>
    <row r="41" spans="1:24" x14ac:dyDescent="0.25">
      <c r="A41">
        <f ca="1">IF(_157721372917[[#This Row],[instance]]&lt;OFFSET(_157721372917[[#This Row],[instance]],-1,0), OFFSET(_157721372917[[#This Row],[model]],-1,0)+1, OFFSET(_157721372917[[#This Row],[model]],-1,0))</f>
        <v>1</v>
      </c>
      <c r="B41">
        <v>4</v>
      </c>
      <c r="C41" s="5">
        <v>5.6087962962962958E-3</v>
      </c>
      <c r="D41">
        <v>21.5</v>
      </c>
      <c r="E41">
        <v>12</v>
      </c>
      <c r="F41">
        <v>5</v>
      </c>
      <c r="G41" s="5">
        <v>3.472222222222222E-6</v>
      </c>
      <c r="H41" s="5">
        <v>6.9452546296296293E-3</v>
      </c>
      <c r="I41" s="5">
        <v>6.9452546296296293E-3</v>
      </c>
      <c r="J41" s="5">
        <v>3.5879629629629629E-6</v>
      </c>
      <c r="L41"/>
      <c r="M41"/>
      <c r="N41"/>
      <c r="O41"/>
      <c r="P41" s="1"/>
      <c r="R41" s="2">
        <v>4</v>
      </c>
      <c r="S41" cm="1">
        <f t="array" aca="1" ref="S41" ca="1">_xlfn.MAXIFS(COL(bench,"wine"), COL(bench,"model"), $R41, COL(bench,"instance"), INDEX($Q:$Q, ROW()-$R41), COL(bench,"time"),"&lt;="&amp;S$1)</f>
        <v>0</v>
      </c>
      <c r="T41" cm="1">
        <f t="array" aca="1" ref="T41" ca="1">_xlfn.MAXIFS(COL(bench,"wine"), COL(bench,"model"), $R41, COL(bench,"instance"), INDEX($Q:$Q, ROW()-$R41), COL(bench,"time"),"&lt;="&amp;T$1)-SUM($S41:S41)</f>
        <v>0</v>
      </c>
      <c r="U41" cm="1">
        <f t="array" aca="1" ref="U41" ca="1">_xlfn.MAXIFS(COL(bench,"wine"), COL(bench,"model"), $R41, COL(bench,"instance"), INDEX($Q:$Q, ROW()-$R41), COL(bench,"time"),"&lt;="&amp;U$1)-SUM($S41:T41)</f>
        <v>0</v>
      </c>
      <c r="V41" cm="1">
        <f t="array" aca="1" ref="V41" ca="1">_xlfn.MAXIFS(COL(bench,"wine"), COL(bench,"model"), $R41, COL(bench,"instance"), INDEX($Q:$Q, ROW()-$R41), COL(bench,"time"),"&lt;="&amp;V$1)-SUM($S41:U41)</f>
        <v>0</v>
      </c>
      <c r="W41" cm="1">
        <f t="array" aca="1" ref="W41" ca="1">_xlfn.MAXIFS(COL(bench,"wine"), COL(bench,"model"), $R41, COL(bench,"instance"), INDEX($Q:$Q, ROW()-$R41), COL(bench,"time"),"&lt;="&amp;W$1)-SUM($S41:V41)</f>
        <v>0</v>
      </c>
      <c r="X41" t="e" cm="1">
        <f t="array" ref="X41" xml:space="preserve"> _xlfn.LET(
  _xlpm.idx, _xlfn.XMATCH(1,
      (COL(summary,"model")=$R41)*(COL(summary,"instance")=INDEX($Q:$Q, ROW()-$R41))),
  IFERROR(INDEX(COL(summary,"objective"), _xlpm.idx), #N/A)
)</f>
        <v>#N/A</v>
      </c>
    </row>
    <row r="42" spans="1:24" x14ac:dyDescent="0.25">
      <c r="A42">
        <f ca="1">IF(_157721372917[[#This Row],[instance]]&lt;OFFSET(_157721372917[[#This Row],[instance]],-1,0), OFFSET(_157721372917[[#This Row],[model]],-1,0)+1, OFFSET(_157721372917[[#This Row],[model]],-1,0))</f>
        <v>1</v>
      </c>
      <c r="B42">
        <v>4</v>
      </c>
      <c r="C42" s="5">
        <v>5.6087962962962958E-3</v>
      </c>
      <c r="D42">
        <v>21.75</v>
      </c>
      <c r="E42">
        <v>12</v>
      </c>
      <c r="F42">
        <v>4</v>
      </c>
      <c r="G42" s="5">
        <v>3.472222222222222E-6</v>
      </c>
      <c r="H42" s="5">
        <v>6.9452546296296293E-3</v>
      </c>
      <c r="I42" s="5">
        <v>6.9452546296296293E-3</v>
      </c>
      <c r="J42" s="5">
        <v>3.5879629629629629E-6</v>
      </c>
      <c r="L42"/>
      <c r="M42"/>
      <c r="N42"/>
      <c r="O42"/>
      <c r="P42" s="1"/>
      <c r="R42" s="2">
        <v>5</v>
      </c>
      <c r="S42" cm="1">
        <f t="array" aca="1" ref="S42" ca="1">_xlfn.MAXIFS(COL(bench,"wine"), COL(bench,"model"), $R42, COL(bench,"instance"), INDEX($Q:$Q, ROW()-$R42), COL(bench,"time"),"&lt;="&amp;S$1)</f>
        <v>16.25</v>
      </c>
      <c r="T42" cm="1">
        <f t="array" aca="1" ref="T42" ca="1">_xlfn.MAXIFS(COL(bench,"wine"), COL(bench,"model"), $R42, COL(bench,"instance"), INDEX($Q:$Q, ROW()-$R42), COL(bench,"time"),"&lt;="&amp;T$1)-SUM($S42:S42)</f>
        <v>0</v>
      </c>
      <c r="U42" cm="1">
        <f t="array" aca="1" ref="U42" ca="1">_xlfn.MAXIFS(COL(bench,"wine"), COL(bench,"model"), $R42, COL(bench,"instance"), INDEX($Q:$Q, ROW()-$R42), COL(bench,"time"),"&lt;="&amp;U$1)-SUM($S42:T42)</f>
        <v>0</v>
      </c>
      <c r="V42" cm="1">
        <f t="array" aca="1" ref="V42" ca="1">_xlfn.MAXIFS(COL(bench,"wine"), COL(bench,"model"), $R42, COL(bench,"instance"), INDEX($Q:$Q, ROW()-$R42), COL(bench,"time"),"&lt;="&amp;V$1)-SUM($S42:U42)</f>
        <v>0</v>
      </c>
      <c r="W42" cm="1">
        <f t="array" aca="1" ref="W42" ca="1">_xlfn.MAXIFS(COL(bench,"wine"), COL(bench,"model"), $R42, COL(bench,"instance"), INDEX($Q:$Q, ROW()-$R42), COL(bench,"time"),"&lt;="&amp;W$1)-SUM($S42:V42)</f>
        <v>0</v>
      </c>
      <c r="X42" t="e" cm="1">
        <f t="array" ref="X42" xml:space="preserve"> _xlfn.LET(
  _xlpm.idx, _xlfn.XMATCH(1,
      (COL(summary,"model")=$R42)*(COL(summary,"instance")=INDEX($Q:$Q, ROW()-$R42))),
  IFERROR(INDEX(COL(summary,"objective"), _xlpm.idx), #N/A)
)</f>
        <v>#N/A</v>
      </c>
    </row>
    <row r="43" spans="1:24" x14ac:dyDescent="0.25">
      <c r="A43">
        <f ca="1">IF(_157721372917[[#This Row],[instance]]&lt;OFFSET(_157721372917[[#This Row],[instance]],-1,0), OFFSET(_157721372917[[#This Row],[model]],-1,0)+1, OFFSET(_157721372917[[#This Row],[model]],-1,0))</f>
        <v>1</v>
      </c>
      <c r="B43">
        <v>4</v>
      </c>
      <c r="C43" s="5">
        <v>5.6087962962962958E-3</v>
      </c>
      <c r="D43">
        <v>21.75</v>
      </c>
      <c r="E43">
        <v>12</v>
      </c>
      <c r="F43">
        <v>3</v>
      </c>
      <c r="G43" s="5">
        <v>3.472222222222222E-6</v>
      </c>
      <c r="H43" s="5">
        <v>6.9452546296296293E-3</v>
      </c>
      <c r="I43" s="5">
        <v>6.9452546296296293E-3</v>
      </c>
      <c r="J43" s="5">
        <v>3.5879629629629629E-6</v>
      </c>
      <c r="L43"/>
      <c r="M43"/>
      <c r="N43"/>
      <c r="O43"/>
      <c r="P43" s="1"/>
    </row>
    <row r="44" spans="1:24" x14ac:dyDescent="0.25">
      <c r="A44">
        <f ca="1">IF(_157721372917[[#This Row],[instance]]&lt;OFFSET(_157721372917[[#This Row],[instance]],-1,0), OFFSET(_157721372917[[#This Row],[model]],-1,0)+1, OFFSET(_157721372917[[#This Row],[model]],-1,0))</f>
        <v>1</v>
      </c>
      <c r="B44">
        <v>4</v>
      </c>
      <c r="C44" s="5">
        <v>5.9184027777777776E-3</v>
      </c>
      <c r="D44">
        <v>22.5</v>
      </c>
      <c r="E44">
        <v>13</v>
      </c>
      <c r="F44">
        <v>3</v>
      </c>
      <c r="G44" s="5">
        <v>3.472222222222222E-6</v>
      </c>
      <c r="H44" s="5">
        <v>6.9452546296296293E-3</v>
      </c>
      <c r="I44" s="5">
        <v>6.9452546296296293E-3</v>
      </c>
      <c r="J44" s="5">
        <v>3.5879629629629629E-6</v>
      </c>
      <c r="L44"/>
      <c r="M44"/>
      <c r="N44"/>
      <c r="O44"/>
      <c r="P44" s="1"/>
      <c r="Q44">
        <v>7</v>
      </c>
    </row>
    <row r="45" spans="1:24" x14ac:dyDescent="0.25">
      <c r="A45">
        <f ca="1">IF(_157721372917[[#This Row],[instance]]&lt;OFFSET(_157721372917[[#This Row],[instance]],-1,0), OFFSET(_157721372917[[#This Row],[model]],-1,0)+1, OFFSET(_157721372917[[#This Row],[model]],-1,0))</f>
        <v>1</v>
      </c>
      <c r="B45">
        <v>5</v>
      </c>
      <c r="C45" s="5">
        <v>8.217592592592592E-6</v>
      </c>
      <c r="D45">
        <v>0</v>
      </c>
      <c r="E45">
        <v>0</v>
      </c>
      <c r="F45">
        <v>0</v>
      </c>
      <c r="G45" s="5">
        <v>3.472222222222222E-6</v>
      </c>
      <c r="H45" s="5">
        <v>6.9452546296296293E-3</v>
      </c>
      <c r="I45" s="5">
        <v>6.9452546296296293E-3</v>
      </c>
      <c r="J45" s="5">
        <v>3.5879629629629629E-6</v>
      </c>
      <c r="L45"/>
      <c r="M45"/>
      <c r="N45"/>
      <c r="O45"/>
      <c r="P45" s="1"/>
      <c r="R45" s="2">
        <v>1</v>
      </c>
      <c r="S45" cm="1">
        <f t="array" aca="1" ref="S45" ca="1">_xlfn.MAXIFS(COL(bench,"wine"), COL(bench,"model"), $R45, COL(bench,"instance"), INDEX($Q:$Q, ROW()-$R45), COL(bench,"time"),"&lt;="&amp;S$1)</f>
        <v>13.5</v>
      </c>
      <c r="T45" cm="1">
        <f t="array" aca="1" ref="T45" ca="1">_xlfn.MAXIFS(COL(bench,"wine"), COL(bench,"model"), $R45, COL(bench,"instance"), INDEX($Q:$Q, ROW()-$R45), COL(bench,"time"),"&lt;="&amp;T$1)-SUM($S45:S45)</f>
        <v>0</v>
      </c>
      <c r="U45" cm="1">
        <f t="array" aca="1" ref="U45" ca="1">_xlfn.MAXIFS(COL(bench,"wine"), COL(bench,"model"), $R45, COL(bench,"instance"), INDEX($Q:$Q, ROW()-$R45), COL(bench,"time"),"&lt;="&amp;U$1)-SUM($S45:T45)</f>
        <v>1.5</v>
      </c>
      <c r="V45" cm="1">
        <f t="array" aca="1" ref="V45" ca="1">_xlfn.MAXIFS(COL(bench,"wine"), COL(bench,"model"), $R45, COL(bench,"instance"), INDEX($Q:$Q, ROW()-$R45), COL(bench,"time"),"&lt;="&amp;V$1)-SUM($S45:U45)</f>
        <v>1.5</v>
      </c>
      <c r="W45" cm="1">
        <f t="array" aca="1" ref="W45" ca="1">_xlfn.MAXIFS(COL(bench,"wine"), COL(bench,"model"), $R45, COL(bench,"instance"), INDEX($Q:$Q, ROW()-$R45), COL(bench,"time"),"&lt;="&amp;W$1)-SUM($S45:V45)</f>
        <v>0</v>
      </c>
      <c r="X45" t="e" cm="1">
        <f t="array" ref="X45" xml:space="preserve"> _xlfn.LET(
  _xlpm.idx, _xlfn.XMATCH(1,
      (COL(summary,"model")=$R45)*(COL(summary,"instance")=INDEX($Q:$Q, ROW()-$R45))),
  IFERROR(INDEX(COL(summary,"objective"), _xlpm.idx), #N/A)
)</f>
        <v>#N/A</v>
      </c>
    </row>
    <row r="46" spans="1:24" x14ac:dyDescent="0.25">
      <c r="A46">
        <f ca="1">IF(_157721372917[[#This Row],[instance]]&lt;OFFSET(_157721372917[[#This Row],[instance]],-1,0), OFFSET(_157721372917[[#This Row],[model]],-1,0)+1, OFFSET(_157721372917[[#This Row],[model]],-1,0))</f>
        <v>1</v>
      </c>
      <c r="B46">
        <v>5</v>
      </c>
      <c r="C46" s="5">
        <v>8.3333333333333337E-6</v>
      </c>
      <c r="D46">
        <v>7.5</v>
      </c>
      <c r="E46">
        <v>5</v>
      </c>
      <c r="F46">
        <v>1</v>
      </c>
      <c r="G46" s="5">
        <v>3.472222222222222E-6</v>
      </c>
      <c r="H46" s="5">
        <v>6.9452546296296293E-3</v>
      </c>
      <c r="I46" s="5">
        <v>6.9452546296296293E-3</v>
      </c>
      <c r="J46" s="5">
        <v>3.5879629629629629E-6</v>
      </c>
      <c r="L46"/>
      <c r="M46"/>
      <c r="N46"/>
      <c r="O46"/>
      <c r="P46" s="1"/>
      <c r="R46" s="2">
        <v>2</v>
      </c>
      <c r="S46" cm="1">
        <f t="array" aca="1" ref="S46" ca="1">_xlfn.MAXIFS(COL(bench,"wine"), COL(bench,"model"), $R46, COL(bench,"instance"), INDEX($Q:$Q, ROW()-$R46), COL(bench,"time"),"&lt;="&amp;S$1)</f>
        <v>12</v>
      </c>
      <c r="T46" cm="1">
        <f t="array" aca="1" ref="T46" ca="1">_xlfn.MAXIFS(COL(bench,"wine"), COL(bench,"model"), $R46, COL(bench,"instance"), INDEX($Q:$Q, ROW()-$R46), COL(bench,"time"),"&lt;="&amp;T$1)-SUM($S46:S46)</f>
        <v>3</v>
      </c>
      <c r="U46" cm="1">
        <f t="array" aca="1" ref="U46" ca="1">_xlfn.MAXIFS(COL(bench,"wine"), COL(bench,"model"), $R46, COL(bench,"instance"), INDEX($Q:$Q, ROW()-$R46), COL(bench,"time"),"&lt;="&amp;U$1)-SUM($S46:T46)</f>
        <v>1.5</v>
      </c>
      <c r="V46" cm="1">
        <f t="array" aca="1" ref="V46" ca="1">_xlfn.MAXIFS(COL(bench,"wine"), COL(bench,"model"), $R46, COL(bench,"instance"), INDEX($Q:$Q, ROW()-$R46), COL(bench,"time"),"&lt;="&amp;V$1)-SUM($S46:U46)</f>
        <v>1.5</v>
      </c>
      <c r="W46" cm="1">
        <f t="array" aca="1" ref="W46" ca="1">_xlfn.MAXIFS(COL(bench,"wine"), COL(bench,"model"), $R46, COL(bench,"instance"), INDEX($Q:$Q, ROW()-$R46), COL(bench,"time"),"&lt;="&amp;W$1)-SUM($S46:V46)</f>
        <v>0</v>
      </c>
      <c r="X46" t="e" cm="1">
        <f t="array" ref="X46" xml:space="preserve"> _xlfn.LET(
  _xlpm.idx, _xlfn.XMATCH(1,
      (COL(summary,"model")=$R46)*(COL(summary,"instance")=INDEX($Q:$Q, ROW()-$R46))),
  IFERROR(INDEX(COL(summary,"objective"), _xlpm.idx), #N/A)
)</f>
        <v>#N/A</v>
      </c>
    </row>
    <row r="47" spans="1:24" x14ac:dyDescent="0.25">
      <c r="A47">
        <f ca="1">IF(_157721372917[[#This Row],[instance]]&lt;OFFSET(_157721372917[[#This Row],[instance]],-1,0), OFFSET(_157721372917[[#This Row],[model]],-1,0)+1, OFFSET(_157721372917[[#This Row],[model]],-1,0))</f>
        <v>1</v>
      </c>
      <c r="B47">
        <v>5</v>
      </c>
      <c r="C47" s="5">
        <v>8.4490740740740738E-6</v>
      </c>
      <c r="D47">
        <v>8.5</v>
      </c>
      <c r="E47">
        <v>6</v>
      </c>
      <c r="F47">
        <v>1</v>
      </c>
      <c r="G47" s="5">
        <v>3.472222222222222E-6</v>
      </c>
      <c r="H47" s="5">
        <v>6.9452546296296293E-3</v>
      </c>
      <c r="I47" s="5">
        <v>6.9452546296296293E-3</v>
      </c>
      <c r="J47" s="5">
        <v>3.5879629629629629E-6</v>
      </c>
      <c r="L47"/>
      <c r="M47"/>
      <c r="N47"/>
      <c r="O47"/>
      <c r="P47" s="1"/>
      <c r="R47" s="2">
        <v>3</v>
      </c>
      <c r="S47" cm="1">
        <f t="array" aca="1" ref="S47" ca="1">_xlfn.MAXIFS(COL(bench,"wine"), COL(bench,"model"), $R47, COL(bench,"instance"), INDEX($Q:$Q, ROW()-$R47), COL(bench,"time"),"&lt;="&amp;S$1)</f>
        <v>5</v>
      </c>
      <c r="T47" cm="1">
        <f t="array" aca="1" ref="T47" ca="1">_xlfn.MAXIFS(COL(bench,"wine"), COL(bench,"model"), $R47, COL(bench,"instance"), INDEX($Q:$Q, ROW()-$R47), COL(bench,"time"),"&lt;="&amp;T$1)-SUM($S47:S47)</f>
        <v>0</v>
      </c>
      <c r="U47" cm="1">
        <f t="array" aca="1" ref="U47" ca="1">_xlfn.MAXIFS(COL(bench,"wine"), COL(bench,"model"), $R47, COL(bench,"instance"), INDEX($Q:$Q, ROW()-$R47), COL(bench,"time"),"&lt;="&amp;U$1)-SUM($S47:T47)</f>
        <v>0</v>
      </c>
      <c r="V47" cm="1">
        <f t="array" aca="1" ref="V47" ca="1">_xlfn.MAXIFS(COL(bench,"wine"), COL(bench,"model"), $R47, COL(bench,"instance"), INDEX($Q:$Q, ROW()-$R47), COL(bench,"time"),"&lt;="&amp;V$1)-SUM($S47:U47)</f>
        <v>0</v>
      </c>
      <c r="W47" cm="1">
        <f t="array" aca="1" ref="W47" ca="1">_xlfn.MAXIFS(COL(bench,"wine"), COL(bench,"model"), $R47, COL(bench,"instance"), INDEX($Q:$Q, ROW()-$R47), COL(bench,"time"),"&lt;="&amp;W$1)-SUM($S47:V47)</f>
        <v>0</v>
      </c>
      <c r="X47" t="e" cm="1">
        <f t="array" ref="X47" xml:space="preserve"> _xlfn.LET(
  _xlpm.idx, _xlfn.XMATCH(1,
      (COL(summary,"model")=$R47)*(COL(summary,"instance")=INDEX($Q:$Q, ROW()-$R47))),
  IFERROR(INDEX(COL(summary,"objective"), _xlpm.idx), #N/A)
)</f>
        <v>#N/A</v>
      </c>
    </row>
    <row r="48" spans="1:24" x14ac:dyDescent="0.25">
      <c r="A48">
        <f ca="1">IF(_157721372917[[#This Row],[instance]]&lt;OFFSET(_157721372917[[#This Row],[instance]],-1,0), OFFSET(_157721372917[[#This Row],[model]],-1,0)+1, OFFSET(_157721372917[[#This Row],[model]],-1,0))</f>
        <v>1</v>
      </c>
      <c r="B48">
        <v>5</v>
      </c>
      <c r="C48" s="5">
        <v>8.5648148148148138E-6</v>
      </c>
      <c r="D48">
        <v>9</v>
      </c>
      <c r="E48">
        <v>6</v>
      </c>
      <c r="F48">
        <v>1</v>
      </c>
      <c r="G48" s="5">
        <v>3.472222222222222E-6</v>
      </c>
      <c r="H48" s="5">
        <v>6.9452546296296293E-3</v>
      </c>
      <c r="I48" s="5">
        <v>6.9452546296296293E-3</v>
      </c>
      <c r="J48" s="5">
        <v>3.5879629629629629E-6</v>
      </c>
      <c r="L48"/>
      <c r="M48"/>
      <c r="N48"/>
      <c r="O48"/>
      <c r="P48" s="1"/>
      <c r="R48" s="2">
        <v>4</v>
      </c>
      <c r="S48" cm="1">
        <f t="array" aca="1" ref="S48" ca="1">_xlfn.MAXIFS(COL(bench,"wine"), COL(bench,"model"), $R48, COL(bench,"instance"), INDEX($Q:$Q, ROW()-$R48), COL(bench,"time"),"&lt;="&amp;S$1)</f>
        <v>2.5</v>
      </c>
      <c r="T48" cm="1">
        <f t="array" aca="1" ref="T48" ca="1">_xlfn.MAXIFS(COL(bench,"wine"), COL(bench,"model"), $R48, COL(bench,"instance"), INDEX($Q:$Q, ROW()-$R48), COL(bench,"time"),"&lt;="&amp;T$1)-SUM($S48:S48)</f>
        <v>0.5</v>
      </c>
      <c r="U48" cm="1">
        <f t="array" aca="1" ref="U48" ca="1">_xlfn.MAXIFS(COL(bench,"wine"), COL(bench,"model"), $R48, COL(bench,"instance"), INDEX($Q:$Q, ROW()-$R48), COL(bench,"time"),"&lt;="&amp;U$1)-SUM($S48:T48)</f>
        <v>0.875</v>
      </c>
      <c r="V48" cm="1">
        <f t="array" aca="1" ref="V48" ca="1">_xlfn.MAXIFS(COL(bench,"wine"), COL(bench,"model"), $R48, COL(bench,"instance"), INDEX($Q:$Q, ROW()-$R48), COL(bench,"time"),"&lt;="&amp;V$1)-SUM($S48:U48)</f>
        <v>0.375</v>
      </c>
      <c r="W48" cm="1">
        <f t="array" aca="1" ref="W48" ca="1">_xlfn.MAXIFS(COL(bench,"wine"), COL(bench,"model"), $R48, COL(bench,"instance"), INDEX($Q:$Q, ROW()-$R48), COL(bench,"time"),"&lt;="&amp;W$1)-SUM($S48:V48)</f>
        <v>0.375</v>
      </c>
      <c r="X48" t="e" cm="1">
        <f t="array" ref="X48" xml:space="preserve"> _xlfn.LET(
  _xlpm.idx, _xlfn.XMATCH(1,
      (COL(summary,"model")=$R48)*(COL(summary,"instance")=INDEX($Q:$Q, ROW()-$R48))),
  IFERROR(INDEX(COL(summary,"objective"), _xlpm.idx), #N/A)
)</f>
        <v>#N/A</v>
      </c>
    </row>
    <row r="49" spans="1:29" x14ac:dyDescent="0.25">
      <c r="A49">
        <f ca="1">IF(_157721372917[[#This Row],[instance]]&lt;OFFSET(_157721372917[[#This Row],[instance]],-1,0), OFFSET(_157721372917[[#This Row],[model]],-1,0)+1, OFFSET(_157721372917[[#This Row],[model]],-1,0))</f>
        <v>1</v>
      </c>
      <c r="B49">
        <v>5</v>
      </c>
      <c r="C49" s="5">
        <v>2.222222222222222E-5</v>
      </c>
      <c r="D49">
        <v>10</v>
      </c>
      <c r="E49">
        <v>7</v>
      </c>
      <c r="F49">
        <v>1</v>
      </c>
      <c r="G49" s="5">
        <v>3.472222222222222E-6</v>
      </c>
      <c r="H49" s="5">
        <v>6.9452546296296293E-3</v>
      </c>
      <c r="I49" s="5">
        <v>6.9452546296296293E-3</v>
      </c>
      <c r="J49" s="5">
        <v>3.5879629629629629E-6</v>
      </c>
      <c r="L49"/>
      <c r="M49"/>
      <c r="N49"/>
      <c r="O49"/>
      <c r="P49" s="1"/>
      <c r="R49" s="2">
        <v>5</v>
      </c>
      <c r="S49" cm="1">
        <f t="array" aca="1" ref="S49" ca="1">_xlfn.MAXIFS(COL(bench,"wine"), COL(bench,"model"), $R49, COL(bench,"instance"), INDEX($Q:$Q, ROW()-$R49), COL(bench,"time"),"&lt;="&amp;S$1)</f>
        <v>24.875</v>
      </c>
      <c r="T49" cm="1">
        <f t="array" aca="1" ref="T49" ca="1">_xlfn.MAXIFS(COL(bench,"wine"), COL(bench,"model"), $R49, COL(bench,"instance"), INDEX($Q:$Q, ROW()-$R49), COL(bench,"time"),"&lt;="&amp;T$1)-SUM($S49:S49)</f>
        <v>0</v>
      </c>
      <c r="U49" cm="1">
        <f t="array" aca="1" ref="U49" ca="1">_xlfn.MAXIFS(COL(bench,"wine"), COL(bench,"model"), $R49, COL(bench,"instance"), INDEX($Q:$Q, ROW()-$R49), COL(bench,"time"),"&lt;="&amp;U$1)-SUM($S49:T49)</f>
        <v>0</v>
      </c>
      <c r="V49" cm="1">
        <f t="array" aca="1" ref="V49" ca="1">_xlfn.MAXIFS(COL(bench,"wine"), COL(bench,"model"), $R49, COL(bench,"instance"), INDEX($Q:$Q, ROW()-$R49), COL(bench,"time"),"&lt;="&amp;V$1)-SUM($S49:U49)</f>
        <v>0</v>
      </c>
      <c r="W49" cm="1">
        <f t="array" aca="1" ref="W49" ca="1">_xlfn.MAXIFS(COL(bench,"wine"), COL(bench,"model"), $R49, COL(bench,"instance"), INDEX($Q:$Q, ROW()-$R49), COL(bench,"time"),"&lt;="&amp;W$1)-SUM($S49:V49)</f>
        <v>0</v>
      </c>
      <c r="X49" t="e" cm="1">
        <f t="array" ref="X49" xml:space="preserve"> _xlfn.LET(
  _xlpm.idx, _xlfn.XMATCH(1,
      (COL(summary,"model")=$R49)*(COL(summary,"instance")=INDEX($Q:$Q, ROW()-$R49))),
  IFERROR(INDEX(COL(summary,"objective"), _xlpm.idx), #N/A)
)</f>
        <v>#N/A</v>
      </c>
      <c r="AC49" s="4"/>
    </row>
    <row r="50" spans="1:29" x14ac:dyDescent="0.25">
      <c r="A50">
        <f ca="1">IF(_157721372917[[#This Row],[instance]]&lt;OFFSET(_157721372917[[#This Row],[instance]],-1,0), OFFSET(_157721372917[[#This Row],[model]],-1,0)+1, OFFSET(_157721372917[[#This Row],[model]],-1,0))</f>
        <v>1</v>
      </c>
      <c r="B50">
        <v>5</v>
      </c>
      <c r="C50" s="5">
        <v>6.4293981481481483E-4</v>
      </c>
      <c r="D50">
        <v>10.5</v>
      </c>
      <c r="E50">
        <v>8</v>
      </c>
      <c r="F50">
        <v>1</v>
      </c>
      <c r="G50" s="5">
        <v>3.472222222222222E-6</v>
      </c>
      <c r="H50" s="5">
        <v>6.9452546296296293E-3</v>
      </c>
      <c r="I50" s="5">
        <v>6.9452546296296293E-3</v>
      </c>
      <c r="J50" s="5">
        <v>3.5879629629629629E-6</v>
      </c>
      <c r="L50"/>
      <c r="M50"/>
      <c r="N50"/>
      <c r="O50"/>
      <c r="P50" s="1"/>
    </row>
    <row r="51" spans="1:29" x14ac:dyDescent="0.25">
      <c r="A51">
        <f ca="1">IF(_157721372917[[#This Row],[instance]]&lt;OFFSET(_157721372917[[#This Row],[instance]],-1,0), OFFSET(_157721372917[[#This Row],[model]],-1,0)+1, OFFSET(_157721372917[[#This Row],[model]],-1,0))</f>
        <v>1</v>
      </c>
      <c r="B51">
        <v>5</v>
      </c>
      <c r="C51" s="5">
        <v>1.6788194444444444E-3</v>
      </c>
      <c r="D51">
        <v>10.875</v>
      </c>
      <c r="E51">
        <v>9</v>
      </c>
      <c r="F51">
        <v>1</v>
      </c>
      <c r="G51" s="5">
        <v>3.472222222222222E-6</v>
      </c>
      <c r="H51" s="5">
        <v>6.9452546296296293E-3</v>
      </c>
      <c r="I51" s="5">
        <v>6.9452546296296293E-3</v>
      </c>
      <c r="J51" s="5">
        <v>3.5879629629629629E-6</v>
      </c>
      <c r="L51"/>
      <c r="M51"/>
      <c r="N51"/>
      <c r="O51"/>
      <c r="P51" s="1"/>
      <c r="Q51">
        <v>8</v>
      </c>
    </row>
    <row r="52" spans="1:29" x14ac:dyDescent="0.25">
      <c r="A52">
        <f ca="1">IF(_157721372917[[#This Row],[instance]]&lt;OFFSET(_157721372917[[#This Row],[instance]],-1,0), OFFSET(_157721372917[[#This Row],[model]],-1,0)+1, OFFSET(_157721372917[[#This Row],[model]],-1,0))</f>
        <v>1</v>
      </c>
      <c r="B52">
        <v>6</v>
      </c>
      <c r="C52" s="5">
        <v>8.4490740740740738E-6</v>
      </c>
      <c r="D52">
        <v>0</v>
      </c>
      <c r="E52">
        <v>0</v>
      </c>
      <c r="F52">
        <v>0</v>
      </c>
      <c r="G52" s="5">
        <v>3.7037037037037037E-6</v>
      </c>
      <c r="H52" s="5">
        <v>6.9452546296296293E-3</v>
      </c>
      <c r="I52" s="5">
        <v>6.9452546296296293E-3</v>
      </c>
      <c r="J52" s="5">
        <v>3.5879629629629629E-6</v>
      </c>
      <c r="L52"/>
      <c r="M52"/>
      <c r="N52"/>
      <c r="O52"/>
      <c r="P52" s="1"/>
      <c r="R52" s="2">
        <v>1</v>
      </c>
      <c r="S52" cm="1">
        <f t="array" aca="1" ref="S52" ca="1">_xlfn.MAXIFS(COL(bench,"wine"), COL(bench,"model"), $R52, COL(bench,"instance"), INDEX($Q:$Q, ROW()-$R52), COL(bench,"time"),"&lt;="&amp;S$1)</f>
        <v>12</v>
      </c>
      <c r="T52" cm="1">
        <f t="array" aca="1" ref="T52" ca="1">_xlfn.MAXIFS(COL(bench,"wine"), COL(bench,"model"), $R52, COL(bench,"instance"), INDEX($Q:$Q, ROW()-$R52), COL(bench,"time"),"&lt;="&amp;T$1)-SUM($S52:S52)</f>
        <v>0</v>
      </c>
      <c r="U52" cm="1">
        <f t="array" aca="1" ref="U52" ca="1">_xlfn.MAXIFS(COL(bench,"wine"), COL(bench,"model"), $R52, COL(bench,"instance"), INDEX($Q:$Q, ROW()-$R52), COL(bench,"time"),"&lt;="&amp;U$1)-SUM($S52:T52)</f>
        <v>0</v>
      </c>
      <c r="V52" cm="1">
        <f t="array" aca="1" ref="V52" ca="1">_xlfn.MAXIFS(COL(bench,"wine"), COL(bench,"model"), $R52, COL(bench,"instance"), INDEX($Q:$Q, ROW()-$R52), COL(bench,"time"),"&lt;="&amp;V$1)-SUM($S52:U52)</f>
        <v>0</v>
      </c>
      <c r="W52" cm="1">
        <f t="array" aca="1" ref="W52" ca="1">_xlfn.MAXIFS(COL(bench,"wine"), COL(bench,"model"), $R52, COL(bench,"instance"), INDEX($Q:$Q, ROW()-$R52), COL(bench,"time"),"&lt;="&amp;W$1)-SUM($S52:V52)</f>
        <v>0</v>
      </c>
      <c r="X52" t="e" cm="1">
        <f t="array" ref="X52" xml:space="preserve"> _xlfn.LET(
  _xlpm.idx, _xlfn.XMATCH(1,
      (COL(summary,"model")=$R52)*(COL(summary,"instance")=INDEX($Q:$Q, ROW()-$R52))),
  IFERROR(INDEX(COL(summary,"objective"), _xlpm.idx), #N/A)
)</f>
        <v>#N/A</v>
      </c>
    </row>
    <row r="53" spans="1:29" x14ac:dyDescent="0.25">
      <c r="A53">
        <f ca="1">IF(_157721372917[[#This Row],[instance]]&lt;OFFSET(_157721372917[[#This Row],[instance]],-1,0), OFFSET(_157721372917[[#This Row],[model]],-1,0)+1, OFFSET(_157721372917[[#This Row],[model]],-1,0))</f>
        <v>1</v>
      </c>
      <c r="B53">
        <v>6</v>
      </c>
      <c r="C53" s="5">
        <v>8.4490740740740738E-6</v>
      </c>
      <c r="D53">
        <v>3</v>
      </c>
      <c r="E53">
        <v>1</v>
      </c>
      <c r="F53">
        <v>1</v>
      </c>
      <c r="G53" s="5">
        <v>3.7037037037037037E-6</v>
      </c>
      <c r="H53" s="5">
        <v>6.9452546296296293E-3</v>
      </c>
      <c r="I53" s="5">
        <v>6.9452546296296293E-3</v>
      </c>
      <c r="J53" s="5">
        <v>3.5879629629629629E-6</v>
      </c>
      <c r="L53"/>
      <c r="M53"/>
      <c r="N53"/>
      <c r="O53"/>
      <c r="P53" s="1"/>
      <c r="R53" s="2">
        <v>2</v>
      </c>
      <c r="S53" cm="1">
        <f t="array" aca="1" ref="S53" ca="1">_xlfn.MAXIFS(COL(bench,"wine"), COL(bench,"model"), $R53, COL(bench,"instance"), INDEX($Q:$Q, ROW()-$R53), COL(bench,"time"),"&lt;="&amp;S$1)</f>
        <v>13.875</v>
      </c>
      <c r="T53" cm="1">
        <f t="array" aca="1" ref="T53" ca="1">_xlfn.MAXIFS(COL(bench,"wine"), COL(bench,"model"), $R53, COL(bench,"instance"), INDEX($Q:$Q, ROW()-$R53), COL(bench,"time"),"&lt;="&amp;T$1)-SUM($S53:S53)</f>
        <v>0</v>
      </c>
      <c r="U53" cm="1">
        <f t="array" aca="1" ref="U53" ca="1">_xlfn.MAXIFS(COL(bench,"wine"), COL(bench,"model"), $R53, COL(bench,"instance"), INDEX($Q:$Q, ROW()-$R53), COL(bench,"time"),"&lt;="&amp;U$1)-SUM($S53:T53)</f>
        <v>0</v>
      </c>
      <c r="V53" cm="1">
        <f t="array" aca="1" ref="V53" ca="1">_xlfn.MAXIFS(COL(bench,"wine"), COL(bench,"model"), $R53, COL(bench,"instance"), INDEX($Q:$Q, ROW()-$R53), COL(bench,"time"),"&lt;="&amp;V$1)-SUM($S53:U53)</f>
        <v>0</v>
      </c>
      <c r="W53" cm="1">
        <f t="array" aca="1" ref="W53" ca="1">_xlfn.MAXIFS(COL(bench,"wine"), COL(bench,"model"), $R53, COL(bench,"instance"), INDEX($Q:$Q, ROW()-$R53), COL(bench,"time"),"&lt;="&amp;W$1)-SUM($S53:V53)</f>
        <v>0</v>
      </c>
      <c r="X53" cm="1">
        <f t="array" ref="X53" xml:space="preserve"> _xlfn.LET(
  _xlpm.idx, _xlfn.XMATCH(1,
      (COL(summary,"model")=$R53)*(COL(summary,"instance")=INDEX($Q:$Q, ROW()-$R53))),
  IFERROR(INDEX(COL(summary,"objective"), _xlpm.idx), #N/A)
)</f>
        <v>13.875</v>
      </c>
    </row>
    <row r="54" spans="1:29" x14ac:dyDescent="0.25">
      <c r="A54">
        <f ca="1">IF(_157721372917[[#This Row],[instance]]&lt;OFFSET(_157721372917[[#This Row],[instance]],-1,0), OFFSET(_157721372917[[#This Row],[model]],-1,0)+1, OFFSET(_157721372917[[#This Row],[model]],-1,0))</f>
        <v>1</v>
      </c>
      <c r="B54">
        <v>6</v>
      </c>
      <c r="C54" s="5">
        <v>8.4490740740740738E-6</v>
      </c>
      <c r="D54">
        <v>6</v>
      </c>
      <c r="E54">
        <v>2</v>
      </c>
      <c r="F54">
        <v>2</v>
      </c>
      <c r="G54" s="5">
        <v>3.7037037037037037E-6</v>
      </c>
      <c r="H54" s="5">
        <v>6.9452546296296293E-3</v>
      </c>
      <c r="I54" s="5">
        <v>6.9452546296296293E-3</v>
      </c>
      <c r="J54" s="5">
        <v>3.5879629629629629E-6</v>
      </c>
      <c r="L54"/>
      <c r="M54"/>
      <c r="N54"/>
      <c r="O54"/>
      <c r="P54" s="1"/>
      <c r="R54" s="2">
        <v>3</v>
      </c>
      <c r="S54" cm="1">
        <f t="array" aca="1" ref="S54" ca="1">_xlfn.MAXIFS(COL(bench,"wine"), COL(bench,"model"), $R54, COL(bench,"instance"), INDEX($Q:$Q, ROW()-$R54), COL(bench,"time"),"&lt;="&amp;S$1)</f>
        <v>4.5</v>
      </c>
      <c r="T54" cm="1">
        <f t="array" aca="1" ref="T54" ca="1">_xlfn.MAXIFS(COL(bench,"wine"), COL(bench,"model"), $R54, COL(bench,"instance"), INDEX($Q:$Q, ROW()-$R54), COL(bench,"time"),"&lt;="&amp;T$1)-SUM($S54:S54)</f>
        <v>0</v>
      </c>
      <c r="U54" cm="1">
        <f t="array" aca="1" ref="U54" ca="1">_xlfn.MAXIFS(COL(bench,"wine"), COL(bench,"model"), $R54, COL(bench,"instance"), INDEX($Q:$Q, ROW()-$R54), COL(bench,"time"),"&lt;="&amp;U$1)-SUM($S54:T54)</f>
        <v>0</v>
      </c>
      <c r="V54" cm="1">
        <f t="array" aca="1" ref="V54" ca="1">_xlfn.MAXIFS(COL(bench,"wine"), COL(bench,"model"), $R54, COL(bench,"instance"), INDEX($Q:$Q, ROW()-$R54), COL(bench,"time"),"&lt;="&amp;V$1)-SUM($S54:U54)</f>
        <v>0</v>
      </c>
      <c r="W54" cm="1">
        <f t="array" aca="1" ref="W54" ca="1">_xlfn.MAXIFS(COL(bench,"wine"), COL(bench,"model"), $R54, COL(bench,"instance"), INDEX($Q:$Q, ROW()-$R54), COL(bench,"time"),"&lt;="&amp;W$1)-SUM($S54:V54)</f>
        <v>0</v>
      </c>
      <c r="X54" t="e" cm="1">
        <f t="array" ref="X54" xml:space="preserve"> _xlfn.LET(
  _xlpm.idx, _xlfn.XMATCH(1,
      (COL(summary,"model")=$R54)*(COL(summary,"instance")=INDEX($Q:$Q, ROW()-$R54))),
  IFERROR(INDEX(COL(summary,"objective"), _xlpm.idx), #N/A)
)</f>
        <v>#N/A</v>
      </c>
    </row>
    <row r="55" spans="1:29" x14ac:dyDescent="0.25">
      <c r="A55">
        <f ca="1">IF(_157721372917[[#This Row],[instance]]&lt;OFFSET(_157721372917[[#This Row],[instance]],-1,0), OFFSET(_157721372917[[#This Row],[model]],-1,0)+1, OFFSET(_157721372917[[#This Row],[model]],-1,0))</f>
        <v>1</v>
      </c>
      <c r="B55">
        <v>6</v>
      </c>
      <c r="C55" s="5">
        <v>2.175925925925926E-5</v>
      </c>
      <c r="D55">
        <v>8</v>
      </c>
      <c r="E55">
        <v>6</v>
      </c>
      <c r="F55">
        <v>2</v>
      </c>
      <c r="G55" s="5">
        <v>3.7037037037037037E-6</v>
      </c>
      <c r="H55" s="5">
        <v>6.9452546296296293E-3</v>
      </c>
      <c r="I55" s="5">
        <v>6.9452546296296293E-3</v>
      </c>
      <c r="J55" s="5">
        <v>3.5879629629629629E-6</v>
      </c>
      <c r="L55"/>
      <c r="M55"/>
      <c r="N55"/>
      <c r="O55"/>
      <c r="P55" s="1"/>
      <c r="R55" s="2">
        <v>4</v>
      </c>
      <c r="S55" cm="1">
        <f t="array" aca="1" ref="S55" ca="1">_xlfn.MAXIFS(COL(bench,"wine"), COL(bench,"model"), $R55, COL(bench,"instance"), INDEX($Q:$Q, ROW()-$R55), COL(bench,"time"),"&lt;="&amp;S$1)</f>
        <v>1.875</v>
      </c>
      <c r="T55" cm="1">
        <f t="array" aca="1" ref="T55" ca="1">_xlfn.MAXIFS(COL(bench,"wine"), COL(bench,"model"), $R55, COL(bench,"instance"), INDEX($Q:$Q, ROW()-$R55), COL(bench,"time"),"&lt;="&amp;T$1)-SUM($S55:S55)</f>
        <v>0.75</v>
      </c>
      <c r="U55" cm="1">
        <f t="array" aca="1" ref="U55" ca="1">_xlfn.MAXIFS(COL(bench,"wine"), COL(bench,"model"), $R55, COL(bench,"instance"), INDEX($Q:$Q, ROW()-$R55), COL(bench,"time"),"&lt;="&amp;U$1)-SUM($S55:T55)</f>
        <v>0</v>
      </c>
      <c r="V55" cm="1">
        <f t="array" aca="1" ref="V55" ca="1">_xlfn.MAXIFS(COL(bench,"wine"), COL(bench,"model"), $R55, COL(bench,"instance"), INDEX($Q:$Q, ROW()-$R55), COL(bench,"time"),"&lt;="&amp;V$1)-SUM($S55:U55)</f>
        <v>0.75</v>
      </c>
      <c r="W55" cm="1">
        <f t="array" aca="1" ref="W55" ca="1">_xlfn.MAXIFS(COL(bench,"wine"), COL(bench,"model"), $R55, COL(bench,"instance"), INDEX($Q:$Q, ROW()-$R55), COL(bench,"time"),"&lt;="&amp;W$1)-SUM($S55:V55)</f>
        <v>0</v>
      </c>
      <c r="X55" t="e" cm="1">
        <f t="array" ref="X55" xml:space="preserve"> _xlfn.LET(
  _xlpm.idx, _xlfn.XMATCH(1,
      (COL(summary,"model")=$R55)*(COL(summary,"instance")=INDEX($Q:$Q, ROW()-$R55))),
  IFERROR(INDEX(COL(summary,"objective"), _xlpm.idx), #N/A)
)</f>
        <v>#N/A</v>
      </c>
    </row>
    <row r="56" spans="1:29" x14ac:dyDescent="0.25">
      <c r="A56">
        <f ca="1">IF(_157721372917[[#This Row],[instance]]&lt;OFFSET(_157721372917[[#This Row],[instance]],-1,0), OFFSET(_157721372917[[#This Row],[model]],-1,0)+1, OFFSET(_157721372917[[#This Row],[model]],-1,0))</f>
        <v>1</v>
      </c>
      <c r="B56">
        <v>6</v>
      </c>
      <c r="C56" s="5">
        <v>2.2800925925925923E-5</v>
      </c>
      <c r="D56">
        <v>10.75</v>
      </c>
      <c r="E56">
        <v>7</v>
      </c>
      <c r="F56">
        <v>3</v>
      </c>
      <c r="G56" s="5">
        <v>3.7037037037037037E-6</v>
      </c>
      <c r="H56" s="5">
        <v>6.9452546296296293E-3</v>
      </c>
      <c r="I56" s="5">
        <v>6.9452546296296293E-3</v>
      </c>
      <c r="J56" s="5">
        <v>3.5879629629629629E-6</v>
      </c>
      <c r="L56"/>
      <c r="M56"/>
      <c r="N56"/>
      <c r="O56"/>
      <c r="P56" s="1"/>
      <c r="R56" s="2">
        <v>5</v>
      </c>
      <c r="S56" cm="1">
        <f t="array" aca="1" ref="S56" ca="1">_xlfn.MAXIFS(COL(bench,"wine"), COL(bench,"model"), $R56, COL(bench,"instance"), INDEX($Q:$Q, ROW()-$R56), COL(bench,"time"),"&lt;="&amp;S$1)</f>
        <v>13.875</v>
      </c>
      <c r="T56" cm="1">
        <f t="array" aca="1" ref="T56" ca="1">_xlfn.MAXIFS(COL(bench,"wine"), COL(bench,"model"), $R56, COL(bench,"instance"), INDEX($Q:$Q, ROW()-$R56), COL(bench,"time"),"&lt;="&amp;T$1)-SUM($S56:S56)</f>
        <v>0</v>
      </c>
      <c r="U56" cm="1">
        <f t="array" aca="1" ref="U56" ca="1">_xlfn.MAXIFS(COL(bench,"wine"), COL(bench,"model"), $R56, COL(bench,"instance"), INDEX($Q:$Q, ROW()-$R56), COL(bench,"time"),"&lt;="&amp;U$1)-SUM($S56:T56)</f>
        <v>0</v>
      </c>
      <c r="V56" cm="1">
        <f t="array" aca="1" ref="V56" ca="1">_xlfn.MAXIFS(COL(bench,"wine"), COL(bench,"model"), $R56, COL(bench,"instance"), INDEX($Q:$Q, ROW()-$R56), COL(bench,"time"),"&lt;="&amp;V$1)-SUM($S56:U56)</f>
        <v>0</v>
      </c>
      <c r="W56" cm="1">
        <f t="array" aca="1" ref="W56" ca="1">_xlfn.MAXIFS(COL(bench,"wine"), COL(bench,"model"), $R56, COL(bench,"instance"), INDEX($Q:$Q, ROW()-$R56), COL(bench,"time"),"&lt;="&amp;W$1)-SUM($S56:V56)</f>
        <v>0</v>
      </c>
      <c r="X56" cm="1">
        <f t="array" ref="X56" xml:space="preserve"> _xlfn.LET(
  _xlpm.idx, _xlfn.XMATCH(1,
      (COL(summary,"model")=$R56)*(COL(summary,"instance")=INDEX($Q:$Q, ROW()-$R56))),
  IFERROR(INDEX(COL(summary,"objective"), _xlpm.idx), #N/A)
)</f>
        <v>13.875</v>
      </c>
    </row>
    <row r="57" spans="1:29" x14ac:dyDescent="0.25">
      <c r="A57">
        <f ca="1">IF(_157721372917[[#This Row],[instance]]&lt;OFFSET(_157721372917[[#This Row],[instance]],-1,0), OFFSET(_157721372917[[#This Row],[model]],-1,0)+1, OFFSET(_157721372917[[#This Row],[model]],-1,0))</f>
        <v>1</v>
      </c>
      <c r="B57">
        <v>6</v>
      </c>
      <c r="C57" s="5">
        <v>2.2800925925925923E-5</v>
      </c>
      <c r="D57">
        <v>11</v>
      </c>
      <c r="E57">
        <v>7</v>
      </c>
      <c r="F57">
        <v>3</v>
      </c>
      <c r="G57" s="5">
        <v>3.7037037037037037E-6</v>
      </c>
      <c r="H57" s="5">
        <v>6.9452546296296293E-3</v>
      </c>
      <c r="I57" s="5">
        <v>6.9452546296296293E-3</v>
      </c>
      <c r="J57" s="5">
        <v>3.5879629629629629E-6</v>
      </c>
      <c r="L57"/>
      <c r="M57"/>
      <c r="N57"/>
      <c r="O57"/>
      <c r="P57" s="1"/>
    </row>
    <row r="58" spans="1:29" x14ac:dyDescent="0.25">
      <c r="A58">
        <f ca="1">IF(_157721372917[[#This Row],[instance]]&lt;OFFSET(_157721372917[[#This Row],[instance]],-1,0), OFFSET(_157721372917[[#This Row],[model]],-1,0)+1, OFFSET(_157721372917[[#This Row],[model]],-1,0))</f>
        <v>1</v>
      </c>
      <c r="B58">
        <v>6</v>
      </c>
      <c r="C58" s="5">
        <v>2.4884259259259258E-5</v>
      </c>
      <c r="D58">
        <v>11.75</v>
      </c>
      <c r="E58">
        <v>8</v>
      </c>
      <c r="F58">
        <v>3</v>
      </c>
      <c r="G58" s="5">
        <v>3.7037037037037037E-6</v>
      </c>
      <c r="H58" s="5">
        <v>6.9452546296296293E-3</v>
      </c>
      <c r="I58" s="5">
        <v>6.9452546296296293E-3</v>
      </c>
      <c r="J58" s="5">
        <v>3.5879629629629629E-6</v>
      </c>
      <c r="L58"/>
      <c r="M58"/>
      <c r="N58"/>
      <c r="O58"/>
      <c r="P58" s="1"/>
      <c r="Q58">
        <v>9</v>
      </c>
    </row>
    <row r="59" spans="1:29" x14ac:dyDescent="0.25">
      <c r="A59">
        <f ca="1">IF(_157721372917[[#This Row],[instance]]&lt;OFFSET(_157721372917[[#This Row],[instance]],-1,0), OFFSET(_157721372917[[#This Row],[model]],-1,0)+1, OFFSET(_157721372917[[#This Row],[model]],-1,0))</f>
        <v>1</v>
      </c>
      <c r="B59">
        <v>6</v>
      </c>
      <c r="C59" s="5">
        <v>3.009259259259259E-5</v>
      </c>
      <c r="D59">
        <v>12.25</v>
      </c>
      <c r="E59">
        <v>9</v>
      </c>
      <c r="F59">
        <v>3</v>
      </c>
      <c r="G59" s="5">
        <v>3.7037037037037037E-6</v>
      </c>
      <c r="H59" s="5">
        <v>6.9452546296296293E-3</v>
      </c>
      <c r="I59" s="5">
        <v>6.9452546296296293E-3</v>
      </c>
      <c r="J59" s="5">
        <v>3.5879629629629629E-6</v>
      </c>
      <c r="L59"/>
      <c r="M59"/>
      <c r="N59"/>
      <c r="O59"/>
      <c r="P59" s="1"/>
      <c r="R59" s="2">
        <v>1</v>
      </c>
      <c r="S59" cm="1">
        <f t="array" aca="1" ref="S59" ca="1">_xlfn.MAXIFS(COL(bench,"wine"), COL(bench,"model"), $R59, COL(bench,"instance"), INDEX($Q:$Q, ROW()-$R59), COL(bench,"time"),"&lt;="&amp;S$1)</f>
        <v>9</v>
      </c>
      <c r="T59" cm="1">
        <f t="array" aca="1" ref="T59" ca="1">_xlfn.MAXIFS(COL(bench,"wine"), COL(bench,"model"), $R59, COL(bench,"instance"), INDEX($Q:$Q, ROW()-$R59), COL(bench,"time"),"&lt;="&amp;T$1)-SUM($S59:S59)</f>
        <v>3</v>
      </c>
      <c r="U59" cm="1">
        <f t="array" aca="1" ref="U59" ca="1">_xlfn.MAXIFS(COL(bench,"wine"), COL(bench,"model"), $R59, COL(bench,"instance"), INDEX($Q:$Q, ROW()-$R59), COL(bench,"time"),"&lt;="&amp;U$1)-SUM($S59:T59)</f>
        <v>0</v>
      </c>
      <c r="V59" cm="1">
        <f t="array" aca="1" ref="V59" ca="1">_xlfn.MAXIFS(COL(bench,"wine"), COL(bench,"model"), $R59, COL(bench,"instance"), INDEX($Q:$Q, ROW()-$R59), COL(bench,"time"),"&lt;="&amp;V$1)-SUM($S59:U59)</f>
        <v>0</v>
      </c>
      <c r="W59" cm="1">
        <f t="array" aca="1" ref="W59" ca="1">_xlfn.MAXIFS(COL(bench,"wine"), COL(bench,"model"), $R59, COL(bench,"instance"), INDEX($Q:$Q, ROW()-$R59), COL(bench,"time"),"&lt;="&amp;W$1)-SUM($S59:V59)</f>
        <v>0</v>
      </c>
      <c r="X59" t="e" cm="1">
        <f t="array" ref="X59" xml:space="preserve"> _xlfn.LET(
  _xlpm.idx, _xlfn.XMATCH(1,
      (COL(summary,"model")=$R59)*(COL(summary,"instance")=INDEX($Q:$Q, ROW()-$R59))),
  IFERROR(INDEX(COL(summary,"objective"), _xlpm.idx), #N/A)
)</f>
        <v>#N/A</v>
      </c>
    </row>
    <row r="60" spans="1:29" x14ac:dyDescent="0.25">
      <c r="A60">
        <f ca="1">IF(_157721372917[[#This Row],[instance]]&lt;OFFSET(_157721372917[[#This Row],[instance]],-1,0), OFFSET(_157721372917[[#This Row],[model]],-1,0)+1, OFFSET(_157721372917[[#This Row],[model]],-1,0))</f>
        <v>1</v>
      </c>
      <c r="B60">
        <v>6</v>
      </c>
      <c r="C60" s="5">
        <v>7.2800925925925919E-5</v>
      </c>
      <c r="D60">
        <v>12.5</v>
      </c>
      <c r="E60">
        <v>9</v>
      </c>
      <c r="F60">
        <v>3</v>
      </c>
      <c r="G60" s="5">
        <v>3.7037037037037037E-6</v>
      </c>
      <c r="H60" s="5">
        <v>6.9452546296296293E-3</v>
      </c>
      <c r="I60" s="5">
        <v>6.9452546296296293E-3</v>
      </c>
      <c r="J60" s="5">
        <v>3.5879629629629629E-6</v>
      </c>
      <c r="L60"/>
      <c r="M60"/>
      <c r="N60"/>
      <c r="O60"/>
      <c r="P60" s="1"/>
      <c r="R60" s="2">
        <v>2</v>
      </c>
      <c r="S60" cm="1">
        <f t="array" aca="1" ref="S60" ca="1">_xlfn.MAXIFS(COL(bench,"wine"), COL(bench,"model"), $R60, COL(bench,"instance"), INDEX($Q:$Q, ROW()-$R60), COL(bench,"time"),"&lt;="&amp;S$1)</f>
        <v>12</v>
      </c>
      <c r="T60" cm="1">
        <f t="array" aca="1" ref="T60" ca="1">_xlfn.MAXIFS(COL(bench,"wine"), COL(bench,"model"), $R60, COL(bench,"instance"), INDEX($Q:$Q, ROW()-$R60), COL(bench,"time"),"&lt;="&amp;T$1)-SUM($S60:S60)</f>
        <v>0</v>
      </c>
      <c r="U60" cm="1">
        <f t="array" aca="1" ref="U60" ca="1">_xlfn.MAXIFS(COL(bench,"wine"), COL(bench,"model"), $R60, COL(bench,"instance"), INDEX($Q:$Q, ROW()-$R60), COL(bench,"time"),"&lt;="&amp;U$1)-SUM($S60:T60)</f>
        <v>0</v>
      </c>
      <c r="V60" cm="1">
        <f t="array" aca="1" ref="V60" ca="1">_xlfn.MAXIFS(COL(bench,"wine"), COL(bench,"model"), $R60, COL(bench,"instance"), INDEX($Q:$Q, ROW()-$R60), COL(bench,"time"),"&lt;="&amp;V$1)-SUM($S60:U60)</f>
        <v>0</v>
      </c>
      <c r="W60" cm="1">
        <f t="array" aca="1" ref="W60" ca="1">_xlfn.MAXIFS(COL(bench,"wine"), COL(bench,"model"), $R60, COL(bench,"instance"), INDEX($Q:$Q, ROW()-$R60), COL(bench,"time"),"&lt;="&amp;W$1)-SUM($S60:V60)</f>
        <v>0</v>
      </c>
      <c r="X60" t="e" cm="1">
        <f t="array" ref="X60" xml:space="preserve"> _xlfn.LET(
  _xlpm.idx, _xlfn.XMATCH(1,
      (COL(summary,"model")=$R60)*(COL(summary,"instance")=INDEX($Q:$Q, ROW()-$R60))),
  IFERROR(INDEX(COL(summary,"objective"), _xlpm.idx), #N/A)
)</f>
        <v>#N/A</v>
      </c>
    </row>
    <row r="61" spans="1:29" x14ac:dyDescent="0.25">
      <c r="A61">
        <f ca="1">IF(_157721372917[[#This Row],[instance]]&lt;OFFSET(_157721372917[[#This Row],[instance]],-1,0), OFFSET(_157721372917[[#This Row],[model]],-1,0)+1, OFFSET(_157721372917[[#This Row],[model]],-1,0))</f>
        <v>1</v>
      </c>
      <c r="B61">
        <v>7</v>
      </c>
      <c r="C61" s="5">
        <v>8.3333333333333337E-6</v>
      </c>
      <c r="D61">
        <v>0</v>
      </c>
      <c r="E61">
        <v>0</v>
      </c>
      <c r="F61">
        <v>0</v>
      </c>
      <c r="G61" s="5">
        <v>3.5879629629629629E-6</v>
      </c>
      <c r="H61" s="5">
        <v>6.9452546296296293E-3</v>
      </c>
      <c r="I61" s="5">
        <v>6.9452546296296293E-3</v>
      </c>
      <c r="J61" s="5">
        <v>3.5879629629629629E-6</v>
      </c>
      <c r="L61"/>
      <c r="M61"/>
      <c r="N61"/>
      <c r="O61"/>
      <c r="P61" s="1"/>
      <c r="R61" s="2">
        <v>3</v>
      </c>
      <c r="S61" cm="1">
        <f t="array" aca="1" ref="S61" ca="1">_xlfn.MAXIFS(COL(bench,"wine"), COL(bench,"model"), $R61, COL(bench,"instance"), INDEX($Q:$Q, ROW()-$R61), COL(bench,"time"),"&lt;="&amp;S$1)</f>
        <v>10.5</v>
      </c>
      <c r="T61" cm="1">
        <f t="array" aca="1" ref="T61" ca="1">_xlfn.MAXIFS(COL(bench,"wine"), COL(bench,"model"), $R61, COL(bench,"instance"), INDEX($Q:$Q, ROW()-$R61), COL(bench,"time"),"&lt;="&amp;T$1)-SUM($S61:S61)</f>
        <v>0</v>
      </c>
      <c r="U61" cm="1">
        <f t="array" aca="1" ref="U61" ca="1">_xlfn.MAXIFS(COL(bench,"wine"), COL(bench,"model"), $R61, COL(bench,"instance"), INDEX($Q:$Q, ROW()-$R61), COL(bench,"time"),"&lt;="&amp;U$1)-SUM($S61:T61)</f>
        <v>0</v>
      </c>
      <c r="V61" cm="1">
        <f t="array" aca="1" ref="V61" ca="1">_xlfn.MAXIFS(COL(bench,"wine"), COL(bench,"model"), $R61, COL(bench,"instance"), INDEX($Q:$Q, ROW()-$R61), COL(bench,"time"),"&lt;="&amp;V$1)-SUM($S61:U61)</f>
        <v>0</v>
      </c>
      <c r="W61" cm="1">
        <f t="array" aca="1" ref="W61" ca="1">_xlfn.MAXIFS(COL(bench,"wine"), COL(bench,"model"), $R61, COL(bench,"instance"), INDEX($Q:$Q, ROW()-$R61), COL(bench,"time"),"&lt;="&amp;W$1)-SUM($S61:V61)</f>
        <v>0</v>
      </c>
      <c r="X61" t="e" cm="1">
        <f t="array" ref="X61" xml:space="preserve"> _xlfn.LET(
  _xlpm.idx, _xlfn.XMATCH(1,
      (COL(summary,"model")=$R61)*(COL(summary,"instance")=INDEX($Q:$Q, ROW()-$R61))),
  IFERROR(INDEX(COL(summary,"objective"), _xlpm.idx), #N/A)
)</f>
        <v>#N/A</v>
      </c>
    </row>
    <row r="62" spans="1:29" x14ac:dyDescent="0.25">
      <c r="A62">
        <f ca="1">IF(_157721372917[[#This Row],[instance]]&lt;OFFSET(_157721372917[[#This Row],[instance]],-1,0), OFFSET(_157721372917[[#This Row],[model]],-1,0)+1, OFFSET(_157721372917[[#This Row],[model]],-1,0))</f>
        <v>1</v>
      </c>
      <c r="B62">
        <v>7</v>
      </c>
      <c r="C62" s="5">
        <v>8.3333333333333337E-6</v>
      </c>
      <c r="D62">
        <v>3</v>
      </c>
      <c r="E62">
        <v>1</v>
      </c>
      <c r="F62">
        <v>1</v>
      </c>
      <c r="G62" s="5">
        <v>3.5879629629629629E-6</v>
      </c>
      <c r="H62" s="5">
        <v>6.9452546296296293E-3</v>
      </c>
      <c r="I62" s="5">
        <v>6.9452546296296293E-3</v>
      </c>
      <c r="J62" s="5">
        <v>3.5879629629629629E-6</v>
      </c>
      <c r="P62" s="1"/>
      <c r="R62" s="2">
        <v>4</v>
      </c>
      <c r="S62" cm="1">
        <f t="array" aca="1" ref="S62" ca="1">_xlfn.MAXIFS(COL(bench,"wine"), COL(bench,"model"), $R62, COL(bench,"instance"), INDEX($Q:$Q, ROW()-$R62), COL(bench,"time"),"&lt;="&amp;S$1)</f>
        <v>0</v>
      </c>
      <c r="T62" cm="1">
        <f t="array" aca="1" ref="T62" ca="1">_xlfn.MAXIFS(COL(bench,"wine"), COL(bench,"model"), $R62, COL(bench,"instance"), INDEX($Q:$Q, ROW()-$R62), COL(bench,"time"),"&lt;="&amp;T$1)-SUM($S62:S62)</f>
        <v>0</v>
      </c>
      <c r="U62" cm="1">
        <f t="array" aca="1" ref="U62" ca="1">_xlfn.MAXIFS(COL(bench,"wine"), COL(bench,"model"), $R62, COL(bench,"instance"), INDEX($Q:$Q, ROW()-$R62), COL(bench,"time"),"&lt;="&amp;U$1)-SUM($S62:T62)</f>
        <v>0</v>
      </c>
      <c r="V62" cm="1">
        <f t="array" aca="1" ref="V62" ca="1">_xlfn.MAXIFS(COL(bench,"wine"), COL(bench,"model"), $R62, COL(bench,"instance"), INDEX($Q:$Q, ROW()-$R62), COL(bench,"time"),"&lt;="&amp;V$1)-SUM($S62:U62)</f>
        <v>0</v>
      </c>
      <c r="W62" cm="1">
        <f t="array" aca="1" ref="W62" ca="1">_xlfn.MAXIFS(COL(bench,"wine"), COL(bench,"model"), $R62, COL(bench,"instance"), INDEX($Q:$Q, ROW()-$R62), COL(bench,"time"),"&lt;="&amp;W$1)-SUM($S62:V62)</f>
        <v>0</v>
      </c>
      <c r="X62" t="e" cm="1">
        <f t="array" ref="X62" xml:space="preserve"> _xlfn.LET(
  _xlpm.idx, _xlfn.XMATCH(1,
      (COL(summary,"model")=$R62)*(COL(summary,"instance")=INDEX($Q:$Q, ROW()-$R62))),
  IFERROR(INDEX(COL(summary,"objective"), _xlpm.idx), #N/A)
)</f>
        <v>#N/A</v>
      </c>
    </row>
    <row r="63" spans="1:29" x14ac:dyDescent="0.25">
      <c r="A63">
        <f ca="1">IF(_157721372917[[#This Row],[instance]]&lt;OFFSET(_157721372917[[#This Row],[instance]],-1,0), OFFSET(_157721372917[[#This Row],[model]],-1,0)+1, OFFSET(_157721372917[[#This Row],[model]],-1,0))</f>
        <v>1</v>
      </c>
      <c r="B63">
        <v>7</v>
      </c>
      <c r="C63" s="5">
        <v>8.3333333333333337E-6</v>
      </c>
      <c r="D63">
        <v>6</v>
      </c>
      <c r="E63">
        <v>2</v>
      </c>
      <c r="F63">
        <v>2</v>
      </c>
      <c r="G63" s="5">
        <v>3.5879629629629629E-6</v>
      </c>
      <c r="H63" s="5">
        <v>6.9452546296296293E-3</v>
      </c>
      <c r="I63" s="5">
        <v>6.9452546296296293E-3</v>
      </c>
      <c r="J63" s="5">
        <v>3.5879629629629629E-6</v>
      </c>
      <c r="P63" s="1"/>
      <c r="R63" s="2">
        <v>5</v>
      </c>
      <c r="S63" cm="1">
        <f t="array" aca="1" ref="S63" ca="1">_xlfn.MAXIFS(COL(bench,"wine"), COL(bench,"model"), $R63, COL(bench,"instance"), INDEX($Q:$Q, ROW()-$R63), COL(bench,"time"),"&lt;="&amp;S$1)</f>
        <v>22.25</v>
      </c>
      <c r="T63" cm="1">
        <f t="array" aca="1" ref="T63" ca="1">_xlfn.MAXIFS(COL(bench,"wine"), COL(bench,"model"), $R63, COL(bench,"instance"), INDEX($Q:$Q, ROW()-$R63), COL(bench,"time"),"&lt;="&amp;T$1)-SUM($S63:S63)</f>
        <v>0</v>
      </c>
      <c r="U63" cm="1">
        <f t="array" aca="1" ref="U63" ca="1">_xlfn.MAXIFS(COL(bench,"wine"), COL(bench,"model"), $R63, COL(bench,"instance"), INDEX($Q:$Q, ROW()-$R63), COL(bench,"time"),"&lt;="&amp;U$1)-SUM($S63:T63)</f>
        <v>0</v>
      </c>
      <c r="V63" cm="1">
        <f t="array" aca="1" ref="V63" ca="1">_xlfn.MAXIFS(COL(bench,"wine"), COL(bench,"model"), $R63, COL(bench,"instance"), INDEX($Q:$Q, ROW()-$R63), COL(bench,"time"),"&lt;="&amp;V$1)-SUM($S63:U63)</f>
        <v>0</v>
      </c>
      <c r="W63" cm="1">
        <f t="array" aca="1" ref="W63" ca="1">_xlfn.MAXIFS(COL(bench,"wine"), COL(bench,"model"), $R63, COL(bench,"instance"), INDEX($Q:$Q, ROW()-$R63), COL(bench,"time"),"&lt;="&amp;W$1)-SUM($S63:V63)</f>
        <v>0</v>
      </c>
      <c r="X63" t="e" cm="1">
        <f t="array" ref="X63" xml:space="preserve"> _xlfn.LET(
  _xlpm.idx, _xlfn.XMATCH(1,
      (COL(summary,"model")=$R63)*(COL(summary,"instance")=INDEX($Q:$Q, ROW()-$R63))),
  IFERROR(INDEX(COL(summary,"objective"), _xlpm.idx), #N/A)
)</f>
        <v>#N/A</v>
      </c>
    </row>
    <row r="64" spans="1:29" x14ac:dyDescent="0.25">
      <c r="A64">
        <f ca="1">IF(_157721372917[[#This Row],[instance]]&lt;OFFSET(_157721372917[[#This Row],[instance]],-1,0), OFFSET(_157721372917[[#This Row],[model]],-1,0)+1, OFFSET(_157721372917[[#This Row],[model]],-1,0))</f>
        <v>1</v>
      </c>
      <c r="B64">
        <v>7</v>
      </c>
      <c r="C64" s="5">
        <v>8.3333333333333337E-6</v>
      </c>
      <c r="D64">
        <v>7.5</v>
      </c>
      <c r="E64">
        <v>3</v>
      </c>
      <c r="F64">
        <v>3</v>
      </c>
      <c r="G64" s="5">
        <v>3.5879629629629629E-6</v>
      </c>
      <c r="H64" s="5">
        <v>6.9452546296296293E-3</v>
      </c>
      <c r="I64" s="5">
        <v>6.9452546296296293E-3</v>
      </c>
      <c r="J64" s="5">
        <v>3.5879629629629629E-6</v>
      </c>
      <c r="P64" s="1"/>
    </row>
    <row r="65" spans="1:24" x14ac:dyDescent="0.25">
      <c r="A65">
        <f ca="1">IF(_157721372917[[#This Row],[instance]]&lt;OFFSET(_157721372917[[#This Row],[instance]],-1,0), OFFSET(_157721372917[[#This Row],[model]],-1,0)+1, OFFSET(_157721372917[[#This Row],[model]],-1,0))</f>
        <v>1</v>
      </c>
      <c r="B65">
        <v>7</v>
      </c>
      <c r="C65" s="5">
        <v>8.7962962962962956E-6</v>
      </c>
      <c r="D65">
        <v>9</v>
      </c>
      <c r="E65">
        <v>3</v>
      </c>
      <c r="F65">
        <v>3</v>
      </c>
      <c r="G65" s="5">
        <v>3.5879629629629629E-6</v>
      </c>
      <c r="H65" s="5">
        <v>6.9452546296296293E-3</v>
      </c>
      <c r="I65" s="5">
        <v>6.9452546296296293E-3</v>
      </c>
      <c r="J65" s="5">
        <v>3.5879629629629629E-6</v>
      </c>
      <c r="P65" s="1"/>
      <c r="Q65">
        <v>10</v>
      </c>
    </row>
    <row r="66" spans="1:24" x14ac:dyDescent="0.25">
      <c r="A66">
        <f ca="1">IF(_157721372917[[#This Row],[instance]]&lt;OFFSET(_157721372917[[#This Row],[instance]],-1,0), OFFSET(_157721372917[[#This Row],[model]],-1,0)+1, OFFSET(_157721372917[[#This Row],[model]],-1,0))</f>
        <v>1</v>
      </c>
      <c r="B66">
        <v>7</v>
      </c>
      <c r="C66" s="5">
        <v>8.7962962962962956E-6</v>
      </c>
      <c r="D66">
        <v>10.5</v>
      </c>
      <c r="E66">
        <v>4</v>
      </c>
      <c r="F66">
        <v>4</v>
      </c>
      <c r="G66" s="5">
        <v>3.5879629629629629E-6</v>
      </c>
      <c r="H66" s="5">
        <v>6.9452546296296293E-3</v>
      </c>
      <c r="I66" s="5">
        <v>6.9452546296296293E-3</v>
      </c>
      <c r="J66" s="5">
        <v>3.5879629629629629E-6</v>
      </c>
      <c r="P66" s="1"/>
      <c r="R66" s="2">
        <v>1</v>
      </c>
      <c r="S66" cm="1">
        <f t="array" aca="1" ref="S66" ca="1">_xlfn.MAXIFS(COL(bench,"wine"), COL(bench,"model"), $R66, COL(bench,"instance"), INDEX($Q:$Q, ROW()-$R66), COL(bench,"time"),"&lt;="&amp;S$1)</f>
        <v>12</v>
      </c>
      <c r="T66" cm="1">
        <f t="array" aca="1" ref="T66" ca="1">_xlfn.MAXIFS(COL(bench,"wine"), COL(bench,"model"), $R66, COL(bench,"instance"), INDEX($Q:$Q, ROW()-$R66), COL(bench,"time"),"&lt;="&amp;T$1)-SUM($S66:S66)</f>
        <v>0</v>
      </c>
      <c r="U66" cm="1">
        <f t="array" aca="1" ref="U66" ca="1">_xlfn.MAXIFS(COL(bench,"wine"), COL(bench,"model"), $R66, COL(bench,"instance"), INDEX($Q:$Q, ROW()-$R66), COL(bench,"time"),"&lt;="&amp;U$1)-SUM($S66:T66)</f>
        <v>0</v>
      </c>
      <c r="V66" cm="1">
        <f t="array" aca="1" ref="V66" ca="1">_xlfn.MAXIFS(COL(bench,"wine"), COL(bench,"model"), $R66, COL(bench,"instance"), INDEX($Q:$Q, ROW()-$R66), COL(bench,"time"),"&lt;="&amp;V$1)-SUM($S66:U66)</f>
        <v>0</v>
      </c>
      <c r="W66" cm="1">
        <f t="array" aca="1" ref="W66" ca="1">_xlfn.MAXIFS(COL(bench,"wine"), COL(bench,"model"), $R66, COL(bench,"instance"), INDEX($Q:$Q, ROW()-$R66), COL(bench,"time"),"&lt;="&amp;W$1)-SUM($S66:V66)</f>
        <v>0</v>
      </c>
      <c r="X66" t="e" cm="1">
        <f t="array" ref="X66" xml:space="preserve"> _xlfn.LET(
  _xlpm.idx, _xlfn.XMATCH(1,
      (COL(summary,"model")=$R66)*(COL(summary,"instance")=INDEX($Q:$Q, ROW()-$R66))),
  IFERROR(INDEX(COL(summary,"objective"), _xlpm.idx), #N/A)
)</f>
        <v>#N/A</v>
      </c>
    </row>
    <row r="67" spans="1:24" x14ac:dyDescent="0.25">
      <c r="A67">
        <f ca="1">IF(_157721372917[[#This Row],[instance]]&lt;OFFSET(_157721372917[[#This Row],[instance]],-1,0), OFFSET(_157721372917[[#This Row],[model]],-1,0)+1, OFFSET(_157721372917[[#This Row],[model]],-1,0))</f>
        <v>1</v>
      </c>
      <c r="B67">
        <v>7</v>
      </c>
      <c r="C67" s="5">
        <v>1.0763888888888888E-5</v>
      </c>
      <c r="D67">
        <v>12</v>
      </c>
      <c r="E67">
        <v>5</v>
      </c>
      <c r="F67">
        <v>4</v>
      </c>
      <c r="G67" s="5">
        <v>3.5879629629629629E-6</v>
      </c>
      <c r="H67" s="5">
        <v>6.9452546296296293E-3</v>
      </c>
      <c r="I67" s="5">
        <v>6.9452546296296293E-3</v>
      </c>
      <c r="J67" s="5">
        <v>3.5879629629629629E-6</v>
      </c>
      <c r="P67" s="1"/>
      <c r="R67" s="2">
        <v>2</v>
      </c>
      <c r="S67" cm="1">
        <f t="array" aca="1" ref="S67" ca="1">_xlfn.MAXIFS(COL(bench,"wine"), COL(bench,"model"), $R67, COL(bench,"instance"), INDEX($Q:$Q, ROW()-$R67), COL(bench,"time"),"&lt;="&amp;S$1)</f>
        <v>12</v>
      </c>
      <c r="T67" cm="1">
        <f t="array" aca="1" ref="T67" ca="1">_xlfn.MAXIFS(COL(bench,"wine"), COL(bench,"model"), $R67, COL(bench,"instance"), INDEX($Q:$Q, ROW()-$R67), COL(bench,"time"),"&lt;="&amp;T$1)-SUM($S67:S67)</f>
        <v>0</v>
      </c>
      <c r="U67" cm="1">
        <f t="array" aca="1" ref="U67" ca="1">_xlfn.MAXIFS(COL(bench,"wine"), COL(bench,"model"), $R67, COL(bench,"instance"), INDEX($Q:$Q, ROW()-$R67), COL(bench,"time"),"&lt;="&amp;U$1)-SUM($S67:T67)</f>
        <v>0</v>
      </c>
      <c r="V67" cm="1">
        <f t="array" aca="1" ref="V67" ca="1">_xlfn.MAXIFS(COL(bench,"wine"), COL(bench,"model"), $R67, COL(bench,"instance"), INDEX($Q:$Q, ROW()-$R67), COL(bench,"time"),"&lt;="&amp;V$1)-SUM($S67:U67)</f>
        <v>0</v>
      </c>
      <c r="W67" cm="1">
        <f t="array" aca="1" ref="W67" ca="1">_xlfn.MAXIFS(COL(bench,"wine"), COL(bench,"model"), $R67, COL(bench,"instance"), INDEX($Q:$Q, ROW()-$R67), COL(bench,"time"),"&lt;="&amp;W$1)-SUM($S67:V67)</f>
        <v>0</v>
      </c>
      <c r="X67" t="e" cm="1">
        <f t="array" ref="X67" xml:space="preserve"> _xlfn.LET(
  _xlpm.idx, _xlfn.XMATCH(1,
      (COL(summary,"model")=$R67)*(COL(summary,"instance")=INDEX($Q:$Q, ROW()-$R67))),
  IFERROR(INDEX(COL(summary,"objective"), _xlpm.idx), #N/A)
)</f>
        <v>#N/A</v>
      </c>
    </row>
    <row r="68" spans="1:24" x14ac:dyDescent="0.25">
      <c r="A68">
        <f ca="1">IF(_157721372917[[#This Row],[instance]]&lt;OFFSET(_157721372917[[#This Row],[instance]],-1,0), OFFSET(_157721372917[[#This Row],[model]],-1,0)+1, OFFSET(_157721372917[[#This Row],[model]],-1,0))</f>
        <v>1</v>
      </c>
      <c r="B68">
        <v>7</v>
      </c>
      <c r="C68" s="5">
        <v>2.3611111111111111E-5</v>
      </c>
      <c r="D68">
        <v>13.5</v>
      </c>
      <c r="E68">
        <v>6</v>
      </c>
      <c r="F68">
        <v>5</v>
      </c>
      <c r="G68" s="5">
        <v>3.5879629629629629E-6</v>
      </c>
      <c r="H68" s="5">
        <v>6.9452546296296293E-3</v>
      </c>
      <c r="I68" s="5">
        <v>6.9452546296296293E-3</v>
      </c>
      <c r="J68" s="5">
        <v>3.5879629629629629E-6</v>
      </c>
      <c r="P68" s="1"/>
      <c r="R68" s="2">
        <v>3</v>
      </c>
      <c r="S68" cm="1">
        <f t="array" aca="1" ref="S68" ca="1">_xlfn.MAXIFS(COL(bench,"wine"), COL(bench,"model"), $R68, COL(bench,"instance"), INDEX($Q:$Q, ROW()-$R68), COL(bench,"time"),"&lt;="&amp;S$1)</f>
        <v>3</v>
      </c>
      <c r="T68" cm="1">
        <f t="array" aca="1" ref="T68" ca="1">_xlfn.MAXIFS(COL(bench,"wine"), COL(bench,"model"), $R68, COL(bench,"instance"), INDEX($Q:$Q, ROW()-$R68), COL(bench,"time"),"&lt;="&amp;T$1)-SUM($S68:S68)</f>
        <v>0</v>
      </c>
      <c r="U68" cm="1">
        <f t="array" aca="1" ref="U68" ca="1">_xlfn.MAXIFS(COL(bench,"wine"), COL(bench,"model"), $R68, COL(bench,"instance"), INDEX($Q:$Q, ROW()-$R68), COL(bench,"time"),"&lt;="&amp;U$1)-SUM($S68:T68)</f>
        <v>0</v>
      </c>
      <c r="V68" cm="1">
        <f t="array" aca="1" ref="V68" ca="1">_xlfn.MAXIFS(COL(bench,"wine"), COL(bench,"model"), $R68, COL(bench,"instance"), INDEX($Q:$Q, ROW()-$R68), COL(bench,"time"),"&lt;="&amp;V$1)-SUM($S68:U68)</f>
        <v>0</v>
      </c>
      <c r="W68" cm="1">
        <f t="array" aca="1" ref="W68" ca="1">_xlfn.MAXIFS(COL(bench,"wine"), COL(bench,"model"), $R68, COL(bench,"instance"), INDEX($Q:$Q, ROW()-$R68), COL(bench,"time"),"&lt;="&amp;W$1)-SUM($S68:V68)</f>
        <v>0</v>
      </c>
      <c r="X68" t="e" cm="1">
        <f t="array" ref="X68" xml:space="preserve"> _xlfn.LET(
  _xlpm.idx, _xlfn.XMATCH(1,
      (COL(summary,"model")=$R68)*(COL(summary,"instance")=INDEX($Q:$Q, ROW()-$R68))),
  IFERROR(INDEX(COL(summary,"objective"), _xlpm.idx), #N/A)
)</f>
        <v>#N/A</v>
      </c>
    </row>
    <row r="69" spans="1:24" x14ac:dyDescent="0.25">
      <c r="A69">
        <f ca="1">IF(_157721372917[[#This Row],[instance]]&lt;OFFSET(_157721372917[[#This Row],[instance]],-1,0), OFFSET(_157721372917[[#This Row],[model]],-1,0)+1, OFFSET(_157721372917[[#This Row],[model]],-1,0))</f>
        <v>1</v>
      </c>
      <c r="B69">
        <v>7</v>
      </c>
      <c r="C69" s="5">
        <v>4.2453703703703702E-4</v>
      </c>
      <c r="D69">
        <v>15</v>
      </c>
      <c r="E69">
        <v>8</v>
      </c>
      <c r="F69">
        <v>7</v>
      </c>
      <c r="G69" s="5">
        <v>3.5879629629629629E-6</v>
      </c>
      <c r="H69" s="5">
        <v>6.9452546296296293E-3</v>
      </c>
      <c r="I69" s="5">
        <v>6.9452546296296293E-3</v>
      </c>
      <c r="J69" s="5">
        <v>3.5879629629629629E-6</v>
      </c>
      <c r="P69" s="1"/>
      <c r="R69" s="2">
        <v>4</v>
      </c>
      <c r="S69" cm="1">
        <f t="array" aca="1" ref="S69" ca="1">_xlfn.MAXIFS(COL(bench,"wine"), COL(bench,"model"), $R69, COL(bench,"instance"), INDEX($Q:$Q, ROW()-$R69), COL(bench,"time"),"&lt;="&amp;S$1)</f>
        <v>1.5</v>
      </c>
      <c r="T69" cm="1">
        <f t="array" aca="1" ref="T69" ca="1">_xlfn.MAXIFS(COL(bench,"wine"), COL(bench,"model"), $R69, COL(bench,"instance"), INDEX($Q:$Q, ROW()-$R69), COL(bench,"time"),"&lt;="&amp;T$1)-SUM($S69:S69)</f>
        <v>0</v>
      </c>
      <c r="U69" cm="1">
        <f t="array" aca="1" ref="U69" ca="1">_xlfn.MAXIFS(COL(bench,"wine"), COL(bench,"model"), $R69, COL(bench,"instance"), INDEX($Q:$Q, ROW()-$R69), COL(bench,"time"),"&lt;="&amp;U$1)-SUM($S69:T69)</f>
        <v>0</v>
      </c>
      <c r="V69" cm="1">
        <f t="array" aca="1" ref="V69" ca="1">_xlfn.MAXIFS(COL(bench,"wine"), COL(bench,"model"), $R69, COL(bench,"instance"), INDEX($Q:$Q, ROW()-$R69), COL(bench,"time"),"&lt;="&amp;V$1)-SUM($S69:U69)</f>
        <v>0</v>
      </c>
      <c r="W69" cm="1">
        <f t="array" aca="1" ref="W69" ca="1">_xlfn.MAXIFS(COL(bench,"wine"), COL(bench,"model"), $R69, COL(bench,"instance"), INDEX($Q:$Q, ROW()-$R69), COL(bench,"time"),"&lt;="&amp;W$1)-SUM($S69:V69)</f>
        <v>0</v>
      </c>
      <c r="X69" t="e" cm="1">
        <f t="array" ref="X69" xml:space="preserve"> _xlfn.LET(
  _xlpm.idx, _xlfn.XMATCH(1,
      (COL(summary,"model")=$R69)*(COL(summary,"instance")=INDEX($Q:$Q, ROW()-$R69))),
  IFERROR(INDEX(COL(summary,"objective"), _xlpm.idx), #N/A)
)</f>
        <v>#N/A</v>
      </c>
    </row>
    <row r="70" spans="1:24" x14ac:dyDescent="0.25">
      <c r="A70">
        <f ca="1">IF(_157721372917[[#This Row],[instance]]&lt;OFFSET(_157721372917[[#This Row],[instance]],-1,0), OFFSET(_157721372917[[#This Row],[model]],-1,0)+1, OFFSET(_157721372917[[#This Row],[model]],-1,0))</f>
        <v>1</v>
      </c>
      <c r="B70">
        <v>7</v>
      </c>
      <c r="C70" s="5">
        <v>4.5023148148148147E-4</v>
      </c>
      <c r="D70">
        <v>15</v>
      </c>
      <c r="E70">
        <v>8</v>
      </c>
      <c r="F70">
        <v>6</v>
      </c>
      <c r="G70" s="5">
        <v>3.5879629629629629E-6</v>
      </c>
      <c r="H70" s="5">
        <v>6.9452546296296293E-3</v>
      </c>
      <c r="I70" s="5">
        <v>6.9452546296296293E-3</v>
      </c>
      <c r="J70" s="5">
        <v>3.5879629629629629E-6</v>
      </c>
      <c r="P70" s="1"/>
      <c r="R70" s="2">
        <v>5</v>
      </c>
      <c r="S70" cm="1">
        <f t="array" aca="1" ref="S70" ca="1">_xlfn.MAXIFS(COL(bench,"wine"), COL(bench,"model"), $R70, COL(bench,"instance"), INDEX($Q:$Q, ROW()-$R70), COL(bench,"time"),"&lt;="&amp;S$1)</f>
        <v>13.5</v>
      </c>
      <c r="T70" cm="1">
        <f t="array" aca="1" ref="T70" ca="1">_xlfn.MAXIFS(COL(bench,"wine"), COL(bench,"model"), $R70, COL(bench,"instance"), INDEX($Q:$Q, ROW()-$R70), COL(bench,"time"),"&lt;="&amp;T$1)-SUM($S70:S70)</f>
        <v>0</v>
      </c>
      <c r="U70" cm="1">
        <f t="array" aca="1" ref="U70" ca="1">_xlfn.MAXIFS(COL(bench,"wine"), COL(bench,"model"), $R70, COL(bench,"instance"), INDEX($Q:$Q, ROW()-$R70), COL(bench,"time"),"&lt;="&amp;U$1)-SUM($S70:T70)</f>
        <v>0</v>
      </c>
      <c r="V70" cm="1">
        <f t="array" aca="1" ref="V70" ca="1">_xlfn.MAXIFS(COL(bench,"wine"), COL(bench,"model"), $R70, COL(bench,"instance"), INDEX($Q:$Q, ROW()-$R70), COL(bench,"time"),"&lt;="&amp;V$1)-SUM($S70:U70)</f>
        <v>0</v>
      </c>
      <c r="W70" cm="1">
        <f t="array" aca="1" ref="W70" ca="1">_xlfn.MAXIFS(COL(bench,"wine"), COL(bench,"model"), $R70, COL(bench,"instance"), INDEX($Q:$Q, ROW()-$R70), COL(bench,"time"),"&lt;="&amp;W$1)-SUM($S70:V70)</f>
        <v>0</v>
      </c>
      <c r="X70" t="e" cm="1">
        <f t="array" ref="X70" xml:space="preserve"> _xlfn.LET(
  _xlpm.idx, _xlfn.XMATCH(1,
      (COL(summary,"model")=$R70)*(COL(summary,"instance")=INDEX($Q:$Q, ROW()-$R70))),
  IFERROR(INDEX(COL(summary,"objective"), _xlpm.idx), #N/A)
)</f>
        <v>#N/A</v>
      </c>
    </row>
    <row r="71" spans="1:24" x14ac:dyDescent="0.25">
      <c r="A71">
        <f ca="1">IF(_157721372917[[#This Row],[instance]]&lt;OFFSET(_157721372917[[#This Row],[instance]],-1,0), OFFSET(_157721372917[[#This Row],[model]],-1,0)+1, OFFSET(_157721372917[[#This Row],[model]],-1,0))</f>
        <v>1</v>
      </c>
      <c r="B71">
        <v>7</v>
      </c>
      <c r="C71" s="5">
        <v>4.5034722222222221E-4</v>
      </c>
      <c r="D71">
        <v>15</v>
      </c>
      <c r="E71">
        <v>7</v>
      </c>
      <c r="F71">
        <v>5</v>
      </c>
      <c r="G71" s="5">
        <v>3.5879629629629629E-6</v>
      </c>
      <c r="H71" s="5">
        <v>6.9452546296296293E-3</v>
      </c>
      <c r="I71" s="5">
        <v>6.9452546296296293E-3</v>
      </c>
      <c r="J71" s="5">
        <v>3.5879629629629629E-6</v>
      </c>
      <c r="P71" s="1"/>
    </row>
    <row r="72" spans="1:24" x14ac:dyDescent="0.25">
      <c r="A72">
        <f ca="1">IF(_157721372917[[#This Row],[instance]]&lt;OFFSET(_157721372917[[#This Row],[instance]],-1,0), OFFSET(_157721372917[[#This Row],[model]],-1,0)+1, OFFSET(_157721372917[[#This Row],[model]],-1,0))</f>
        <v>1</v>
      </c>
      <c r="B72">
        <v>7</v>
      </c>
      <c r="C72" s="5">
        <v>2.4273148148148149E-3</v>
      </c>
      <c r="D72">
        <v>16.5</v>
      </c>
      <c r="E72">
        <v>8</v>
      </c>
      <c r="F72">
        <v>7</v>
      </c>
      <c r="G72" s="5">
        <v>3.5879629629629629E-6</v>
      </c>
      <c r="H72" s="5">
        <v>6.9452546296296293E-3</v>
      </c>
      <c r="I72" s="5">
        <v>6.9452546296296293E-3</v>
      </c>
      <c r="J72" s="5">
        <v>3.5879629629629629E-6</v>
      </c>
      <c r="P72" s="1"/>
      <c r="Q72">
        <v>11</v>
      </c>
    </row>
    <row r="73" spans="1:24" x14ac:dyDescent="0.25">
      <c r="A73">
        <f ca="1">IF(_157721372917[[#This Row],[instance]]&lt;OFFSET(_157721372917[[#This Row],[instance]],-1,0), OFFSET(_157721372917[[#This Row],[model]],-1,0)+1, OFFSET(_157721372917[[#This Row],[model]],-1,0))</f>
        <v>1</v>
      </c>
      <c r="B73">
        <v>7</v>
      </c>
      <c r="C73" s="5">
        <v>2.4390046296296295E-3</v>
      </c>
      <c r="D73">
        <v>16.5</v>
      </c>
      <c r="E73">
        <v>8</v>
      </c>
      <c r="F73">
        <v>6</v>
      </c>
      <c r="G73" s="5">
        <v>3.5879629629629629E-6</v>
      </c>
      <c r="H73" s="5">
        <v>6.9452546296296293E-3</v>
      </c>
      <c r="I73" s="5">
        <v>6.9452546296296293E-3</v>
      </c>
      <c r="J73" s="5">
        <v>3.5879629629629629E-6</v>
      </c>
      <c r="P73" s="1"/>
      <c r="R73" s="2">
        <v>1</v>
      </c>
      <c r="S73" cm="1">
        <f t="array" aca="1" ref="S73" ca="1">_xlfn.MAXIFS(COL(bench,"wine"), COL(bench,"model"), $R73, COL(bench,"instance"), INDEX($Q:$Q, ROW()-$R73), COL(bench,"time"),"&lt;="&amp;S$1)</f>
        <v>2</v>
      </c>
      <c r="T73" cm="1">
        <f t="array" aca="1" ref="T73" ca="1">_xlfn.MAXIFS(COL(bench,"wine"), COL(bench,"model"), $R73, COL(bench,"instance"), INDEX($Q:$Q, ROW()-$R73), COL(bench,"time"),"&lt;="&amp;T$1)-SUM($S73:S73)</f>
        <v>6</v>
      </c>
      <c r="U73" cm="1">
        <f t="array" aca="1" ref="U73" ca="1">_xlfn.MAXIFS(COL(bench,"wine"), COL(bench,"model"), $R73, COL(bench,"instance"), INDEX($Q:$Q, ROW()-$R73), COL(bench,"time"),"&lt;="&amp;U$1)-SUM($S73:T73)</f>
        <v>0</v>
      </c>
      <c r="V73" cm="1">
        <f t="array" aca="1" ref="V73" ca="1">_xlfn.MAXIFS(COL(bench,"wine"), COL(bench,"model"), $R73, COL(bench,"instance"), INDEX($Q:$Q, ROW()-$R73), COL(bench,"time"),"&lt;="&amp;V$1)-SUM($S73:U73)</f>
        <v>0</v>
      </c>
      <c r="W73" cm="1">
        <f t="array" aca="1" ref="W73" ca="1">_xlfn.MAXIFS(COL(bench,"wine"), COL(bench,"model"), $R73, COL(bench,"instance"), INDEX($Q:$Q, ROW()-$R73), COL(bench,"time"),"&lt;="&amp;W$1)-SUM($S73:V73)</f>
        <v>0</v>
      </c>
      <c r="X73" t="e" cm="1">
        <f t="array" ref="X73" xml:space="preserve"> _xlfn.LET(
  _xlpm.idx, _xlfn.XMATCH(1,
      (COL(summary,"model")=$R73)*(COL(summary,"instance")=INDEX($Q:$Q, ROW()-$R73))),
  IFERROR(INDEX(COL(summary,"objective"), _xlpm.idx), #N/A)
)</f>
        <v>#N/A</v>
      </c>
    </row>
    <row r="74" spans="1:24" x14ac:dyDescent="0.25">
      <c r="A74">
        <f ca="1">IF(_157721372917[[#This Row],[instance]]&lt;OFFSET(_157721372917[[#This Row],[instance]],-1,0), OFFSET(_157721372917[[#This Row],[model]],-1,0)+1, OFFSET(_157721372917[[#This Row],[model]],-1,0))</f>
        <v>1</v>
      </c>
      <c r="B74">
        <v>8</v>
      </c>
      <c r="C74" s="5">
        <v>8.217592592592592E-6</v>
      </c>
      <c r="D74">
        <v>0</v>
      </c>
      <c r="E74">
        <v>0</v>
      </c>
      <c r="F74">
        <v>0</v>
      </c>
      <c r="G74" s="5">
        <v>3.7037037037037037E-6</v>
      </c>
      <c r="H74" s="5">
        <v>6.9452546296296293E-3</v>
      </c>
      <c r="I74" s="5">
        <v>6.9452546296296293E-3</v>
      </c>
      <c r="J74" s="5">
        <v>3.5879629629629629E-6</v>
      </c>
      <c r="P74" s="1"/>
      <c r="R74" s="2">
        <v>2</v>
      </c>
      <c r="S74" cm="1">
        <f t="array" aca="1" ref="S74" ca="1">_xlfn.MAXIFS(COL(bench,"wine"), COL(bench,"model"), $R74, COL(bench,"instance"), INDEX($Q:$Q, ROW()-$R74), COL(bench,"time"),"&lt;="&amp;S$1)</f>
        <v>9</v>
      </c>
      <c r="T74" cm="1">
        <f t="array" aca="1" ref="T74" ca="1">_xlfn.MAXIFS(COL(bench,"wine"), COL(bench,"model"), $R74, COL(bench,"instance"), INDEX($Q:$Q, ROW()-$R74), COL(bench,"time"),"&lt;="&amp;T$1)-SUM($S74:S74)</f>
        <v>0</v>
      </c>
      <c r="U74" cm="1">
        <f t="array" aca="1" ref="U74" ca="1">_xlfn.MAXIFS(COL(bench,"wine"), COL(bench,"model"), $R74, COL(bench,"instance"), INDEX($Q:$Q, ROW()-$R74), COL(bench,"time"),"&lt;="&amp;U$1)-SUM($S74:T74)</f>
        <v>0</v>
      </c>
      <c r="V74" cm="1">
        <f t="array" aca="1" ref="V74" ca="1">_xlfn.MAXIFS(COL(bench,"wine"), COL(bench,"model"), $R74, COL(bench,"instance"), INDEX($Q:$Q, ROW()-$R74), COL(bench,"time"),"&lt;="&amp;V$1)-SUM($S74:U74)</f>
        <v>0</v>
      </c>
      <c r="W74" cm="1">
        <f t="array" aca="1" ref="W74" ca="1">_xlfn.MAXIFS(COL(bench,"wine"), COL(bench,"model"), $R74, COL(bench,"instance"), INDEX($Q:$Q, ROW()-$R74), COL(bench,"time"),"&lt;="&amp;W$1)-SUM($S74:V74)</f>
        <v>0</v>
      </c>
      <c r="X74" t="e" cm="1">
        <f t="array" ref="X74" xml:space="preserve"> _xlfn.LET(
  _xlpm.idx, _xlfn.XMATCH(1,
      (COL(summary,"model")=$R74)*(COL(summary,"instance")=INDEX($Q:$Q, ROW()-$R74))),
  IFERROR(INDEX(COL(summary,"objective"), _xlpm.idx), #N/A)
)</f>
        <v>#N/A</v>
      </c>
    </row>
    <row r="75" spans="1:24" x14ac:dyDescent="0.25">
      <c r="A75">
        <f ca="1">IF(_157721372917[[#This Row],[instance]]&lt;OFFSET(_157721372917[[#This Row],[instance]],-1,0), OFFSET(_157721372917[[#This Row],[model]],-1,0)+1, OFFSET(_157721372917[[#This Row],[model]],-1,0))</f>
        <v>1</v>
      </c>
      <c r="B75">
        <v>8</v>
      </c>
      <c r="C75" s="5">
        <v>8.217592592592592E-6</v>
      </c>
      <c r="D75">
        <v>1.5</v>
      </c>
      <c r="E75">
        <v>1</v>
      </c>
      <c r="F75">
        <v>1</v>
      </c>
      <c r="G75" s="5">
        <v>3.7037037037037037E-6</v>
      </c>
      <c r="H75" s="5">
        <v>6.9452546296296293E-3</v>
      </c>
      <c r="I75" s="5">
        <v>6.9452546296296293E-3</v>
      </c>
      <c r="J75" s="5">
        <v>3.5879629629629629E-6</v>
      </c>
      <c r="P75" s="1"/>
      <c r="R75" s="2">
        <v>3</v>
      </c>
      <c r="S75" cm="1">
        <f t="array" aca="1" ref="S75" ca="1">_xlfn.MAXIFS(COL(bench,"wine"), COL(bench,"model"), $R75, COL(bench,"instance"), INDEX($Q:$Q, ROW()-$R75), COL(bench,"time"),"&lt;="&amp;S$1)</f>
        <v>0</v>
      </c>
      <c r="T75" cm="1">
        <f t="array" aca="1" ref="T75" ca="1">_xlfn.MAXIFS(COL(bench,"wine"), COL(bench,"model"), $R75, COL(bench,"instance"), INDEX($Q:$Q, ROW()-$R75), COL(bench,"time"),"&lt;="&amp;T$1)-SUM($S75:S75)</f>
        <v>0</v>
      </c>
      <c r="U75" cm="1">
        <f t="array" aca="1" ref="U75" ca="1">_xlfn.MAXIFS(COL(bench,"wine"), COL(bench,"model"), $R75, COL(bench,"instance"), INDEX($Q:$Q, ROW()-$R75), COL(bench,"time"),"&lt;="&amp;U$1)-SUM($S75:T75)</f>
        <v>0</v>
      </c>
      <c r="V75" cm="1">
        <f t="array" aca="1" ref="V75" ca="1">_xlfn.MAXIFS(COL(bench,"wine"), COL(bench,"model"), $R75, COL(bench,"instance"), INDEX($Q:$Q, ROW()-$R75), COL(bench,"time"),"&lt;="&amp;V$1)-SUM($S75:U75)</f>
        <v>0</v>
      </c>
      <c r="W75" cm="1">
        <f t="array" aca="1" ref="W75" ca="1">_xlfn.MAXIFS(COL(bench,"wine"), COL(bench,"model"), $R75, COL(bench,"instance"), INDEX($Q:$Q, ROW()-$R75), COL(bench,"time"),"&lt;="&amp;W$1)-SUM($S75:V75)</f>
        <v>0</v>
      </c>
      <c r="X75" t="e" cm="1">
        <f t="array" ref="X75" xml:space="preserve"> _xlfn.LET(
  _xlpm.idx, _xlfn.XMATCH(1,
      (COL(summary,"model")=$R75)*(COL(summary,"instance")=INDEX($Q:$Q, ROW()-$R75))),
  IFERROR(INDEX(COL(summary,"objective"), _xlpm.idx), #N/A)
)</f>
        <v>#N/A</v>
      </c>
    </row>
    <row r="76" spans="1:24" x14ac:dyDescent="0.25">
      <c r="A76">
        <f ca="1">IF(_157721372917[[#This Row],[instance]]&lt;OFFSET(_157721372917[[#This Row],[instance]],-1,0), OFFSET(_157721372917[[#This Row],[model]],-1,0)+1, OFFSET(_157721372917[[#This Row],[model]],-1,0))</f>
        <v>1</v>
      </c>
      <c r="B76">
        <v>8</v>
      </c>
      <c r="C76" s="5">
        <v>8.217592592592592E-6</v>
      </c>
      <c r="D76">
        <v>3</v>
      </c>
      <c r="E76">
        <v>2</v>
      </c>
      <c r="F76">
        <v>2</v>
      </c>
      <c r="G76" s="5">
        <v>3.7037037037037037E-6</v>
      </c>
      <c r="H76" s="5">
        <v>6.9452546296296293E-3</v>
      </c>
      <c r="I76" s="5">
        <v>6.9452546296296293E-3</v>
      </c>
      <c r="J76" s="5">
        <v>3.5879629629629629E-6</v>
      </c>
      <c r="P76" s="1"/>
      <c r="R76" s="2">
        <v>4</v>
      </c>
      <c r="S76" cm="1">
        <f t="array" aca="1" ref="S76" ca="1">_xlfn.MAXIFS(COL(bench,"wine"), COL(bench,"model"), $R76, COL(bench,"instance"), INDEX($Q:$Q, ROW()-$R76), COL(bench,"time"),"&lt;="&amp;S$1)</f>
        <v>2.25</v>
      </c>
      <c r="T76" cm="1">
        <f t="array" aca="1" ref="T76" ca="1">_xlfn.MAXIFS(COL(bench,"wine"), COL(bench,"model"), $R76, COL(bench,"instance"), INDEX($Q:$Q, ROW()-$R76), COL(bench,"time"),"&lt;="&amp;T$1)-SUM($S76:S76)</f>
        <v>1</v>
      </c>
      <c r="U76" cm="1">
        <f t="array" aca="1" ref="U76" ca="1">_xlfn.MAXIFS(COL(bench,"wine"), COL(bench,"model"), $R76, COL(bench,"instance"), INDEX($Q:$Q, ROW()-$R76), COL(bench,"time"),"&lt;="&amp;U$1)-SUM($S76:T76)</f>
        <v>0</v>
      </c>
      <c r="V76" cm="1">
        <f t="array" aca="1" ref="V76" ca="1">_xlfn.MAXIFS(COL(bench,"wine"), COL(bench,"model"), $R76, COL(bench,"instance"), INDEX($Q:$Q, ROW()-$R76), COL(bench,"time"),"&lt;="&amp;V$1)-SUM($S76:U76)</f>
        <v>1</v>
      </c>
      <c r="W76" cm="1">
        <f t="array" aca="1" ref="W76" ca="1">_xlfn.MAXIFS(COL(bench,"wine"), COL(bench,"model"), $R76, COL(bench,"instance"), INDEX($Q:$Q, ROW()-$R76), COL(bench,"time"),"&lt;="&amp;W$1)-SUM($S76:V76)</f>
        <v>0</v>
      </c>
      <c r="X76" t="e" cm="1">
        <f t="array" ref="X76" xml:space="preserve"> _xlfn.LET(
  _xlpm.idx, _xlfn.XMATCH(1,
      (COL(summary,"model")=$R76)*(COL(summary,"instance")=INDEX($Q:$Q, ROW()-$R76))),
  IFERROR(INDEX(COL(summary,"objective"), _xlpm.idx), #N/A)
)</f>
        <v>#N/A</v>
      </c>
    </row>
    <row r="77" spans="1:24" x14ac:dyDescent="0.25">
      <c r="A77">
        <f ca="1">IF(_157721372917[[#This Row],[instance]]&lt;OFFSET(_157721372917[[#This Row],[instance]],-1,0), OFFSET(_157721372917[[#This Row],[model]],-1,0)+1, OFFSET(_157721372917[[#This Row],[model]],-1,0))</f>
        <v>1</v>
      </c>
      <c r="B77">
        <v>8</v>
      </c>
      <c r="C77" s="5">
        <v>8.217592592592592E-6</v>
      </c>
      <c r="D77">
        <v>3</v>
      </c>
      <c r="E77">
        <v>2</v>
      </c>
      <c r="F77">
        <v>1</v>
      </c>
      <c r="G77" s="5">
        <v>3.7037037037037037E-6</v>
      </c>
      <c r="H77" s="5">
        <v>6.9452546296296293E-3</v>
      </c>
      <c r="I77" s="5">
        <v>6.9452546296296293E-3</v>
      </c>
      <c r="J77" s="5">
        <v>3.5879629629629629E-6</v>
      </c>
      <c r="P77" s="1"/>
      <c r="R77" s="2">
        <v>5</v>
      </c>
      <c r="S77" cm="1">
        <f t="array" aca="1" ref="S77" ca="1">_xlfn.MAXIFS(COL(bench,"wine"), COL(bench,"model"), $R77, COL(bench,"instance"), INDEX($Q:$Q, ROW()-$R77), COL(bench,"time"),"&lt;="&amp;S$1)</f>
        <v>11.25</v>
      </c>
      <c r="T77" cm="1">
        <f t="array" aca="1" ref="T77" ca="1">_xlfn.MAXIFS(COL(bench,"wine"), COL(bench,"model"), $R77, COL(bench,"instance"), INDEX($Q:$Q, ROW()-$R77), COL(bench,"time"),"&lt;="&amp;T$1)-SUM($S77:S77)</f>
        <v>0</v>
      </c>
      <c r="U77" cm="1">
        <f t="array" aca="1" ref="U77" ca="1">_xlfn.MAXIFS(COL(bench,"wine"), COL(bench,"model"), $R77, COL(bench,"instance"), INDEX($Q:$Q, ROW()-$R77), COL(bench,"time"),"&lt;="&amp;U$1)-SUM($S77:T77)</f>
        <v>0</v>
      </c>
      <c r="V77" cm="1">
        <f t="array" aca="1" ref="V77" ca="1">_xlfn.MAXIFS(COL(bench,"wine"), COL(bench,"model"), $R77, COL(bench,"instance"), INDEX($Q:$Q, ROW()-$R77), COL(bench,"time"),"&lt;="&amp;V$1)-SUM($S77:U77)</f>
        <v>0</v>
      </c>
      <c r="W77" cm="1">
        <f t="array" aca="1" ref="W77" ca="1">_xlfn.MAXIFS(COL(bench,"wine"), COL(bench,"model"), $R77, COL(bench,"instance"), INDEX($Q:$Q, ROW()-$R77), COL(bench,"time"),"&lt;="&amp;W$1)-SUM($S77:V77)</f>
        <v>0</v>
      </c>
      <c r="X77" cm="1">
        <f t="array" ref="X77" xml:space="preserve"> _xlfn.LET(
  _xlpm.idx, _xlfn.XMATCH(1,
      (COL(summary,"model")=$R77)*(COL(summary,"instance")=INDEX($Q:$Q, ROW()-$R77))),
  IFERROR(INDEX(COL(summary,"objective"), _xlpm.idx), #N/A)
)</f>
        <v>11.25</v>
      </c>
    </row>
    <row r="78" spans="1:24" x14ac:dyDescent="0.25">
      <c r="A78">
        <f ca="1">IF(_157721372917[[#This Row],[instance]]&lt;OFFSET(_157721372917[[#This Row],[instance]],-1,0), OFFSET(_157721372917[[#This Row],[model]],-1,0)+1, OFFSET(_157721372917[[#This Row],[model]],-1,0))</f>
        <v>1</v>
      </c>
      <c r="B78">
        <v>8</v>
      </c>
      <c r="C78" s="5">
        <v>8.3333333333333337E-6</v>
      </c>
      <c r="D78">
        <v>4.5</v>
      </c>
      <c r="E78">
        <v>3</v>
      </c>
      <c r="F78">
        <v>2</v>
      </c>
      <c r="G78" s="5">
        <v>3.7037037037037037E-6</v>
      </c>
      <c r="H78" s="5">
        <v>6.9452546296296293E-3</v>
      </c>
      <c r="I78" s="5">
        <v>6.9452546296296293E-3</v>
      </c>
      <c r="J78" s="5">
        <v>3.5879629629629629E-6</v>
      </c>
      <c r="P78" s="1"/>
    </row>
    <row r="79" spans="1:24" x14ac:dyDescent="0.25">
      <c r="A79">
        <f ca="1">IF(_157721372917[[#This Row],[instance]]&lt;OFFSET(_157721372917[[#This Row],[instance]],-1,0), OFFSET(_157721372917[[#This Row],[model]],-1,0)+1, OFFSET(_157721372917[[#This Row],[model]],-1,0))</f>
        <v>1</v>
      </c>
      <c r="B79">
        <v>8</v>
      </c>
      <c r="C79" s="5">
        <v>8.4490740740740738E-6</v>
      </c>
      <c r="D79">
        <v>6</v>
      </c>
      <c r="E79">
        <v>4</v>
      </c>
      <c r="F79">
        <v>3</v>
      </c>
      <c r="G79" s="5">
        <v>3.7037037037037037E-6</v>
      </c>
      <c r="H79" s="5">
        <v>6.9452546296296293E-3</v>
      </c>
      <c r="I79" s="5">
        <v>6.9452546296296293E-3</v>
      </c>
      <c r="J79" s="5">
        <v>3.5879629629629629E-6</v>
      </c>
      <c r="P79" s="1"/>
      <c r="Q79">
        <v>12</v>
      </c>
    </row>
    <row r="80" spans="1:24" x14ac:dyDescent="0.25">
      <c r="A80">
        <f ca="1">IF(_157721372917[[#This Row],[instance]]&lt;OFFSET(_157721372917[[#This Row],[instance]],-1,0), OFFSET(_157721372917[[#This Row],[model]],-1,0)+1, OFFSET(_157721372917[[#This Row],[model]],-1,0))</f>
        <v>1</v>
      </c>
      <c r="B80">
        <v>8</v>
      </c>
      <c r="C80" s="5">
        <v>8.4490740740740738E-6</v>
      </c>
      <c r="D80">
        <v>6</v>
      </c>
      <c r="E80">
        <v>4</v>
      </c>
      <c r="F80">
        <v>2</v>
      </c>
      <c r="G80" s="5">
        <v>3.7037037037037037E-6</v>
      </c>
      <c r="H80" s="5">
        <v>6.9452546296296293E-3</v>
      </c>
      <c r="I80" s="5">
        <v>6.9452546296296293E-3</v>
      </c>
      <c r="J80" s="5">
        <v>3.5879629629629629E-6</v>
      </c>
      <c r="P80" s="1"/>
      <c r="R80" s="2">
        <v>1</v>
      </c>
      <c r="S80" cm="1">
        <f t="array" aca="1" ref="S80" ca="1">_xlfn.MAXIFS(COL(bench,"wine"), COL(bench,"model"), $R80, COL(bench,"instance"), INDEX($Q:$Q, ROW()-$R80), COL(bench,"time"),"&lt;="&amp;S$1)</f>
        <v>6</v>
      </c>
      <c r="T80" cm="1">
        <f t="array" aca="1" ref="T80" ca="1">_xlfn.MAXIFS(COL(bench,"wine"), COL(bench,"model"), $R80, COL(bench,"instance"), INDEX($Q:$Q, ROW()-$R80), COL(bench,"time"),"&lt;="&amp;T$1)-SUM($S80:S80)</f>
        <v>10.125</v>
      </c>
      <c r="U80" cm="1">
        <f t="array" aca="1" ref="U80" ca="1">_xlfn.MAXIFS(COL(bench,"wine"), COL(bench,"model"), $R80, COL(bench,"instance"), INDEX($Q:$Q, ROW()-$R80), COL(bench,"time"),"&lt;="&amp;U$1)-SUM($S80:T80)</f>
        <v>0.375</v>
      </c>
      <c r="V80" cm="1">
        <f t="array" aca="1" ref="V80" ca="1">_xlfn.MAXIFS(COL(bench,"wine"), COL(bench,"model"), $R80, COL(bench,"instance"), INDEX($Q:$Q, ROW()-$R80), COL(bench,"time"),"&lt;="&amp;V$1)-SUM($S80:U80)</f>
        <v>0</v>
      </c>
      <c r="W80" cm="1">
        <f t="array" aca="1" ref="W80" ca="1">_xlfn.MAXIFS(COL(bench,"wine"), COL(bench,"model"), $R80, COL(bench,"instance"), INDEX($Q:$Q, ROW()-$R80), COL(bench,"time"),"&lt;="&amp;W$1)-SUM($S80:V80)</f>
        <v>0</v>
      </c>
      <c r="X80" t="e" cm="1">
        <f t="array" ref="X80" xml:space="preserve"> _xlfn.LET(
  _xlpm.idx, _xlfn.XMATCH(1,
      (COL(summary,"model")=$R80)*(COL(summary,"instance")=INDEX($Q:$Q, ROW()-$R80))),
  IFERROR(INDEX(COL(summary,"objective"), _xlpm.idx), #N/A)
)</f>
        <v>#N/A</v>
      </c>
    </row>
    <row r="81" spans="1:24" x14ac:dyDescent="0.25">
      <c r="A81">
        <f ca="1">IF(_157721372917[[#This Row],[instance]]&lt;OFFSET(_157721372917[[#This Row],[instance]],-1,0), OFFSET(_157721372917[[#This Row],[model]],-1,0)+1, OFFSET(_157721372917[[#This Row],[model]],-1,0))</f>
        <v>1</v>
      </c>
      <c r="B81">
        <v>8</v>
      </c>
      <c r="C81" s="5">
        <v>8.5648148148148138E-6</v>
      </c>
      <c r="D81">
        <v>6.75</v>
      </c>
      <c r="E81">
        <v>5</v>
      </c>
      <c r="F81">
        <v>2</v>
      </c>
      <c r="G81" s="5">
        <v>3.7037037037037037E-6</v>
      </c>
      <c r="H81" s="5">
        <v>6.9452546296296293E-3</v>
      </c>
      <c r="I81" s="5">
        <v>6.9452546296296293E-3</v>
      </c>
      <c r="J81" s="5">
        <v>3.5879629629629629E-6</v>
      </c>
      <c r="P81" s="1"/>
      <c r="R81" s="2">
        <v>2</v>
      </c>
      <c r="S81" cm="1">
        <f t="array" aca="1" ref="S81" ca="1">_xlfn.MAXIFS(COL(bench,"wine"), COL(bench,"model"), $R81, COL(bench,"instance"), INDEX($Q:$Q, ROW()-$R81), COL(bench,"time"),"&lt;="&amp;S$1)</f>
        <v>15</v>
      </c>
      <c r="T81" cm="1">
        <f t="array" aca="1" ref="T81" ca="1">_xlfn.MAXIFS(COL(bench,"wine"), COL(bench,"model"), $R81, COL(bench,"instance"), INDEX($Q:$Q, ROW()-$R81), COL(bench,"time"),"&lt;="&amp;T$1)-SUM($S81:S81)</f>
        <v>0</v>
      </c>
      <c r="U81" cm="1">
        <f t="array" aca="1" ref="U81" ca="1">_xlfn.MAXIFS(COL(bench,"wine"), COL(bench,"model"), $R81, COL(bench,"instance"), INDEX($Q:$Q, ROW()-$R81), COL(bench,"time"),"&lt;="&amp;U$1)-SUM($S81:T81)</f>
        <v>0</v>
      </c>
      <c r="V81" cm="1">
        <f t="array" aca="1" ref="V81" ca="1">_xlfn.MAXIFS(COL(bench,"wine"), COL(bench,"model"), $R81, COL(bench,"instance"), INDEX($Q:$Q, ROW()-$R81), COL(bench,"time"),"&lt;="&amp;V$1)-SUM($S81:U81)</f>
        <v>0</v>
      </c>
      <c r="W81" cm="1">
        <f t="array" aca="1" ref="W81" ca="1">_xlfn.MAXIFS(COL(bench,"wine"), COL(bench,"model"), $R81, COL(bench,"instance"), INDEX($Q:$Q, ROW()-$R81), COL(bench,"time"),"&lt;="&amp;W$1)-SUM($S81:V81)</f>
        <v>0</v>
      </c>
      <c r="X81" t="e" cm="1">
        <f t="array" ref="X81" xml:space="preserve"> _xlfn.LET(
  _xlpm.idx, _xlfn.XMATCH(1,
      (COL(summary,"model")=$R81)*(COL(summary,"instance")=INDEX($Q:$Q, ROW()-$R81))),
  IFERROR(INDEX(COL(summary,"objective"), _xlpm.idx), #N/A)
)</f>
        <v>#N/A</v>
      </c>
    </row>
    <row r="82" spans="1:24" x14ac:dyDescent="0.25">
      <c r="A82">
        <f ca="1">IF(_157721372917[[#This Row],[instance]]&lt;OFFSET(_157721372917[[#This Row],[instance]],-1,0), OFFSET(_157721372917[[#This Row],[model]],-1,0)+1, OFFSET(_157721372917[[#This Row],[model]],-1,0))</f>
        <v>1</v>
      </c>
      <c r="B82">
        <v>8</v>
      </c>
      <c r="C82" s="5">
        <v>8.5648148148148138E-6</v>
      </c>
      <c r="D82">
        <v>7.5</v>
      </c>
      <c r="E82">
        <v>5</v>
      </c>
      <c r="F82">
        <v>4</v>
      </c>
      <c r="G82" s="5">
        <v>3.7037037037037037E-6</v>
      </c>
      <c r="H82" s="5">
        <v>6.9452546296296293E-3</v>
      </c>
      <c r="I82" s="5">
        <v>6.9452546296296293E-3</v>
      </c>
      <c r="J82" s="5">
        <v>3.5879629629629629E-6</v>
      </c>
      <c r="P82" s="1"/>
      <c r="R82" s="2">
        <v>3</v>
      </c>
      <c r="S82" cm="1">
        <f t="array" aca="1" ref="S82" ca="1">_xlfn.MAXIFS(COL(bench,"wine"), COL(bench,"model"), $R82, COL(bench,"instance"), INDEX($Q:$Q, ROW()-$R82), COL(bench,"time"),"&lt;="&amp;S$1)</f>
        <v>19.625</v>
      </c>
      <c r="T82" cm="1">
        <f t="array" aca="1" ref="T82" ca="1">_xlfn.MAXIFS(COL(bench,"wine"), COL(bench,"model"), $R82, COL(bench,"instance"), INDEX($Q:$Q, ROW()-$R82), COL(bench,"time"),"&lt;="&amp;T$1)-SUM($S82:S82)</f>
        <v>0.375</v>
      </c>
      <c r="U82" cm="1">
        <f t="array" aca="1" ref="U82" ca="1">_xlfn.MAXIFS(COL(bench,"wine"), COL(bench,"model"), $R82, COL(bench,"instance"), INDEX($Q:$Q, ROW()-$R82), COL(bench,"time"),"&lt;="&amp;U$1)-SUM($S82:T82)</f>
        <v>0</v>
      </c>
      <c r="V82" cm="1">
        <f t="array" aca="1" ref="V82" ca="1">_xlfn.MAXIFS(COL(bench,"wine"), COL(bench,"model"), $R82, COL(bench,"instance"), INDEX($Q:$Q, ROW()-$R82), COL(bench,"time"),"&lt;="&amp;V$1)-SUM($S82:U82)</f>
        <v>0</v>
      </c>
      <c r="W82" cm="1">
        <f t="array" aca="1" ref="W82" ca="1">_xlfn.MAXIFS(COL(bench,"wine"), COL(bench,"model"), $R82, COL(bench,"instance"), INDEX($Q:$Q, ROW()-$R82), COL(bench,"time"),"&lt;="&amp;W$1)-SUM($S82:V82)</f>
        <v>0</v>
      </c>
      <c r="X82" t="e" cm="1">
        <f t="array" ref="X82" xml:space="preserve"> _xlfn.LET(
  _xlpm.idx, _xlfn.XMATCH(1,
      (COL(summary,"model")=$R82)*(COL(summary,"instance")=INDEX($Q:$Q, ROW()-$R82))),
  IFERROR(INDEX(COL(summary,"objective"), _xlpm.idx), #N/A)
)</f>
        <v>#N/A</v>
      </c>
    </row>
    <row r="83" spans="1:24" x14ac:dyDescent="0.25">
      <c r="A83">
        <f ca="1">IF(_157721372917[[#This Row],[instance]]&lt;OFFSET(_157721372917[[#This Row],[instance]],-1,0), OFFSET(_157721372917[[#This Row],[model]],-1,0)+1, OFFSET(_157721372917[[#This Row],[model]],-1,0))</f>
        <v>1</v>
      </c>
      <c r="B83">
        <v>8</v>
      </c>
      <c r="C83" s="5">
        <v>5.0578703703703703E-5</v>
      </c>
      <c r="D83">
        <v>7.5</v>
      </c>
      <c r="E83">
        <v>5</v>
      </c>
      <c r="F83">
        <v>3</v>
      </c>
      <c r="G83" s="5">
        <v>3.7037037037037037E-6</v>
      </c>
      <c r="H83" s="5">
        <v>6.9452546296296293E-3</v>
      </c>
      <c r="I83" s="5">
        <v>6.9452546296296293E-3</v>
      </c>
      <c r="J83" s="5">
        <v>3.5879629629629629E-6</v>
      </c>
      <c r="P83" s="1"/>
      <c r="R83" s="2">
        <v>4</v>
      </c>
      <c r="S83" cm="1">
        <f t="array" aca="1" ref="S83" ca="1">_xlfn.MAXIFS(COL(bench,"wine"), COL(bench,"model"), $R83, COL(bench,"instance"), INDEX($Q:$Q, ROW()-$R83), COL(bench,"time"),"&lt;="&amp;S$1)</f>
        <v>1.5</v>
      </c>
      <c r="T83" cm="1">
        <f t="array" aca="1" ref="T83" ca="1">_xlfn.MAXIFS(COL(bench,"wine"), COL(bench,"model"), $R83, COL(bench,"instance"), INDEX($Q:$Q, ROW()-$R83), COL(bench,"time"),"&lt;="&amp;T$1)-SUM($S83:S83)</f>
        <v>0</v>
      </c>
      <c r="U83" cm="1">
        <f t="array" aca="1" ref="U83" ca="1">_xlfn.MAXIFS(COL(bench,"wine"), COL(bench,"model"), $R83, COL(bench,"instance"), INDEX($Q:$Q, ROW()-$R83), COL(bench,"time"),"&lt;="&amp;U$1)-SUM($S83:T83)</f>
        <v>0</v>
      </c>
      <c r="V83" cm="1">
        <f t="array" aca="1" ref="V83" ca="1">_xlfn.MAXIFS(COL(bench,"wine"), COL(bench,"model"), $R83, COL(bench,"instance"), INDEX($Q:$Q, ROW()-$R83), COL(bench,"time"),"&lt;="&amp;V$1)-SUM($S83:U83)</f>
        <v>0</v>
      </c>
      <c r="W83" cm="1">
        <f t="array" aca="1" ref="W83" ca="1">_xlfn.MAXIFS(COL(bench,"wine"), COL(bench,"model"), $R83, COL(bench,"instance"), INDEX($Q:$Q, ROW()-$R83), COL(bench,"time"),"&lt;="&amp;W$1)-SUM($S83:V83)</f>
        <v>0</v>
      </c>
      <c r="X83" t="e" cm="1">
        <f t="array" ref="X83" xml:space="preserve"> _xlfn.LET(
  _xlpm.idx, _xlfn.XMATCH(1,
      (COL(summary,"model")=$R83)*(COL(summary,"instance")=INDEX($Q:$Q, ROW()-$R83))),
  IFERROR(INDEX(COL(summary,"objective"), _xlpm.idx), #N/A)
)</f>
        <v>#N/A</v>
      </c>
    </row>
    <row r="84" spans="1:24" x14ac:dyDescent="0.25">
      <c r="A84">
        <f ca="1">IF(_157721372917[[#This Row],[instance]]&lt;OFFSET(_157721372917[[#This Row],[instance]],-1,0), OFFSET(_157721372917[[#This Row],[model]],-1,0)+1, OFFSET(_157721372917[[#This Row],[model]],-1,0))</f>
        <v>1</v>
      </c>
      <c r="B84">
        <v>8</v>
      </c>
      <c r="C84" s="5">
        <v>5.0578703703703703E-5</v>
      </c>
      <c r="D84">
        <v>8.25</v>
      </c>
      <c r="E84">
        <v>6</v>
      </c>
      <c r="F84">
        <v>3</v>
      </c>
      <c r="G84" s="5">
        <v>3.7037037037037037E-6</v>
      </c>
      <c r="H84" s="5">
        <v>6.9452546296296293E-3</v>
      </c>
      <c r="I84" s="5">
        <v>6.9452546296296293E-3</v>
      </c>
      <c r="J84" s="5">
        <v>3.5879629629629629E-6</v>
      </c>
      <c r="P84" s="1"/>
      <c r="R84" s="2">
        <v>5</v>
      </c>
      <c r="S84" cm="1">
        <f t="array" aca="1" ref="S84" ca="1">_xlfn.MAXIFS(COL(bench,"wine"), COL(bench,"model"), $R84, COL(bench,"instance"), INDEX($Q:$Q, ROW()-$R84), COL(bench,"time"),"&lt;="&amp;S$1)</f>
        <v>18</v>
      </c>
      <c r="T84" cm="1">
        <f t="array" aca="1" ref="T84" ca="1">_xlfn.MAXIFS(COL(bench,"wine"), COL(bench,"model"), $R84, COL(bench,"instance"), INDEX($Q:$Q, ROW()-$R84), COL(bench,"time"),"&lt;="&amp;T$1)-SUM($S84:S84)</f>
        <v>0</v>
      </c>
      <c r="U84" cm="1">
        <f t="array" aca="1" ref="U84" ca="1">_xlfn.MAXIFS(COL(bench,"wine"), COL(bench,"model"), $R84, COL(bench,"instance"), INDEX($Q:$Q, ROW()-$R84), COL(bench,"time"),"&lt;="&amp;U$1)-SUM($S84:T84)</f>
        <v>2</v>
      </c>
      <c r="V84" cm="1">
        <f t="array" aca="1" ref="V84" ca="1">_xlfn.MAXIFS(COL(bench,"wine"), COL(bench,"model"), $R84, COL(bench,"instance"), INDEX($Q:$Q, ROW()-$R84), COL(bench,"time"),"&lt;="&amp;V$1)-SUM($S84:U84)</f>
        <v>0</v>
      </c>
      <c r="W84" cm="1">
        <f t="array" aca="1" ref="W84" ca="1">_xlfn.MAXIFS(COL(bench,"wine"), COL(bench,"model"), $R84, COL(bench,"instance"), INDEX($Q:$Q, ROW()-$R84), COL(bench,"time"),"&lt;="&amp;W$1)-SUM($S84:V84)</f>
        <v>0</v>
      </c>
      <c r="X84" t="e" cm="1">
        <f t="array" ref="X84" xml:space="preserve"> _xlfn.LET(
  _xlpm.idx, _xlfn.XMATCH(1,
      (COL(summary,"model")=$R84)*(COL(summary,"instance")=INDEX($Q:$Q, ROW()-$R84))),
  IFERROR(INDEX(COL(summary,"objective"), _xlpm.idx), #N/A)
)</f>
        <v>#N/A</v>
      </c>
    </row>
    <row r="85" spans="1:24" x14ac:dyDescent="0.25">
      <c r="A85">
        <f ca="1">IF(_157721372917[[#This Row],[instance]]&lt;OFFSET(_157721372917[[#This Row],[instance]],-1,0), OFFSET(_157721372917[[#This Row],[model]],-1,0)+1, OFFSET(_157721372917[[#This Row],[model]],-1,0))</f>
        <v>1</v>
      </c>
      <c r="B85">
        <v>8</v>
      </c>
      <c r="C85" s="5">
        <v>5.0578703703703703E-5</v>
      </c>
      <c r="D85">
        <v>9</v>
      </c>
      <c r="E85">
        <v>6</v>
      </c>
      <c r="F85">
        <v>6</v>
      </c>
      <c r="G85" s="5">
        <v>3.7037037037037037E-6</v>
      </c>
      <c r="H85" s="5">
        <v>6.9452546296296293E-3</v>
      </c>
      <c r="I85" s="5">
        <v>6.9452546296296293E-3</v>
      </c>
      <c r="J85" s="5">
        <v>3.5879629629629629E-6</v>
      </c>
      <c r="P85" s="1"/>
    </row>
    <row r="86" spans="1:24" x14ac:dyDescent="0.25">
      <c r="A86">
        <f ca="1">IF(_157721372917[[#This Row],[instance]]&lt;OFFSET(_157721372917[[#This Row],[instance]],-1,0), OFFSET(_157721372917[[#This Row],[model]],-1,0)+1, OFFSET(_157721372917[[#This Row],[model]],-1,0))</f>
        <v>1</v>
      </c>
      <c r="B86">
        <v>8</v>
      </c>
      <c r="C86" s="5">
        <v>5.0578703703703703E-5</v>
      </c>
      <c r="D86">
        <v>9</v>
      </c>
      <c r="E86">
        <v>6</v>
      </c>
      <c r="F86">
        <v>4</v>
      </c>
      <c r="G86" s="5">
        <v>3.7037037037037037E-6</v>
      </c>
      <c r="H86" s="5">
        <v>6.9452546296296293E-3</v>
      </c>
      <c r="I86" s="5">
        <v>6.9452546296296293E-3</v>
      </c>
      <c r="J86" s="5">
        <v>3.5879629629629629E-6</v>
      </c>
      <c r="P86" s="1"/>
      <c r="Q86">
        <v>13</v>
      </c>
    </row>
    <row r="87" spans="1:24" x14ac:dyDescent="0.25">
      <c r="A87">
        <f ca="1">IF(_157721372917[[#This Row],[instance]]&lt;OFFSET(_157721372917[[#This Row],[instance]],-1,0), OFFSET(_157721372917[[#This Row],[model]],-1,0)+1, OFFSET(_157721372917[[#This Row],[model]],-1,0))</f>
        <v>1</v>
      </c>
      <c r="B87">
        <v>8</v>
      </c>
      <c r="C87" s="5">
        <v>5.0694444444444443E-5</v>
      </c>
      <c r="D87">
        <v>9</v>
      </c>
      <c r="E87">
        <v>6</v>
      </c>
      <c r="F87">
        <v>3</v>
      </c>
      <c r="G87" s="5">
        <v>3.7037037037037037E-6</v>
      </c>
      <c r="H87" s="5">
        <v>6.9452546296296293E-3</v>
      </c>
      <c r="I87" s="5">
        <v>6.9452546296296293E-3</v>
      </c>
      <c r="J87" s="5">
        <v>3.5879629629629629E-6</v>
      </c>
      <c r="P87" s="1"/>
      <c r="R87" s="2">
        <v>1</v>
      </c>
      <c r="S87" cm="1">
        <f t="array" aca="1" ref="S87" ca="1">_xlfn.MAXIFS(COL(bench,"wine"), COL(bench,"model"), $R87, COL(bench,"instance"), INDEX($Q:$Q, ROW()-$R87), COL(bench,"time"),"&lt;="&amp;S$1)</f>
        <v>15</v>
      </c>
      <c r="T87" cm="1">
        <f t="array" aca="1" ref="T87" ca="1">_xlfn.MAXIFS(COL(bench,"wine"), COL(bench,"model"), $R87, COL(bench,"instance"), INDEX($Q:$Q, ROW()-$R87), COL(bench,"time"),"&lt;="&amp;T$1)-SUM($S87:S87)</f>
        <v>0</v>
      </c>
      <c r="U87" cm="1">
        <f t="array" aca="1" ref="U87" ca="1">_xlfn.MAXIFS(COL(bench,"wine"), COL(bench,"model"), $R87, COL(bench,"instance"), INDEX($Q:$Q, ROW()-$R87), COL(bench,"time"),"&lt;="&amp;U$1)-SUM($S87:T87)</f>
        <v>0</v>
      </c>
      <c r="V87" cm="1">
        <f t="array" aca="1" ref="V87" ca="1">_xlfn.MAXIFS(COL(bench,"wine"), COL(bench,"model"), $R87, COL(bench,"instance"), INDEX($Q:$Q, ROW()-$R87), COL(bench,"time"),"&lt;="&amp;V$1)-SUM($S87:U87)</f>
        <v>0</v>
      </c>
      <c r="W87" cm="1">
        <f t="array" aca="1" ref="W87" ca="1">_xlfn.MAXIFS(COL(bench,"wine"), COL(bench,"model"), $R87, COL(bench,"instance"), INDEX($Q:$Q, ROW()-$R87), COL(bench,"time"),"&lt;="&amp;W$1)-SUM($S87:V87)</f>
        <v>0</v>
      </c>
      <c r="X87" t="e" cm="1">
        <f t="array" ref="X87" xml:space="preserve"> _xlfn.LET(
  _xlpm.idx, _xlfn.XMATCH(1,
      (COL(summary,"model")=$R87)*(COL(summary,"instance")=INDEX($Q:$Q, ROW()-$R87))),
  IFERROR(INDEX(COL(summary,"objective"), _xlpm.idx), #N/A)
)</f>
        <v>#N/A</v>
      </c>
    </row>
    <row r="88" spans="1:24" x14ac:dyDescent="0.25">
      <c r="A88">
        <f ca="1">IF(_157721372917[[#This Row],[instance]]&lt;OFFSET(_157721372917[[#This Row],[instance]],-1,0), OFFSET(_157721372917[[#This Row],[model]],-1,0)+1, OFFSET(_157721372917[[#This Row],[model]],-1,0))</f>
        <v>1</v>
      </c>
      <c r="B88">
        <v>8</v>
      </c>
      <c r="C88" s="5">
        <v>5.0694444444444443E-5</v>
      </c>
      <c r="D88">
        <v>9.75</v>
      </c>
      <c r="E88">
        <v>7</v>
      </c>
      <c r="F88">
        <v>5</v>
      </c>
      <c r="G88" s="5">
        <v>3.7037037037037037E-6</v>
      </c>
      <c r="H88" s="5">
        <v>6.9452546296296293E-3</v>
      </c>
      <c r="I88" s="5">
        <v>6.9452546296296293E-3</v>
      </c>
      <c r="J88" s="5">
        <v>3.5879629629629629E-6</v>
      </c>
      <c r="P88" s="1"/>
      <c r="R88" s="2">
        <v>2</v>
      </c>
      <c r="S88" cm="1">
        <f t="array" aca="1" ref="S88" ca="1">_xlfn.MAXIFS(COL(bench,"wine"), COL(bench,"model"), $R88, COL(bench,"instance"), INDEX($Q:$Q, ROW()-$R88), COL(bench,"time"),"&lt;="&amp;S$1)</f>
        <v>15</v>
      </c>
      <c r="T88" cm="1">
        <f t="array" aca="1" ref="T88" ca="1">_xlfn.MAXIFS(COL(bench,"wine"), COL(bench,"model"), $R88, COL(bench,"instance"), INDEX($Q:$Q, ROW()-$R88), COL(bench,"time"),"&lt;="&amp;T$1)-SUM($S88:S88)</f>
        <v>0</v>
      </c>
      <c r="U88" cm="1">
        <f t="array" aca="1" ref="U88" ca="1">_xlfn.MAXIFS(COL(bench,"wine"), COL(bench,"model"), $R88, COL(bench,"instance"), INDEX($Q:$Q, ROW()-$R88), COL(bench,"time"),"&lt;="&amp;U$1)-SUM($S88:T88)</f>
        <v>0</v>
      </c>
      <c r="V88" cm="1">
        <f t="array" aca="1" ref="V88" ca="1">_xlfn.MAXIFS(COL(bench,"wine"), COL(bench,"model"), $R88, COL(bench,"instance"), INDEX($Q:$Q, ROW()-$R88), COL(bench,"time"),"&lt;="&amp;V$1)-SUM($S88:U88)</f>
        <v>0</v>
      </c>
      <c r="W88" cm="1">
        <f t="array" aca="1" ref="W88" ca="1">_xlfn.MAXIFS(COL(bench,"wine"), COL(bench,"model"), $R88, COL(bench,"instance"), INDEX($Q:$Q, ROW()-$R88), COL(bench,"time"),"&lt;="&amp;W$1)-SUM($S88:V88)</f>
        <v>0</v>
      </c>
      <c r="X88" t="e" cm="1">
        <f t="array" ref="X88" xml:space="preserve"> _xlfn.LET(
  _xlpm.idx, _xlfn.XMATCH(1,
      (COL(summary,"model")=$R88)*(COL(summary,"instance")=INDEX($Q:$Q, ROW()-$R88))),
  IFERROR(INDEX(COL(summary,"objective"), _xlpm.idx), #N/A)
)</f>
        <v>#N/A</v>
      </c>
    </row>
    <row r="89" spans="1:24" x14ac:dyDescent="0.25">
      <c r="A89">
        <f ca="1">IF(_157721372917[[#This Row],[instance]]&lt;OFFSET(_157721372917[[#This Row],[instance]],-1,0), OFFSET(_157721372917[[#This Row],[model]],-1,0)+1, OFFSET(_157721372917[[#This Row],[model]],-1,0))</f>
        <v>1</v>
      </c>
      <c r="B89">
        <v>8</v>
      </c>
      <c r="C89" s="5">
        <v>5.0810185185185183E-5</v>
      </c>
      <c r="D89">
        <v>9.75</v>
      </c>
      <c r="E89">
        <v>7</v>
      </c>
      <c r="F89">
        <v>4</v>
      </c>
      <c r="G89" s="5">
        <v>3.7037037037037037E-6</v>
      </c>
      <c r="H89" s="5">
        <v>6.9452546296296293E-3</v>
      </c>
      <c r="I89" s="5">
        <v>6.9452546296296293E-3</v>
      </c>
      <c r="J89" s="5">
        <v>3.5879629629629629E-6</v>
      </c>
      <c r="P89" s="1"/>
      <c r="R89" s="2">
        <v>3</v>
      </c>
      <c r="S89" cm="1">
        <f t="array" aca="1" ref="S89" ca="1">_xlfn.MAXIFS(COL(bench,"wine"), COL(bench,"model"), $R89, COL(bench,"instance"), INDEX($Q:$Q, ROW()-$R89), COL(bench,"time"),"&lt;="&amp;S$1)</f>
        <v>14.375</v>
      </c>
      <c r="T89" cm="1">
        <f t="array" aca="1" ref="T89" ca="1">_xlfn.MAXIFS(COL(bench,"wine"), COL(bench,"model"), $R89, COL(bench,"instance"), INDEX($Q:$Q, ROW()-$R89), COL(bench,"time"),"&lt;="&amp;T$1)-SUM($S89:S89)</f>
        <v>3</v>
      </c>
      <c r="U89" cm="1">
        <f t="array" aca="1" ref="U89" ca="1">_xlfn.MAXIFS(COL(bench,"wine"), COL(bench,"model"), $R89, COL(bench,"instance"), INDEX($Q:$Q, ROW()-$R89), COL(bench,"time"),"&lt;="&amp;U$1)-SUM($S89:T89)</f>
        <v>0</v>
      </c>
      <c r="V89" cm="1">
        <f t="array" aca="1" ref="V89" ca="1">_xlfn.MAXIFS(COL(bench,"wine"), COL(bench,"model"), $R89, COL(bench,"instance"), INDEX($Q:$Q, ROW()-$R89), COL(bench,"time"),"&lt;="&amp;V$1)-SUM($S89:U89)</f>
        <v>3</v>
      </c>
      <c r="W89" cm="1">
        <f t="array" aca="1" ref="W89" ca="1">_xlfn.MAXIFS(COL(bench,"wine"), COL(bench,"model"), $R89, COL(bench,"instance"), INDEX($Q:$Q, ROW()-$R89), COL(bench,"time"),"&lt;="&amp;W$1)-SUM($S89:V89)</f>
        <v>0</v>
      </c>
      <c r="X89" t="e" cm="1">
        <f t="array" ref="X89" xml:space="preserve"> _xlfn.LET(
  _xlpm.idx, _xlfn.XMATCH(1,
      (COL(summary,"model")=$R89)*(COL(summary,"instance")=INDEX($Q:$Q, ROW()-$R89))),
  IFERROR(INDEX(COL(summary,"objective"), _xlpm.idx), #N/A)
)</f>
        <v>#N/A</v>
      </c>
    </row>
    <row r="90" spans="1:24" x14ac:dyDescent="0.25">
      <c r="A90">
        <f ca="1">IF(_157721372917[[#This Row],[instance]]&lt;OFFSET(_157721372917[[#This Row],[instance]],-1,0), OFFSET(_157721372917[[#This Row],[model]],-1,0)+1, OFFSET(_157721372917[[#This Row],[model]],-1,0))</f>
        <v>1</v>
      </c>
      <c r="B90">
        <v>8</v>
      </c>
      <c r="C90" s="5">
        <v>5.0810185185185183E-5</v>
      </c>
      <c r="D90">
        <v>10.5</v>
      </c>
      <c r="E90">
        <v>7</v>
      </c>
      <c r="F90">
        <v>5</v>
      </c>
      <c r="G90" s="5">
        <v>3.7037037037037037E-6</v>
      </c>
      <c r="H90" s="5">
        <v>6.9452546296296293E-3</v>
      </c>
      <c r="I90" s="5">
        <v>6.9452546296296293E-3</v>
      </c>
      <c r="J90" s="5">
        <v>3.5879629629629629E-6</v>
      </c>
      <c r="P90" s="1"/>
      <c r="R90" s="2">
        <v>4</v>
      </c>
      <c r="S90" cm="1">
        <f t="array" aca="1" ref="S90" ca="1">_xlfn.MAXIFS(COL(bench,"wine"), COL(bench,"model"), $R90, COL(bench,"instance"), INDEX($Q:$Q, ROW()-$R90), COL(bench,"time"),"&lt;="&amp;S$1)</f>
        <v>1.125</v>
      </c>
      <c r="T90" cm="1">
        <f t="array" aca="1" ref="T90" ca="1">_xlfn.MAXIFS(COL(bench,"wine"), COL(bench,"model"), $R90, COL(bench,"instance"), INDEX($Q:$Q, ROW()-$R90), COL(bench,"time"),"&lt;="&amp;T$1)-SUM($S90:S90)</f>
        <v>0</v>
      </c>
      <c r="U90" cm="1">
        <f t="array" aca="1" ref="U90" ca="1">_xlfn.MAXIFS(COL(bench,"wine"), COL(bench,"model"), $R90, COL(bench,"instance"), INDEX($Q:$Q, ROW()-$R90), COL(bench,"time"),"&lt;="&amp;U$1)-SUM($S90:T90)</f>
        <v>0</v>
      </c>
      <c r="V90" cm="1">
        <f t="array" aca="1" ref="V90" ca="1">_xlfn.MAXIFS(COL(bench,"wine"), COL(bench,"model"), $R90, COL(bench,"instance"), INDEX($Q:$Q, ROW()-$R90), COL(bench,"time"),"&lt;="&amp;V$1)-SUM($S90:U90)</f>
        <v>0</v>
      </c>
      <c r="W90" cm="1">
        <f t="array" aca="1" ref="W90" ca="1">_xlfn.MAXIFS(COL(bench,"wine"), COL(bench,"model"), $R90, COL(bench,"instance"), INDEX($Q:$Q, ROW()-$R90), COL(bench,"time"),"&lt;="&amp;W$1)-SUM($S90:V90)</f>
        <v>0</v>
      </c>
      <c r="X90" t="e" cm="1">
        <f t="array" ref="X90" xml:space="preserve"> _xlfn.LET(
  _xlpm.idx, _xlfn.XMATCH(1,
      (COL(summary,"model")=$R90)*(COL(summary,"instance")=INDEX($Q:$Q, ROW()-$R90))),
  IFERROR(INDEX(COL(summary,"objective"), _xlpm.idx), #N/A)
)</f>
        <v>#N/A</v>
      </c>
    </row>
    <row r="91" spans="1:24" x14ac:dyDescent="0.25">
      <c r="A91">
        <f ca="1">IF(_157721372917[[#This Row],[instance]]&lt;OFFSET(_157721372917[[#This Row],[instance]],-1,0), OFFSET(_157721372917[[#This Row],[model]],-1,0)+1, OFFSET(_157721372917[[#This Row],[model]],-1,0))</f>
        <v>1</v>
      </c>
      <c r="B91">
        <v>8</v>
      </c>
      <c r="C91" s="5">
        <v>5.0810185185185183E-5</v>
      </c>
      <c r="D91">
        <v>10.5</v>
      </c>
      <c r="E91">
        <v>7</v>
      </c>
      <c r="F91">
        <v>4</v>
      </c>
      <c r="G91" s="5">
        <v>3.7037037037037037E-6</v>
      </c>
      <c r="H91" s="5">
        <v>6.9452546296296293E-3</v>
      </c>
      <c r="I91" s="5">
        <v>6.9452546296296293E-3</v>
      </c>
      <c r="J91" s="5">
        <v>3.5879629629629629E-6</v>
      </c>
      <c r="P91" s="1"/>
      <c r="R91" s="2">
        <v>5</v>
      </c>
      <c r="S91" cm="1">
        <f t="array" aca="1" ref="S91" ca="1">_xlfn.MAXIFS(COL(bench,"wine"), COL(bench,"model"), $R91, COL(bench,"instance"), INDEX($Q:$Q, ROW()-$R91), COL(bench,"time"),"&lt;="&amp;S$1)</f>
        <v>20.375</v>
      </c>
      <c r="T91" cm="1">
        <f t="array" aca="1" ref="T91" ca="1">_xlfn.MAXIFS(COL(bench,"wine"), COL(bench,"model"), $R91, COL(bench,"instance"), INDEX($Q:$Q, ROW()-$R91), COL(bench,"time"),"&lt;="&amp;T$1)-SUM($S91:S91)</f>
        <v>0</v>
      </c>
      <c r="U91" cm="1">
        <f t="array" aca="1" ref="U91" ca="1">_xlfn.MAXIFS(COL(bench,"wine"), COL(bench,"model"), $R91, COL(bench,"instance"), INDEX($Q:$Q, ROW()-$R91), COL(bench,"time"),"&lt;="&amp;U$1)-SUM($S91:T91)</f>
        <v>0</v>
      </c>
      <c r="V91" cm="1">
        <f t="array" aca="1" ref="V91" ca="1">_xlfn.MAXIFS(COL(bench,"wine"), COL(bench,"model"), $R91, COL(bench,"instance"), INDEX($Q:$Q, ROW()-$R91), COL(bench,"time"),"&lt;="&amp;V$1)-SUM($S91:U91)</f>
        <v>0</v>
      </c>
      <c r="W91" cm="1">
        <f t="array" aca="1" ref="W91" ca="1">_xlfn.MAXIFS(COL(bench,"wine"), COL(bench,"model"), $R91, COL(bench,"instance"), INDEX($Q:$Q, ROW()-$R91), COL(bench,"time"),"&lt;="&amp;W$1)-SUM($S91:V91)</f>
        <v>0</v>
      </c>
      <c r="X91" t="e" cm="1">
        <f t="array" ref="X91" xml:space="preserve"> _xlfn.LET(
  _xlpm.idx, _xlfn.XMATCH(1,
      (COL(summary,"model")=$R91)*(COL(summary,"instance")=INDEX($Q:$Q, ROW()-$R91))),
  IFERROR(INDEX(COL(summary,"objective"), _xlpm.idx), #N/A)
)</f>
        <v>#N/A</v>
      </c>
    </row>
    <row r="92" spans="1:24" x14ac:dyDescent="0.25">
      <c r="A92">
        <f ca="1">IF(_157721372917[[#This Row],[instance]]&lt;OFFSET(_157721372917[[#This Row],[instance]],-1,0), OFFSET(_157721372917[[#This Row],[model]],-1,0)+1, OFFSET(_157721372917[[#This Row],[model]],-1,0))</f>
        <v>1</v>
      </c>
      <c r="B92">
        <v>8</v>
      </c>
      <c r="C92" s="5">
        <v>5.4050925925925924E-5</v>
      </c>
      <c r="D92">
        <v>11.25</v>
      </c>
      <c r="E92">
        <v>8</v>
      </c>
      <c r="F92">
        <v>5</v>
      </c>
      <c r="G92" s="5">
        <v>3.7037037037037037E-6</v>
      </c>
      <c r="H92" s="5">
        <v>6.9452546296296293E-3</v>
      </c>
      <c r="I92" s="5">
        <v>6.9452546296296293E-3</v>
      </c>
      <c r="J92" s="5">
        <v>3.5879629629629629E-6</v>
      </c>
      <c r="P92" s="1"/>
    </row>
    <row r="93" spans="1:24" x14ac:dyDescent="0.25">
      <c r="A93">
        <f ca="1">IF(_157721372917[[#This Row],[instance]]&lt;OFFSET(_157721372917[[#This Row],[instance]],-1,0), OFFSET(_157721372917[[#This Row],[model]],-1,0)+1, OFFSET(_157721372917[[#This Row],[model]],-1,0))</f>
        <v>1</v>
      </c>
      <c r="B93">
        <v>8</v>
      </c>
      <c r="C93" s="5">
        <v>5.4050925925925924E-5</v>
      </c>
      <c r="D93">
        <v>12</v>
      </c>
      <c r="E93">
        <v>9</v>
      </c>
      <c r="F93">
        <v>6</v>
      </c>
      <c r="G93" s="5">
        <v>3.7037037037037037E-6</v>
      </c>
      <c r="H93" s="5">
        <v>6.9452546296296293E-3</v>
      </c>
      <c r="I93" s="5">
        <v>6.9452546296296293E-3</v>
      </c>
      <c r="J93" s="5">
        <v>3.5879629629629629E-6</v>
      </c>
      <c r="P93" s="1"/>
      <c r="Q93">
        <v>14</v>
      </c>
    </row>
    <row r="94" spans="1:24" x14ac:dyDescent="0.25">
      <c r="A94">
        <f ca="1">IF(_157721372917[[#This Row],[instance]]&lt;OFFSET(_157721372917[[#This Row],[instance]],-1,0), OFFSET(_157721372917[[#This Row],[model]],-1,0)+1, OFFSET(_157721372917[[#This Row],[model]],-1,0))</f>
        <v>1</v>
      </c>
      <c r="B94">
        <v>8</v>
      </c>
      <c r="C94" s="5">
        <v>5.4050925925925924E-5</v>
      </c>
      <c r="D94">
        <v>12</v>
      </c>
      <c r="E94">
        <v>9</v>
      </c>
      <c r="F94">
        <v>5</v>
      </c>
      <c r="G94" s="5">
        <v>3.7037037037037037E-6</v>
      </c>
      <c r="H94" s="5">
        <v>6.9452546296296293E-3</v>
      </c>
      <c r="I94" s="5">
        <v>6.9452546296296293E-3</v>
      </c>
      <c r="J94" s="5">
        <v>3.5879629629629629E-6</v>
      </c>
      <c r="P94" s="1"/>
      <c r="R94" s="2">
        <v>1</v>
      </c>
      <c r="S94" cm="1">
        <f t="array" aca="1" ref="S94" ca="1">_xlfn.MAXIFS(COL(bench,"wine"), COL(bench,"model"), $R94, COL(bench,"instance"), INDEX($Q:$Q, ROW()-$R94), COL(bench,"time"),"&lt;="&amp;S$1)</f>
        <v>18</v>
      </c>
      <c r="T94" cm="1">
        <f t="array" aca="1" ref="T94" ca="1">_xlfn.MAXIFS(COL(bench,"wine"), COL(bench,"model"), $R94, COL(bench,"instance"), INDEX($Q:$Q, ROW()-$R94), COL(bench,"time"),"&lt;="&amp;T$1)-SUM($S94:S94)</f>
        <v>3</v>
      </c>
      <c r="U94" cm="1">
        <f t="array" aca="1" ref="U94" ca="1">_xlfn.MAXIFS(COL(bench,"wine"), COL(bench,"model"), $R94, COL(bench,"instance"), INDEX($Q:$Q, ROW()-$R94), COL(bench,"time"),"&lt;="&amp;U$1)-SUM($S94:T94)</f>
        <v>3</v>
      </c>
      <c r="V94" cm="1">
        <f t="array" aca="1" ref="V94" ca="1">_xlfn.MAXIFS(COL(bench,"wine"), COL(bench,"model"), $R94, COL(bench,"instance"), INDEX($Q:$Q, ROW()-$R94), COL(bench,"time"),"&lt;="&amp;V$1)-SUM($S94:U94)</f>
        <v>0</v>
      </c>
      <c r="W94" cm="1">
        <f t="array" aca="1" ref="W94" ca="1">_xlfn.MAXIFS(COL(bench,"wine"), COL(bench,"model"), $R94, COL(bench,"instance"), INDEX($Q:$Q, ROW()-$R94), COL(bench,"time"),"&lt;="&amp;W$1)-SUM($S94:V94)</f>
        <v>0</v>
      </c>
      <c r="X94" t="e" cm="1">
        <f t="array" ref="X94" xml:space="preserve"> _xlfn.LET(
  _xlpm.idx, _xlfn.XMATCH(1,
      (COL(summary,"model")=$R94)*(COL(summary,"instance")=INDEX($Q:$Q, ROW()-$R94))),
  IFERROR(INDEX(COL(summary,"objective"), _xlpm.idx), #N/A)
)</f>
        <v>#N/A</v>
      </c>
    </row>
    <row r="95" spans="1:24" x14ac:dyDescent="0.25">
      <c r="A95">
        <f ca="1">IF(_157721372917[[#This Row],[instance]]&lt;OFFSET(_157721372917[[#This Row],[instance]],-1,0), OFFSET(_157721372917[[#This Row],[model]],-1,0)+1, OFFSET(_157721372917[[#This Row],[model]],-1,0))</f>
        <v>1</v>
      </c>
      <c r="B95">
        <v>8</v>
      </c>
      <c r="C95" s="5">
        <v>1.355324074074074E-4</v>
      </c>
      <c r="D95">
        <v>12</v>
      </c>
      <c r="E95">
        <v>9</v>
      </c>
      <c r="F95">
        <v>4</v>
      </c>
      <c r="G95" s="5">
        <v>3.7037037037037037E-6</v>
      </c>
      <c r="H95" s="5">
        <v>6.9452546296296293E-3</v>
      </c>
      <c r="I95" s="5">
        <v>6.9452546296296293E-3</v>
      </c>
      <c r="J95" s="5">
        <v>3.5879629629629629E-6</v>
      </c>
      <c r="P95" s="1"/>
      <c r="R95" s="2">
        <v>2</v>
      </c>
      <c r="S95" cm="1">
        <f t="array" aca="1" ref="S95" ca="1">_xlfn.MAXIFS(COL(bench,"wine"), COL(bench,"model"), $R95, COL(bench,"instance"), INDEX($Q:$Q, ROW()-$R95), COL(bench,"time"),"&lt;="&amp;S$1)</f>
        <v>28.5</v>
      </c>
      <c r="T95" cm="1">
        <f t="array" aca="1" ref="T95" ca="1">_xlfn.MAXIFS(COL(bench,"wine"), COL(bench,"model"), $R95, COL(bench,"instance"), INDEX($Q:$Q, ROW()-$R95), COL(bench,"time"),"&lt;="&amp;T$1)-SUM($S95:S95)</f>
        <v>0</v>
      </c>
      <c r="U95" cm="1">
        <f t="array" aca="1" ref="U95" ca="1">_xlfn.MAXIFS(COL(bench,"wine"), COL(bench,"model"), $R95, COL(bench,"instance"), INDEX($Q:$Q, ROW()-$R95), COL(bench,"time"),"&lt;="&amp;U$1)-SUM($S95:T95)</f>
        <v>0</v>
      </c>
      <c r="V95" cm="1">
        <f t="array" aca="1" ref="V95" ca="1">_xlfn.MAXIFS(COL(bench,"wine"), COL(bench,"model"), $R95, COL(bench,"instance"), INDEX($Q:$Q, ROW()-$R95), COL(bench,"time"),"&lt;="&amp;V$1)-SUM($S95:U95)</f>
        <v>0</v>
      </c>
      <c r="W95" cm="1">
        <f t="array" aca="1" ref="W95" ca="1">_xlfn.MAXIFS(COL(bench,"wine"), COL(bench,"model"), $R95, COL(bench,"instance"), INDEX($Q:$Q, ROW()-$R95), COL(bench,"time"),"&lt;="&amp;W$1)-SUM($S95:V95)</f>
        <v>0</v>
      </c>
      <c r="X95" t="e" cm="1">
        <f t="array" ref="X95" xml:space="preserve"> _xlfn.LET(
  _xlpm.idx, _xlfn.XMATCH(1,
      (COL(summary,"model")=$R95)*(COL(summary,"instance")=INDEX($Q:$Q, ROW()-$R95))),
  IFERROR(INDEX(COL(summary,"objective"), _xlpm.idx), #N/A)
)</f>
        <v>#N/A</v>
      </c>
    </row>
    <row r="96" spans="1:24" x14ac:dyDescent="0.25">
      <c r="A96">
        <f ca="1">IF(_157721372917[[#This Row],[instance]]&lt;OFFSET(_157721372917[[#This Row],[instance]],-1,0), OFFSET(_157721372917[[#This Row],[model]],-1,0)+1, OFFSET(_157721372917[[#This Row],[model]],-1,0))</f>
        <v>1</v>
      </c>
      <c r="B96">
        <v>9</v>
      </c>
      <c r="C96" s="5">
        <v>8.217592592592592E-6</v>
      </c>
      <c r="D96">
        <v>0</v>
      </c>
      <c r="E96">
        <v>0</v>
      </c>
      <c r="F96">
        <v>0</v>
      </c>
      <c r="G96" s="5">
        <v>3.5879629629629629E-6</v>
      </c>
      <c r="H96" s="5">
        <v>6.9451388888888887E-3</v>
      </c>
      <c r="I96" s="5">
        <v>6.9452546296296293E-3</v>
      </c>
      <c r="J96" s="5">
        <v>3.5879629629629629E-6</v>
      </c>
      <c r="P96" s="1"/>
      <c r="R96" s="2">
        <v>3</v>
      </c>
      <c r="S96" cm="1">
        <f t="array" aca="1" ref="S96" ca="1">_xlfn.MAXIFS(COL(bench,"wine"), COL(bench,"model"), $R96, COL(bench,"instance"), INDEX($Q:$Q, ROW()-$R96), COL(bench,"time"),"&lt;="&amp;S$1)</f>
        <v>4.125</v>
      </c>
      <c r="T96" cm="1">
        <f t="array" aca="1" ref="T96" ca="1">_xlfn.MAXIFS(COL(bench,"wine"), COL(bench,"model"), $R96, COL(bench,"instance"), INDEX($Q:$Q, ROW()-$R96), COL(bench,"time"),"&lt;="&amp;T$1)-SUM($S96:S96)</f>
        <v>0</v>
      </c>
      <c r="U96" cm="1">
        <f t="array" aca="1" ref="U96" ca="1">_xlfn.MAXIFS(COL(bench,"wine"), COL(bench,"model"), $R96, COL(bench,"instance"), INDEX($Q:$Q, ROW()-$R96), COL(bench,"time"),"&lt;="&amp;U$1)-SUM($S96:T96)</f>
        <v>0</v>
      </c>
      <c r="V96" cm="1">
        <f t="array" aca="1" ref="V96" ca="1">_xlfn.MAXIFS(COL(bench,"wine"), COL(bench,"model"), $R96, COL(bench,"instance"), INDEX($Q:$Q, ROW()-$R96), COL(bench,"time"),"&lt;="&amp;V$1)-SUM($S96:U96)</f>
        <v>0</v>
      </c>
      <c r="W96" cm="1">
        <f t="array" aca="1" ref="W96" ca="1">_xlfn.MAXIFS(COL(bench,"wine"), COL(bench,"model"), $R96, COL(bench,"instance"), INDEX($Q:$Q, ROW()-$R96), COL(bench,"time"),"&lt;="&amp;W$1)-SUM($S96:V96)</f>
        <v>0</v>
      </c>
      <c r="X96" t="e" cm="1">
        <f t="array" ref="X96" xml:space="preserve"> _xlfn.LET(
  _xlpm.idx, _xlfn.XMATCH(1,
      (COL(summary,"model")=$R96)*(COL(summary,"instance")=INDEX($Q:$Q, ROW()-$R96))),
  IFERROR(INDEX(COL(summary,"objective"), _xlpm.idx), #N/A)
)</f>
        <v>#N/A</v>
      </c>
    </row>
    <row r="97" spans="1:24" x14ac:dyDescent="0.25">
      <c r="A97">
        <f ca="1">IF(_157721372917[[#This Row],[instance]]&lt;OFFSET(_157721372917[[#This Row],[instance]],-1,0), OFFSET(_157721372917[[#This Row],[model]],-1,0)+1, OFFSET(_157721372917[[#This Row],[model]],-1,0))</f>
        <v>1</v>
      </c>
      <c r="B97">
        <v>9</v>
      </c>
      <c r="C97" s="5">
        <v>8.217592592592592E-6</v>
      </c>
      <c r="D97">
        <v>3</v>
      </c>
      <c r="E97">
        <v>1</v>
      </c>
      <c r="F97">
        <v>1</v>
      </c>
      <c r="G97" s="5">
        <v>3.5879629629629629E-6</v>
      </c>
      <c r="H97" s="5">
        <v>6.9451388888888887E-3</v>
      </c>
      <c r="I97" s="5">
        <v>6.9452546296296293E-3</v>
      </c>
      <c r="J97" s="5">
        <v>3.5879629629629629E-6</v>
      </c>
      <c r="P97" s="1"/>
      <c r="R97" s="2">
        <v>4</v>
      </c>
      <c r="S97" cm="1">
        <f t="array" aca="1" ref="S97" ca="1">_xlfn.MAXIFS(COL(bench,"wine"), COL(bench,"model"), $R97, COL(bench,"instance"), INDEX($Q:$Q, ROW()-$R97), COL(bench,"time"),"&lt;="&amp;S$1)</f>
        <v>3</v>
      </c>
      <c r="T97" cm="1">
        <f t="array" aca="1" ref="T97" ca="1">_xlfn.MAXIFS(COL(bench,"wine"), COL(bench,"model"), $R97, COL(bench,"instance"), INDEX($Q:$Q, ROW()-$R97), COL(bench,"time"),"&lt;="&amp;T$1)-SUM($S97:S97)</f>
        <v>0.375</v>
      </c>
      <c r="U97" cm="1">
        <f t="array" aca="1" ref="U97" ca="1">_xlfn.MAXIFS(COL(bench,"wine"), COL(bench,"model"), $R97, COL(bench,"instance"), INDEX($Q:$Q, ROW()-$R97), COL(bench,"time"),"&lt;="&amp;U$1)-SUM($S97:T97)</f>
        <v>0</v>
      </c>
      <c r="V97" cm="1">
        <f t="array" aca="1" ref="V97" ca="1">_xlfn.MAXIFS(COL(bench,"wine"), COL(bench,"model"), $R97, COL(bench,"instance"), INDEX($Q:$Q, ROW()-$R97), COL(bench,"time"),"&lt;="&amp;V$1)-SUM($S97:U97)</f>
        <v>1.875</v>
      </c>
      <c r="W97" cm="1">
        <f t="array" aca="1" ref="W97" ca="1">_xlfn.MAXIFS(COL(bench,"wine"), COL(bench,"model"), $R97, COL(bench,"instance"), INDEX($Q:$Q, ROW()-$R97), COL(bench,"time"),"&lt;="&amp;W$1)-SUM($S97:V97)</f>
        <v>0</v>
      </c>
      <c r="X97" t="e" cm="1">
        <f t="array" ref="X97" xml:space="preserve"> _xlfn.LET(
  _xlpm.idx, _xlfn.XMATCH(1,
      (COL(summary,"model")=$R97)*(COL(summary,"instance")=INDEX($Q:$Q, ROW()-$R97))),
  IFERROR(INDEX(COL(summary,"objective"), _xlpm.idx), #N/A)
)</f>
        <v>#N/A</v>
      </c>
    </row>
    <row r="98" spans="1:24" x14ac:dyDescent="0.25">
      <c r="A98">
        <f ca="1">IF(_157721372917[[#This Row],[instance]]&lt;OFFSET(_157721372917[[#This Row],[instance]],-1,0), OFFSET(_157721372917[[#This Row],[model]],-1,0)+1, OFFSET(_157721372917[[#This Row],[model]],-1,0))</f>
        <v>1</v>
      </c>
      <c r="B98">
        <v>9</v>
      </c>
      <c r="C98" s="5">
        <v>1.2615740740740741E-5</v>
      </c>
      <c r="D98">
        <v>6</v>
      </c>
      <c r="E98">
        <v>2</v>
      </c>
      <c r="F98">
        <v>2</v>
      </c>
      <c r="G98" s="5">
        <v>3.5879629629629629E-6</v>
      </c>
      <c r="H98" s="5">
        <v>6.9451388888888887E-3</v>
      </c>
      <c r="I98" s="5">
        <v>6.9452546296296293E-3</v>
      </c>
      <c r="J98" s="5">
        <v>3.5879629629629629E-6</v>
      </c>
      <c r="P98" s="1"/>
      <c r="R98" s="2">
        <v>5</v>
      </c>
      <c r="S98" cm="1">
        <f t="array" aca="1" ref="S98" ca="1">_xlfn.MAXIFS(COL(bench,"wine"), COL(bench,"model"), $R98, COL(bench,"instance"), INDEX($Q:$Q, ROW()-$R98), COL(bench,"time"),"&lt;="&amp;S$1)</f>
        <v>34.125</v>
      </c>
      <c r="T98" cm="1">
        <f t="array" aca="1" ref="T98" ca="1">_xlfn.MAXIFS(COL(bench,"wine"), COL(bench,"model"), $R98, COL(bench,"instance"), INDEX($Q:$Q, ROW()-$R98), COL(bench,"time"),"&lt;="&amp;T$1)-SUM($S98:S98)</f>
        <v>0</v>
      </c>
      <c r="U98" cm="1">
        <f t="array" aca="1" ref="U98" ca="1">_xlfn.MAXIFS(COL(bench,"wine"), COL(bench,"model"), $R98, COL(bench,"instance"), INDEX($Q:$Q, ROW()-$R98), COL(bench,"time"),"&lt;="&amp;U$1)-SUM($S98:T98)</f>
        <v>0</v>
      </c>
      <c r="V98" cm="1">
        <f t="array" aca="1" ref="V98" ca="1">_xlfn.MAXIFS(COL(bench,"wine"), COL(bench,"model"), $R98, COL(bench,"instance"), INDEX($Q:$Q, ROW()-$R98), COL(bench,"time"),"&lt;="&amp;V$1)-SUM($S98:U98)</f>
        <v>0</v>
      </c>
      <c r="W98" cm="1">
        <f t="array" aca="1" ref="W98" ca="1">_xlfn.MAXIFS(COL(bench,"wine"), COL(bench,"model"), $R98, COL(bench,"instance"), INDEX($Q:$Q, ROW()-$R98), COL(bench,"time"),"&lt;="&amp;W$1)-SUM($S98:V98)</f>
        <v>0</v>
      </c>
      <c r="X98" t="e" cm="1">
        <f t="array" ref="X98" xml:space="preserve"> _xlfn.LET(
  _xlpm.idx, _xlfn.XMATCH(1,
      (COL(summary,"model")=$R98)*(COL(summary,"instance")=INDEX($Q:$Q, ROW()-$R98))),
  IFERROR(INDEX(COL(summary,"objective"), _xlpm.idx), #N/A)
)</f>
        <v>#N/A</v>
      </c>
    </row>
    <row r="99" spans="1:24" x14ac:dyDescent="0.25">
      <c r="A99">
        <f ca="1">IF(_157721372917[[#This Row],[instance]]&lt;OFFSET(_157721372917[[#This Row],[instance]],-1,0), OFFSET(_157721372917[[#This Row],[model]],-1,0)+1, OFFSET(_157721372917[[#This Row],[model]],-1,0))</f>
        <v>1</v>
      </c>
      <c r="B99">
        <v>9</v>
      </c>
      <c r="C99" s="5">
        <v>1.2615740740740741E-5</v>
      </c>
      <c r="D99">
        <v>7.5</v>
      </c>
      <c r="E99">
        <v>3</v>
      </c>
      <c r="F99">
        <v>1</v>
      </c>
      <c r="G99" s="5">
        <v>3.5879629629629629E-6</v>
      </c>
      <c r="H99" s="5">
        <v>6.9451388888888887E-3</v>
      </c>
      <c r="I99" s="5">
        <v>6.9452546296296293E-3</v>
      </c>
      <c r="J99" s="5">
        <v>3.5879629629629629E-6</v>
      </c>
      <c r="P99" s="1"/>
    </row>
    <row r="100" spans="1:24" x14ac:dyDescent="0.25">
      <c r="A100">
        <f ca="1">IF(_157721372917[[#This Row],[instance]]&lt;OFFSET(_157721372917[[#This Row],[instance]],-1,0), OFFSET(_157721372917[[#This Row],[model]],-1,0)+1, OFFSET(_157721372917[[#This Row],[model]],-1,0))</f>
        <v>1</v>
      </c>
      <c r="B100">
        <v>9</v>
      </c>
      <c r="C100" s="5">
        <v>1.2615740740740741E-5</v>
      </c>
      <c r="D100">
        <v>9</v>
      </c>
      <c r="E100">
        <v>4</v>
      </c>
      <c r="F100">
        <v>1</v>
      </c>
      <c r="G100" s="5">
        <v>3.5879629629629629E-6</v>
      </c>
      <c r="H100" s="5">
        <v>6.9451388888888887E-3</v>
      </c>
      <c r="I100" s="5">
        <v>6.9452546296296293E-3</v>
      </c>
      <c r="J100" s="5">
        <v>3.5879629629629629E-6</v>
      </c>
      <c r="P100" s="1"/>
      <c r="Q100">
        <v>15</v>
      </c>
    </row>
    <row r="101" spans="1:24" x14ac:dyDescent="0.25">
      <c r="A101">
        <f ca="1">IF(_157721372917[[#This Row],[instance]]&lt;OFFSET(_157721372917[[#This Row],[instance]],-1,0), OFFSET(_157721372917[[#This Row],[model]],-1,0)+1, OFFSET(_157721372917[[#This Row],[model]],-1,0))</f>
        <v>1</v>
      </c>
      <c r="B101">
        <v>9</v>
      </c>
      <c r="C101" s="5">
        <v>2.769675925925926E-4</v>
      </c>
      <c r="D101">
        <v>10.5</v>
      </c>
      <c r="E101">
        <v>5</v>
      </c>
      <c r="F101">
        <v>1</v>
      </c>
      <c r="G101" s="5">
        <v>3.5879629629629629E-6</v>
      </c>
      <c r="H101" s="5">
        <v>6.9451388888888887E-3</v>
      </c>
      <c r="I101" s="5">
        <v>6.9452546296296293E-3</v>
      </c>
      <c r="J101" s="5">
        <v>3.5879629629629629E-6</v>
      </c>
      <c r="P101" s="1"/>
      <c r="R101" s="2">
        <v>1</v>
      </c>
      <c r="S101" cm="1">
        <f t="array" aca="1" ref="S101" ca="1">_xlfn.MAXIFS(COL(bench,"wine"), COL(bench,"model"), $R101, COL(bench,"instance"), INDEX($Q:$Q, ROW()-$R101), COL(bench,"time"),"&lt;="&amp;S$1)</f>
        <v>19</v>
      </c>
      <c r="T101" cm="1">
        <f t="array" aca="1" ref="T101" ca="1">_xlfn.MAXIFS(COL(bench,"wine"), COL(bench,"model"), $R101, COL(bench,"instance"), INDEX($Q:$Q, ROW()-$R101), COL(bench,"time"),"&lt;="&amp;T$1)-SUM($S101:S101)</f>
        <v>1</v>
      </c>
      <c r="U101" cm="1">
        <f t="array" aca="1" ref="U101" ca="1">_xlfn.MAXIFS(COL(bench,"wine"), COL(bench,"model"), $R101, COL(bench,"instance"), INDEX($Q:$Q, ROW()-$R101), COL(bench,"time"),"&lt;="&amp;U$1)-SUM($S101:T101)</f>
        <v>1.375</v>
      </c>
      <c r="V101" cm="1">
        <f t="array" aca="1" ref="V101" ca="1">_xlfn.MAXIFS(COL(bench,"wine"), COL(bench,"model"), $R101, COL(bench,"instance"), INDEX($Q:$Q, ROW()-$R101), COL(bench,"time"),"&lt;="&amp;V$1)-SUM($S101:U101)</f>
        <v>0</v>
      </c>
      <c r="W101" cm="1">
        <f t="array" aca="1" ref="W101" ca="1">_xlfn.MAXIFS(COL(bench,"wine"), COL(bench,"model"), $R101, COL(bench,"instance"), INDEX($Q:$Q, ROW()-$R101), COL(bench,"time"),"&lt;="&amp;W$1)-SUM($S101:V101)</f>
        <v>0</v>
      </c>
      <c r="X101" t="e" cm="1">
        <f t="array" ref="X101" xml:space="preserve"> _xlfn.LET(
  _xlpm.idx, _xlfn.XMATCH(1,
      (COL(summary,"model")=$R101)*(COL(summary,"instance")=INDEX($Q:$Q, ROW()-$R101))),
  IFERROR(INDEX(COL(summary,"objective"), _xlpm.idx), #N/A)
)</f>
        <v>#N/A</v>
      </c>
    </row>
    <row r="102" spans="1:24" x14ac:dyDescent="0.25">
      <c r="A102">
        <f ca="1">IF(_157721372917[[#This Row],[instance]]&lt;OFFSET(_157721372917[[#This Row],[instance]],-1,0), OFFSET(_157721372917[[#This Row],[model]],-1,0)+1, OFFSET(_157721372917[[#This Row],[model]],-1,0))</f>
        <v>1</v>
      </c>
      <c r="B102">
        <v>9</v>
      </c>
      <c r="C102" s="5">
        <v>2.892361111111111E-4</v>
      </c>
      <c r="D102">
        <v>12</v>
      </c>
      <c r="E102">
        <v>6</v>
      </c>
      <c r="F102">
        <v>2</v>
      </c>
      <c r="G102" s="5">
        <v>3.5879629629629629E-6</v>
      </c>
      <c r="H102" s="5">
        <v>6.9451388888888887E-3</v>
      </c>
      <c r="I102" s="5">
        <v>6.9452546296296293E-3</v>
      </c>
      <c r="J102" s="5">
        <v>3.5879629629629629E-6</v>
      </c>
      <c r="P102" s="1"/>
      <c r="R102" s="2">
        <v>2</v>
      </c>
      <c r="S102" cm="1">
        <f t="array" aca="1" ref="S102" ca="1">_xlfn.MAXIFS(COL(bench,"wine"), COL(bench,"model"), $R102, COL(bench,"instance"), INDEX($Q:$Q, ROW()-$R102), COL(bench,"time"),"&lt;="&amp;S$1)</f>
        <v>16.5</v>
      </c>
      <c r="T102" cm="1">
        <f t="array" aca="1" ref="T102" ca="1">_xlfn.MAXIFS(COL(bench,"wine"), COL(bench,"model"), $R102, COL(bench,"instance"), INDEX($Q:$Q, ROW()-$R102), COL(bench,"time"),"&lt;="&amp;T$1)-SUM($S102:S102)</f>
        <v>2.5</v>
      </c>
      <c r="U102" cm="1">
        <f t="array" aca="1" ref="U102" ca="1">_xlfn.MAXIFS(COL(bench,"wine"), COL(bench,"model"), $R102, COL(bench,"instance"), INDEX($Q:$Q, ROW()-$R102), COL(bench,"time"),"&lt;="&amp;U$1)-SUM($S102:T102)</f>
        <v>1</v>
      </c>
      <c r="V102" cm="1">
        <f t="array" aca="1" ref="V102" ca="1">_xlfn.MAXIFS(COL(bench,"wine"), COL(bench,"model"), $R102, COL(bench,"instance"), INDEX($Q:$Q, ROW()-$R102), COL(bench,"time"),"&lt;="&amp;V$1)-SUM($S102:U102)</f>
        <v>0</v>
      </c>
      <c r="W102" cm="1">
        <f t="array" aca="1" ref="W102" ca="1">_xlfn.MAXIFS(COL(bench,"wine"), COL(bench,"model"), $R102, COL(bench,"instance"), INDEX($Q:$Q, ROW()-$R102), COL(bench,"time"),"&lt;="&amp;W$1)-SUM($S102:V102)</f>
        <v>3.125</v>
      </c>
      <c r="X102" t="e" cm="1">
        <f t="array" ref="X102" xml:space="preserve"> _xlfn.LET(
  _xlpm.idx, _xlfn.XMATCH(1,
      (COL(summary,"model")=$R102)*(COL(summary,"instance")=INDEX($Q:$Q, ROW()-$R102))),
  IFERROR(INDEX(COL(summary,"objective"), _xlpm.idx), #N/A)
)</f>
        <v>#N/A</v>
      </c>
    </row>
    <row r="103" spans="1:24" x14ac:dyDescent="0.25">
      <c r="A103">
        <f ca="1">IF(_157721372917[[#This Row],[instance]]&lt;OFFSET(_157721372917[[#This Row],[instance]],-1,0), OFFSET(_157721372917[[#This Row],[model]],-1,0)+1, OFFSET(_157721372917[[#This Row],[model]],-1,0))</f>
        <v>1</v>
      </c>
      <c r="B103">
        <v>10</v>
      </c>
      <c r="C103" s="5">
        <v>8.217592592592592E-6</v>
      </c>
      <c r="D103">
        <v>0</v>
      </c>
      <c r="E103">
        <v>0</v>
      </c>
      <c r="F103">
        <v>0</v>
      </c>
      <c r="G103" s="5">
        <v>3.5879629629629629E-6</v>
      </c>
      <c r="H103" s="5">
        <v>6.9451388888888887E-3</v>
      </c>
      <c r="I103" s="5">
        <v>6.9452546296296293E-3</v>
      </c>
      <c r="J103" s="5">
        <v>3.5879629629629629E-6</v>
      </c>
      <c r="P103" s="1"/>
      <c r="R103" s="2">
        <v>3</v>
      </c>
      <c r="S103" cm="1">
        <f t="array" aca="1" ref="S103" ca="1">_xlfn.MAXIFS(COL(bench,"wine"), COL(bench,"model"), $R103, COL(bench,"instance"), INDEX($Q:$Q, ROW()-$R103), COL(bench,"time"),"&lt;="&amp;S$1)</f>
        <v>3</v>
      </c>
      <c r="T103" cm="1">
        <f t="array" aca="1" ref="T103" ca="1">_xlfn.MAXIFS(COL(bench,"wine"), COL(bench,"model"), $R103, COL(bench,"instance"), INDEX($Q:$Q, ROW()-$R103), COL(bench,"time"),"&lt;="&amp;T$1)-SUM($S103:S103)</f>
        <v>0</v>
      </c>
      <c r="U103" cm="1">
        <f t="array" aca="1" ref="U103" ca="1">_xlfn.MAXIFS(COL(bench,"wine"), COL(bench,"model"), $R103, COL(bench,"instance"), INDEX($Q:$Q, ROW()-$R103), COL(bench,"time"),"&lt;="&amp;U$1)-SUM($S103:T103)</f>
        <v>0</v>
      </c>
      <c r="V103" cm="1">
        <f t="array" aca="1" ref="V103" ca="1">_xlfn.MAXIFS(COL(bench,"wine"), COL(bench,"model"), $R103, COL(bench,"instance"), INDEX($Q:$Q, ROW()-$R103), COL(bench,"time"),"&lt;="&amp;V$1)-SUM($S103:U103)</f>
        <v>0</v>
      </c>
      <c r="W103" cm="1">
        <f t="array" aca="1" ref="W103" ca="1">_xlfn.MAXIFS(COL(bench,"wine"), COL(bench,"model"), $R103, COL(bench,"instance"), INDEX($Q:$Q, ROW()-$R103), COL(bench,"time"),"&lt;="&amp;W$1)-SUM($S103:V103)</f>
        <v>0</v>
      </c>
      <c r="X103" t="e" cm="1">
        <f t="array" ref="X103" xml:space="preserve"> _xlfn.LET(
  _xlpm.idx, _xlfn.XMATCH(1,
      (COL(summary,"model")=$R103)*(COL(summary,"instance")=INDEX($Q:$Q, ROW()-$R103))),
  IFERROR(INDEX(COL(summary,"objective"), _xlpm.idx), #N/A)
)</f>
        <v>#N/A</v>
      </c>
    </row>
    <row r="104" spans="1:24" x14ac:dyDescent="0.25">
      <c r="A104">
        <f ca="1">IF(_157721372917[[#This Row],[instance]]&lt;OFFSET(_157721372917[[#This Row],[instance]],-1,0), OFFSET(_157721372917[[#This Row],[model]],-1,0)+1, OFFSET(_157721372917[[#This Row],[model]],-1,0))</f>
        <v>1</v>
      </c>
      <c r="B104">
        <v>10</v>
      </c>
      <c r="C104" s="5">
        <v>8.217592592592592E-6</v>
      </c>
      <c r="D104">
        <v>3</v>
      </c>
      <c r="E104">
        <v>1</v>
      </c>
      <c r="F104">
        <v>1</v>
      </c>
      <c r="G104" s="5">
        <v>3.5879629629629629E-6</v>
      </c>
      <c r="H104" s="5">
        <v>6.9451388888888887E-3</v>
      </c>
      <c r="I104" s="5">
        <v>6.9452546296296293E-3</v>
      </c>
      <c r="J104" s="5">
        <v>3.5879629629629629E-6</v>
      </c>
      <c r="P104" s="1"/>
      <c r="R104" s="2">
        <v>4</v>
      </c>
      <c r="S104" cm="1">
        <f t="array" aca="1" ref="S104" ca="1">_xlfn.MAXIFS(COL(bench,"wine"), COL(bench,"model"), $R104, COL(bench,"instance"), INDEX($Q:$Q, ROW()-$R104), COL(bench,"time"),"&lt;="&amp;S$1)</f>
        <v>1.5</v>
      </c>
      <c r="T104" cm="1">
        <f t="array" aca="1" ref="T104" ca="1">_xlfn.MAXIFS(COL(bench,"wine"), COL(bench,"model"), $R104, COL(bench,"instance"), INDEX($Q:$Q, ROW()-$R104), COL(bench,"time"),"&lt;="&amp;T$1)-SUM($S104:S104)</f>
        <v>0.375</v>
      </c>
      <c r="U104" cm="1">
        <f t="array" aca="1" ref="U104" ca="1">_xlfn.MAXIFS(COL(bench,"wine"), COL(bench,"model"), $R104, COL(bench,"instance"), INDEX($Q:$Q, ROW()-$R104), COL(bench,"time"),"&lt;="&amp;U$1)-SUM($S104:T104)</f>
        <v>0</v>
      </c>
      <c r="V104" cm="1">
        <f t="array" aca="1" ref="V104" ca="1">_xlfn.MAXIFS(COL(bench,"wine"), COL(bench,"model"), $R104, COL(bench,"instance"), INDEX($Q:$Q, ROW()-$R104), COL(bench,"time"),"&lt;="&amp;V$1)-SUM($S104:U104)</f>
        <v>0.25</v>
      </c>
      <c r="W104" cm="1">
        <f t="array" aca="1" ref="W104" ca="1">_xlfn.MAXIFS(COL(bench,"wine"), COL(bench,"model"), $R104, COL(bench,"instance"), INDEX($Q:$Q, ROW()-$R104), COL(bench,"time"),"&lt;="&amp;W$1)-SUM($S104:V104)</f>
        <v>0.75</v>
      </c>
      <c r="X104" t="e" cm="1">
        <f t="array" ref="X104" xml:space="preserve"> _xlfn.LET(
  _xlpm.idx, _xlfn.XMATCH(1,
      (COL(summary,"model")=$R104)*(COL(summary,"instance")=INDEX($Q:$Q, ROW()-$R104))),
  IFERROR(INDEX(COL(summary,"objective"), _xlpm.idx), #N/A)
)</f>
        <v>#N/A</v>
      </c>
    </row>
    <row r="105" spans="1:24" x14ac:dyDescent="0.25">
      <c r="A105">
        <f ca="1">IF(_157721372917[[#This Row],[instance]]&lt;OFFSET(_157721372917[[#This Row],[instance]],-1,0), OFFSET(_157721372917[[#This Row],[model]],-1,0)+1, OFFSET(_157721372917[[#This Row],[model]],-1,0))</f>
        <v>1</v>
      </c>
      <c r="B105">
        <v>10</v>
      </c>
      <c r="C105" s="5">
        <v>8.3333333333333337E-6</v>
      </c>
      <c r="D105">
        <v>6</v>
      </c>
      <c r="E105">
        <v>2</v>
      </c>
      <c r="F105">
        <v>2</v>
      </c>
      <c r="G105" s="5">
        <v>3.5879629629629629E-6</v>
      </c>
      <c r="H105" s="5">
        <v>6.9451388888888887E-3</v>
      </c>
      <c r="I105" s="5">
        <v>6.9452546296296293E-3</v>
      </c>
      <c r="J105" s="5">
        <v>3.5879629629629629E-6</v>
      </c>
      <c r="P105" s="1"/>
      <c r="R105" s="2">
        <v>5</v>
      </c>
      <c r="S105" cm="1">
        <f t="array" aca="1" ref="S105" ca="1">_xlfn.MAXIFS(COL(bench,"wine"), COL(bench,"model"), $R105, COL(bench,"instance"), INDEX($Q:$Q, ROW()-$R105), COL(bench,"time"),"&lt;="&amp;S$1)</f>
        <v>23.875</v>
      </c>
      <c r="T105" cm="1">
        <f t="array" aca="1" ref="T105" ca="1">_xlfn.MAXIFS(COL(bench,"wine"), COL(bench,"model"), $R105, COL(bench,"instance"), INDEX($Q:$Q, ROW()-$R105), COL(bench,"time"),"&lt;="&amp;T$1)-SUM($S105:S105)</f>
        <v>0</v>
      </c>
      <c r="U105" cm="1">
        <f t="array" aca="1" ref="U105" ca="1">_xlfn.MAXIFS(COL(bench,"wine"), COL(bench,"model"), $R105, COL(bench,"instance"), INDEX($Q:$Q, ROW()-$R105), COL(bench,"time"),"&lt;="&amp;U$1)-SUM($S105:T105)</f>
        <v>0</v>
      </c>
      <c r="V105" cm="1">
        <f t="array" aca="1" ref="V105" ca="1">_xlfn.MAXIFS(COL(bench,"wine"), COL(bench,"model"), $R105, COL(bench,"instance"), INDEX($Q:$Q, ROW()-$R105), COL(bench,"time"),"&lt;="&amp;V$1)-SUM($S105:U105)</f>
        <v>0</v>
      </c>
      <c r="W105" cm="1">
        <f t="array" aca="1" ref="W105" ca="1">_xlfn.MAXIFS(COL(bench,"wine"), COL(bench,"model"), $R105, COL(bench,"instance"), INDEX($Q:$Q, ROW()-$R105), COL(bench,"time"),"&lt;="&amp;W$1)-SUM($S105:V105)</f>
        <v>0</v>
      </c>
      <c r="X105" t="e" cm="1">
        <f t="array" ref="X105" xml:space="preserve"> _xlfn.LET(
  _xlpm.idx, _xlfn.XMATCH(1,
      (COL(summary,"model")=$R105)*(COL(summary,"instance")=INDEX($Q:$Q, ROW()-$R105))),
  IFERROR(INDEX(COL(summary,"objective"), _xlpm.idx), #N/A)
)</f>
        <v>#N/A</v>
      </c>
    </row>
    <row r="106" spans="1:24" x14ac:dyDescent="0.25">
      <c r="A106">
        <f ca="1">IF(_157721372917[[#This Row],[instance]]&lt;OFFSET(_157721372917[[#This Row],[instance]],-1,0), OFFSET(_157721372917[[#This Row],[model]],-1,0)+1, OFFSET(_157721372917[[#This Row],[model]],-1,0))</f>
        <v>1</v>
      </c>
      <c r="B106">
        <v>10</v>
      </c>
      <c r="C106" s="5">
        <v>8.3333333333333337E-6</v>
      </c>
      <c r="D106">
        <v>9</v>
      </c>
      <c r="E106">
        <v>3</v>
      </c>
      <c r="F106">
        <v>3</v>
      </c>
      <c r="G106" s="5">
        <v>3.5879629629629629E-6</v>
      </c>
      <c r="H106" s="5">
        <v>6.9451388888888887E-3</v>
      </c>
      <c r="I106" s="5">
        <v>6.9452546296296293E-3</v>
      </c>
      <c r="J106" s="5">
        <v>3.5879629629629629E-6</v>
      </c>
      <c r="P106" s="1"/>
    </row>
    <row r="107" spans="1:24" x14ac:dyDescent="0.25">
      <c r="A107">
        <f ca="1">IF(_157721372917[[#This Row],[instance]]&lt;OFFSET(_157721372917[[#This Row],[instance]],-1,0), OFFSET(_157721372917[[#This Row],[model]],-1,0)+1, OFFSET(_157721372917[[#This Row],[model]],-1,0))</f>
        <v>1</v>
      </c>
      <c r="B107">
        <v>10</v>
      </c>
      <c r="C107" s="5">
        <v>9.1087962962962954E-5</v>
      </c>
      <c r="D107">
        <v>12</v>
      </c>
      <c r="E107">
        <v>4</v>
      </c>
      <c r="F107">
        <v>4</v>
      </c>
      <c r="G107" s="5">
        <v>3.5879629629629629E-6</v>
      </c>
      <c r="H107" s="5">
        <v>6.9451388888888887E-3</v>
      </c>
      <c r="I107" s="5">
        <v>6.9452546296296293E-3</v>
      </c>
      <c r="J107" s="5">
        <v>3.5879629629629629E-6</v>
      </c>
      <c r="P107" s="1"/>
      <c r="Q107">
        <v>16</v>
      </c>
    </row>
    <row r="108" spans="1:24" x14ac:dyDescent="0.25">
      <c r="A108">
        <f ca="1">IF(_157721372917[[#This Row],[instance]]&lt;OFFSET(_157721372917[[#This Row],[instance]],-1,0), OFFSET(_157721372917[[#This Row],[model]],-1,0)+1, OFFSET(_157721372917[[#This Row],[model]],-1,0))</f>
        <v>1</v>
      </c>
      <c r="B108">
        <v>11</v>
      </c>
      <c r="C108" s="5">
        <v>7.7546296296296301E-6</v>
      </c>
      <c r="D108">
        <v>0</v>
      </c>
      <c r="E108">
        <v>0</v>
      </c>
      <c r="F108">
        <v>0</v>
      </c>
      <c r="G108" s="5">
        <v>3.5879629629629629E-6</v>
      </c>
      <c r="H108" s="5">
        <v>6.9450231481481481E-3</v>
      </c>
      <c r="I108" s="5">
        <v>6.9452546296296293E-3</v>
      </c>
      <c r="J108" s="5">
        <v>3.5879629629629629E-6</v>
      </c>
      <c r="P108" s="1"/>
    </row>
    <row r="109" spans="1:24" x14ac:dyDescent="0.25">
      <c r="A109">
        <f ca="1">IF(_157721372917[[#This Row],[instance]]&lt;OFFSET(_157721372917[[#This Row],[instance]],-1,0), OFFSET(_157721372917[[#This Row],[model]],-1,0)+1, OFFSET(_157721372917[[#This Row],[model]],-1,0))</f>
        <v>1</v>
      </c>
      <c r="B109">
        <v>11</v>
      </c>
      <c r="C109" s="5">
        <v>7.8703703703703702E-6</v>
      </c>
      <c r="D109">
        <v>2</v>
      </c>
      <c r="E109">
        <v>2</v>
      </c>
      <c r="F109">
        <v>1</v>
      </c>
      <c r="G109" s="5">
        <v>3.5879629629629629E-6</v>
      </c>
      <c r="H109" s="5">
        <v>6.9450231481481481E-3</v>
      </c>
      <c r="I109" s="5">
        <v>6.9452546296296293E-3</v>
      </c>
      <c r="J109" s="5">
        <v>3.5879629629629629E-6</v>
      </c>
      <c r="P109" s="1"/>
    </row>
    <row r="110" spans="1:24" x14ac:dyDescent="0.25">
      <c r="A110">
        <f ca="1">IF(_157721372917[[#This Row],[instance]]&lt;OFFSET(_157721372917[[#This Row],[instance]],-1,0), OFFSET(_157721372917[[#This Row],[model]],-1,0)+1, OFFSET(_157721372917[[#This Row],[model]],-1,0))</f>
        <v>1</v>
      </c>
      <c r="B110">
        <v>11</v>
      </c>
      <c r="C110" s="5">
        <v>1.4537037037037036E-4</v>
      </c>
      <c r="D110">
        <v>3</v>
      </c>
      <c r="E110">
        <v>3</v>
      </c>
      <c r="F110">
        <v>1</v>
      </c>
      <c r="G110" s="5">
        <v>3.5879629629629629E-6</v>
      </c>
      <c r="H110" s="5">
        <v>6.9450231481481481E-3</v>
      </c>
      <c r="I110" s="5">
        <v>6.9452546296296293E-3</v>
      </c>
      <c r="J110" s="5">
        <v>3.5879629629629629E-6</v>
      </c>
      <c r="P110" s="1"/>
    </row>
    <row r="111" spans="1:24" x14ac:dyDescent="0.25">
      <c r="A111">
        <f ca="1">IF(_157721372917[[#This Row],[instance]]&lt;OFFSET(_157721372917[[#This Row],[instance]],-1,0), OFFSET(_157721372917[[#This Row],[model]],-1,0)+1, OFFSET(_157721372917[[#This Row],[model]],-1,0))</f>
        <v>1</v>
      </c>
      <c r="B111">
        <v>11</v>
      </c>
      <c r="C111" s="5">
        <v>1.4537037037037036E-4</v>
      </c>
      <c r="D111">
        <v>4</v>
      </c>
      <c r="E111">
        <v>4</v>
      </c>
      <c r="F111">
        <v>1</v>
      </c>
      <c r="G111" s="5">
        <v>3.5879629629629629E-6</v>
      </c>
      <c r="H111" s="5">
        <v>6.9450231481481481E-3</v>
      </c>
      <c r="I111" s="5">
        <v>6.9452546296296293E-3</v>
      </c>
      <c r="J111" s="5">
        <v>3.5879629629629629E-6</v>
      </c>
      <c r="P111" s="1"/>
    </row>
    <row r="112" spans="1:24" x14ac:dyDescent="0.25">
      <c r="A112">
        <f ca="1">IF(_157721372917[[#This Row],[instance]]&lt;OFFSET(_157721372917[[#This Row],[instance]],-1,0), OFFSET(_157721372917[[#This Row],[model]],-1,0)+1, OFFSET(_157721372917[[#This Row],[model]],-1,0))</f>
        <v>1</v>
      </c>
      <c r="B112">
        <v>11</v>
      </c>
      <c r="C112" s="5">
        <v>1.4537037037037036E-4</v>
      </c>
      <c r="D112">
        <v>5</v>
      </c>
      <c r="E112">
        <v>5</v>
      </c>
      <c r="F112">
        <v>1</v>
      </c>
      <c r="G112" s="5">
        <v>3.5879629629629629E-6</v>
      </c>
      <c r="H112" s="5">
        <v>6.9450231481481481E-3</v>
      </c>
      <c r="I112" s="5">
        <v>6.9452546296296293E-3</v>
      </c>
      <c r="J112" s="5">
        <v>3.5879629629629629E-6</v>
      </c>
      <c r="P112" s="1"/>
    </row>
    <row r="113" spans="1:16" x14ac:dyDescent="0.25">
      <c r="A113">
        <f ca="1">IF(_157721372917[[#This Row],[instance]]&lt;OFFSET(_157721372917[[#This Row],[instance]],-1,0), OFFSET(_157721372917[[#This Row],[model]],-1,0)+1, OFFSET(_157721372917[[#This Row],[model]],-1,0))</f>
        <v>1</v>
      </c>
      <c r="B113">
        <v>11</v>
      </c>
      <c r="C113" s="5">
        <v>1.454861111111111E-4</v>
      </c>
      <c r="D113">
        <v>6</v>
      </c>
      <c r="E113">
        <v>6</v>
      </c>
      <c r="F113">
        <v>1</v>
      </c>
      <c r="G113" s="5">
        <v>3.5879629629629629E-6</v>
      </c>
      <c r="H113" s="5">
        <v>6.9450231481481481E-3</v>
      </c>
      <c r="I113" s="5">
        <v>6.9452546296296293E-3</v>
      </c>
      <c r="J113" s="5">
        <v>3.5879629629629629E-6</v>
      </c>
      <c r="P113" s="1"/>
    </row>
    <row r="114" spans="1:16" x14ac:dyDescent="0.25">
      <c r="A114">
        <f ca="1">IF(_157721372917[[#This Row],[instance]]&lt;OFFSET(_157721372917[[#This Row],[instance]],-1,0), OFFSET(_157721372917[[#This Row],[model]],-1,0)+1, OFFSET(_157721372917[[#This Row],[model]],-1,0))</f>
        <v>1</v>
      </c>
      <c r="B114">
        <v>11</v>
      </c>
      <c r="C114" s="5">
        <v>1.454861111111111E-4</v>
      </c>
      <c r="D114">
        <v>7</v>
      </c>
      <c r="E114">
        <v>7</v>
      </c>
      <c r="F114">
        <v>1</v>
      </c>
      <c r="G114" s="5">
        <v>3.5879629629629629E-6</v>
      </c>
      <c r="H114" s="5">
        <v>6.9450231481481481E-3</v>
      </c>
      <c r="I114" s="5">
        <v>6.9452546296296293E-3</v>
      </c>
      <c r="J114" s="5">
        <v>3.5879629629629629E-6</v>
      </c>
      <c r="P114" s="1"/>
    </row>
    <row r="115" spans="1:16" x14ac:dyDescent="0.25">
      <c r="A115">
        <f ca="1">IF(_157721372917[[#This Row],[instance]]&lt;OFFSET(_157721372917[[#This Row],[instance]],-1,0), OFFSET(_157721372917[[#This Row],[model]],-1,0)+1, OFFSET(_157721372917[[#This Row],[model]],-1,0))</f>
        <v>1</v>
      </c>
      <c r="B115">
        <v>11</v>
      </c>
      <c r="C115" s="5">
        <v>1.4560185185185184E-4</v>
      </c>
      <c r="D115">
        <v>8</v>
      </c>
      <c r="E115">
        <v>8</v>
      </c>
      <c r="F115">
        <v>1</v>
      </c>
      <c r="G115" s="5">
        <v>3.5879629629629629E-6</v>
      </c>
      <c r="H115" s="5">
        <v>6.9450231481481481E-3</v>
      </c>
      <c r="I115" s="5">
        <v>6.9452546296296293E-3</v>
      </c>
      <c r="J115" s="5">
        <v>3.5879629629629629E-6</v>
      </c>
      <c r="P115" s="1"/>
    </row>
    <row r="116" spans="1:16" x14ac:dyDescent="0.25">
      <c r="A116">
        <f ca="1">IF(_157721372917[[#This Row],[instance]]&lt;OFFSET(_157721372917[[#This Row],[instance]],-1,0), OFFSET(_157721372917[[#This Row],[model]],-1,0)+1, OFFSET(_157721372917[[#This Row],[model]],-1,0))</f>
        <v>1</v>
      </c>
      <c r="B116">
        <v>12</v>
      </c>
      <c r="C116" s="5">
        <v>8.3333333333333337E-6</v>
      </c>
      <c r="D116">
        <v>0</v>
      </c>
      <c r="E116">
        <v>0</v>
      </c>
      <c r="F116">
        <v>0</v>
      </c>
      <c r="G116" s="5">
        <v>3.5879629629629629E-6</v>
      </c>
      <c r="H116" s="5">
        <v>6.9452546296296293E-3</v>
      </c>
      <c r="I116" s="5">
        <v>6.9452546296296293E-3</v>
      </c>
      <c r="J116" s="5">
        <v>3.5879629629629629E-6</v>
      </c>
      <c r="P116" s="1"/>
    </row>
    <row r="117" spans="1:16" x14ac:dyDescent="0.25">
      <c r="A117">
        <f ca="1">IF(_157721372917[[#This Row],[instance]]&lt;OFFSET(_157721372917[[#This Row],[instance]],-1,0), OFFSET(_157721372917[[#This Row],[model]],-1,0)+1, OFFSET(_157721372917[[#This Row],[model]],-1,0))</f>
        <v>1</v>
      </c>
      <c r="B117">
        <v>12</v>
      </c>
      <c r="C117" s="5">
        <v>8.3333333333333337E-6</v>
      </c>
      <c r="D117">
        <v>3</v>
      </c>
      <c r="E117">
        <v>1</v>
      </c>
      <c r="F117">
        <v>1</v>
      </c>
      <c r="G117" s="5">
        <v>3.5879629629629629E-6</v>
      </c>
      <c r="H117" s="5">
        <v>6.9452546296296293E-3</v>
      </c>
      <c r="I117" s="5">
        <v>6.9452546296296293E-3</v>
      </c>
      <c r="J117" s="5">
        <v>3.5879629629629629E-6</v>
      </c>
      <c r="P117" s="1"/>
    </row>
    <row r="118" spans="1:16" x14ac:dyDescent="0.25">
      <c r="A118">
        <f ca="1">IF(_157721372917[[#This Row],[instance]]&lt;OFFSET(_157721372917[[#This Row],[instance]],-1,0), OFFSET(_157721372917[[#This Row],[model]],-1,0)+1, OFFSET(_157721372917[[#This Row],[model]],-1,0))</f>
        <v>1</v>
      </c>
      <c r="B118">
        <v>12</v>
      </c>
      <c r="C118" s="5">
        <v>8.4490740740740738E-6</v>
      </c>
      <c r="D118">
        <v>6</v>
      </c>
      <c r="E118">
        <v>2</v>
      </c>
      <c r="F118">
        <v>2</v>
      </c>
      <c r="G118" s="5">
        <v>3.5879629629629629E-6</v>
      </c>
      <c r="H118" s="5">
        <v>6.9452546296296293E-3</v>
      </c>
      <c r="I118" s="5">
        <v>6.9452546296296293E-3</v>
      </c>
      <c r="J118" s="5">
        <v>3.5879629629629629E-6</v>
      </c>
      <c r="P118" s="1"/>
    </row>
    <row r="119" spans="1:16" x14ac:dyDescent="0.25">
      <c r="A119">
        <f ca="1">IF(_157721372917[[#This Row],[instance]]&lt;OFFSET(_157721372917[[#This Row],[instance]],-1,0), OFFSET(_157721372917[[#This Row],[model]],-1,0)+1, OFFSET(_157721372917[[#This Row],[model]],-1,0))</f>
        <v>1</v>
      </c>
      <c r="B119">
        <v>12</v>
      </c>
      <c r="C119" s="5">
        <v>1.2743055555555554E-4</v>
      </c>
      <c r="D119">
        <v>9</v>
      </c>
      <c r="E119">
        <v>3</v>
      </c>
      <c r="F119">
        <v>3</v>
      </c>
      <c r="G119" s="5">
        <v>3.5879629629629629E-6</v>
      </c>
      <c r="H119" s="5">
        <v>6.9452546296296293E-3</v>
      </c>
      <c r="I119" s="5">
        <v>6.9452546296296293E-3</v>
      </c>
      <c r="J119" s="5">
        <v>3.5879629629629629E-6</v>
      </c>
      <c r="P119" s="1"/>
    </row>
    <row r="120" spans="1:16" x14ac:dyDescent="0.25">
      <c r="A120">
        <f ca="1">IF(_157721372917[[#This Row],[instance]]&lt;OFFSET(_157721372917[[#This Row],[instance]],-1,0), OFFSET(_157721372917[[#This Row],[model]],-1,0)+1, OFFSET(_157721372917[[#This Row],[model]],-1,0))</f>
        <v>1</v>
      </c>
      <c r="B120">
        <v>12</v>
      </c>
      <c r="C120" s="5">
        <v>1.3275462962962961E-4</v>
      </c>
      <c r="D120">
        <v>12</v>
      </c>
      <c r="E120">
        <v>4</v>
      </c>
      <c r="F120">
        <v>4</v>
      </c>
      <c r="G120" s="5">
        <v>3.5879629629629629E-6</v>
      </c>
      <c r="H120" s="5">
        <v>6.9452546296296293E-3</v>
      </c>
      <c r="I120" s="5">
        <v>6.9452546296296293E-3</v>
      </c>
      <c r="J120" s="5">
        <v>3.5879629629629629E-6</v>
      </c>
      <c r="P120" s="1"/>
    </row>
    <row r="121" spans="1:16" x14ac:dyDescent="0.25">
      <c r="A121">
        <f ca="1">IF(_157721372917[[#This Row],[instance]]&lt;OFFSET(_157721372917[[#This Row],[instance]],-1,0), OFFSET(_157721372917[[#This Row],[model]],-1,0)+1, OFFSET(_157721372917[[#This Row],[model]],-1,0))</f>
        <v>1</v>
      </c>
      <c r="B121">
        <v>12</v>
      </c>
      <c r="C121" s="5">
        <v>1.3807870370370371E-4</v>
      </c>
      <c r="D121">
        <v>15</v>
      </c>
      <c r="E121">
        <v>5</v>
      </c>
      <c r="F121">
        <v>5</v>
      </c>
      <c r="G121" s="5">
        <v>3.5879629629629629E-6</v>
      </c>
      <c r="H121" s="5">
        <v>6.9452546296296293E-3</v>
      </c>
      <c r="I121" s="5">
        <v>6.9452546296296293E-3</v>
      </c>
      <c r="J121" s="5">
        <v>3.5879629629629629E-6</v>
      </c>
      <c r="P121" s="1"/>
    </row>
    <row r="122" spans="1:16" x14ac:dyDescent="0.25">
      <c r="A122">
        <f ca="1">IF(_157721372917[[#This Row],[instance]]&lt;OFFSET(_157721372917[[#This Row],[instance]],-1,0), OFFSET(_157721372917[[#This Row],[model]],-1,0)+1, OFFSET(_157721372917[[#This Row],[model]],-1,0))</f>
        <v>1</v>
      </c>
      <c r="B122">
        <v>12</v>
      </c>
      <c r="C122" s="5">
        <v>3.417824074074074E-4</v>
      </c>
      <c r="D122">
        <v>16.125</v>
      </c>
      <c r="E122">
        <v>8</v>
      </c>
      <c r="F122">
        <v>6</v>
      </c>
      <c r="G122" s="5">
        <v>3.5879629629629629E-6</v>
      </c>
      <c r="H122" s="5">
        <v>6.9452546296296293E-3</v>
      </c>
      <c r="I122" s="5">
        <v>6.9452546296296293E-3</v>
      </c>
      <c r="J122" s="5">
        <v>3.5879629629629629E-6</v>
      </c>
      <c r="P122" s="1"/>
    </row>
    <row r="123" spans="1:16" x14ac:dyDescent="0.25">
      <c r="A123">
        <f ca="1">IF(_157721372917[[#This Row],[instance]]&lt;OFFSET(_157721372917[[#This Row],[instance]],-1,0), OFFSET(_157721372917[[#This Row],[model]],-1,0)+1, OFFSET(_157721372917[[#This Row],[model]],-1,0))</f>
        <v>1</v>
      </c>
      <c r="B123">
        <v>12</v>
      </c>
      <c r="C123" s="5">
        <v>3.5219907407407406E-4</v>
      </c>
      <c r="D123">
        <v>16.5</v>
      </c>
      <c r="E123">
        <v>9</v>
      </c>
      <c r="F123">
        <v>6</v>
      </c>
      <c r="G123" s="5">
        <v>3.5879629629629629E-6</v>
      </c>
      <c r="H123" s="5">
        <v>6.9452546296296293E-3</v>
      </c>
      <c r="I123" s="5">
        <v>6.9452546296296293E-3</v>
      </c>
      <c r="J123" s="5">
        <v>3.5879629629629629E-6</v>
      </c>
      <c r="P123" s="1"/>
    </row>
    <row r="124" spans="1:16" x14ac:dyDescent="0.25">
      <c r="A124">
        <f ca="1">IF(_157721372917[[#This Row],[instance]]&lt;OFFSET(_157721372917[[#This Row],[instance]],-1,0), OFFSET(_157721372917[[#This Row],[model]],-1,0)+1, OFFSET(_157721372917[[#This Row],[model]],-1,0))</f>
        <v>1</v>
      </c>
      <c r="B124">
        <v>13</v>
      </c>
      <c r="C124" s="5">
        <v>8.5648148148148138E-6</v>
      </c>
      <c r="D124">
        <v>0</v>
      </c>
      <c r="E124">
        <v>0</v>
      </c>
      <c r="F124">
        <v>0</v>
      </c>
      <c r="G124" s="5">
        <v>3.5879629629629629E-6</v>
      </c>
      <c r="H124" s="5">
        <v>6.9452546296296293E-3</v>
      </c>
      <c r="I124" s="5">
        <v>6.9452546296296293E-3</v>
      </c>
      <c r="J124" s="5">
        <v>3.5879629629629629E-6</v>
      </c>
      <c r="P124" s="1"/>
    </row>
    <row r="125" spans="1:16" x14ac:dyDescent="0.25">
      <c r="A125">
        <f ca="1">IF(_157721372917[[#This Row],[instance]]&lt;OFFSET(_157721372917[[#This Row],[instance]],-1,0), OFFSET(_157721372917[[#This Row],[model]],-1,0)+1, OFFSET(_157721372917[[#This Row],[model]],-1,0))</f>
        <v>1</v>
      </c>
      <c r="B125">
        <v>13</v>
      </c>
      <c r="C125" s="5">
        <v>9.1435185185185174E-6</v>
      </c>
      <c r="D125">
        <v>3</v>
      </c>
      <c r="E125">
        <v>1</v>
      </c>
      <c r="F125">
        <v>1</v>
      </c>
      <c r="G125" s="5">
        <v>3.5879629629629629E-6</v>
      </c>
      <c r="H125" s="5">
        <v>6.9452546296296293E-3</v>
      </c>
      <c r="I125" s="5">
        <v>6.9452546296296293E-3</v>
      </c>
      <c r="J125" s="5">
        <v>3.5879629629629629E-6</v>
      </c>
      <c r="P125" s="1"/>
    </row>
    <row r="126" spans="1:16" x14ac:dyDescent="0.25">
      <c r="A126">
        <f ca="1">IF(_157721372917[[#This Row],[instance]]&lt;OFFSET(_157721372917[[#This Row],[instance]],-1,0), OFFSET(_157721372917[[#This Row],[model]],-1,0)+1, OFFSET(_157721372917[[#This Row],[model]],-1,0))</f>
        <v>1</v>
      </c>
      <c r="B126">
        <v>13</v>
      </c>
      <c r="C126" s="5">
        <v>9.2592592592592591E-6</v>
      </c>
      <c r="D126">
        <v>6</v>
      </c>
      <c r="E126">
        <v>2</v>
      </c>
      <c r="F126">
        <v>2</v>
      </c>
      <c r="G126" s="5">
        <v>3.5879629629629629E-6</v>
      </c>
      <c r="H126" s="5">
        <v>6.9452546296296293E-3</v>
      </c>
      <c r="I126" s="5">
        <v>6.9452546296296293E-3</v>
      </c>
      <c r="J126" s="5">
        <v>3.5879629629629629E-6</v>
      </c>
      <c r="P126" s="1"/>
    </row>
    <row r="127" spans="1:16" x14ac:dyDescent="0.25">
      <c r="A127">
        <f ca="1">IF(_157721372917[[#This Row],[instance]]&lt;OFFSET(_157721372917[[#This Row],[instance]],-1,0), OFFSET(_157721372917[[#This Row],[model]],-1,0)+1, OFFSET(_157721372917[[#This Row],[model]],-1,0))</f>
        <v>1</v>
      </c>
      <c r="B127">
        <v>13</v>
      </c>
      <c r="C127" s="5">
        <v>4.8726851851851848E-5</v>
      </c>
      <c r="D127">
        <v>9</v>
      </c>
      <c r="E127">
        <v>3</v>
      </c>
      <c r="F127">
        <v>3</v>
      </c>
      <c r="G127" s="5">
        <v>3.5879629629629629E-6</v>
      </c>
      <c r="H127" s="5">
        <v>6.9452546296296293E-3</v>
      </c>
      <c r="I127" s="5">
        <v>6.9452546296296293E-3</v>
      </c>
      <c r="J127" s="5">
        <v>3.5879629629629629E-6</v>
      </c>
      <c r="P127" s="1"/>
    </row>
    <row r="128" spans="1:16" x14ac:dyDescent="0.25">
      <c r="A128">
        <f ca="1">IF(_157721372917[[#This Row],[instance]]&lt;OFFSET(_157721372917[[#This Row],[instance]],-1,0), OFFSET(_157721372917[[#This Row],[model]],-1,0)+1, OFFSET(_157721372917[[#This Row],[model]],-1,0))</f>
        <v>1</v>
      </c>
      <c r="B128">
        <v>13</v>
      </c>
      <c r="C128" s="5">
        <v>5.0694444444444443E-5</v>
      </c>
      <c r="D128">
        <v>12</v>
      </c>
      <c r="E128">
        <v>4</v>
      </c>
      <c r="F128">
        <v>4</v>
      </c>
      <c r="G128" s="5">
        <v>3.5879629629629629E-6</v>
      </c>
      <c r="H128" s="5">
        <v>6.9452546296296293E-3</v>
      </c>
      <c r="I128" s="5">
        <v>6.9452546296296293E-3</v>
      </c>
      <c r="J128" s="5">
        <v>3.5879629629629629E-6</v>
      </c>
      <c r="P128" s="1"/>
    </row>
    <row r="129" spans="1:16" x14ac:dyDescent="0.25">
      <c r="A129">
        <f ca="1">IF(_157721372917[[#This Row],[instance]]&lt;OFFSET(_157721372917[[#This Row],[instance]],-1,0), OFFSET(_157721372917[[#This Row],[model]],-1,0)+1, OFFSET(_157721372917[[#This Row],[model]],-1,0))</f>
        <v>1</v>
      </c>
      <c r="B129">
        <v>13</v>
      </c>
      <c r="C129" s="5">
        <v>5.3472222222222217E-5</v>
      </c>
      <c r="D129">
        <v>15</v>
      </c>
      <c r="E129">
        <v>5</v>
      </c>
      <c r="F129">
        <v>5</v>
      </c>
      <c r="G129" s="5">
        <v>3.5879629629629629E-6</v>
      </c>
      <c r="H129" s="5">
        <v>6.9452546296296293E-3</v>
      </c>
      <c r="I129" s="5">
        <v>6.9452546296296293E-3</v>
      </c>
      <c r="J129" s="5">
        <v>3.5879629629629629E-6</v>
      </c>
      <c r="P129" s="1"/>
    </row>
    <row r="130" spans="1:16" x14ac:dyDescent="0.25">
      <c r="A130">
        <f ca="1">IF(_157721372917[[#This Row],[instance]]&lt;OFFSET(_157721372917[[#This Row],[instance]],-1,0), OFFSET(_157721372917[[#This Row],[model]],-1,0)+1, OFFSET(_157721372917[[#This Row],[model]],-1,0))</f>
        <v>1</v>
      </c>
      <c r="B130">
        <v>14</v>
      </c>
      <c r="C130" s="5">
        <v>8.101851851851852E-6</v>
      </c>
      <c r="D130">
        <v>0</v>
      </c>
      <c r="E130">
        <v>0</v>
      </c>
      <c r="F130">
        <v>0</v>
      </c>
      <c r="G130" s="5">
        <v>3.472222222222222E-6</v>
      </c>
      <c r="H130" s="5">
        <v>6.9452546296296293E-3</v>
      </c>
      <c r="I130" s="5">
        <v>6.9452546296296293E-3</v>
      </c>
      <c r="J130" s="5">
        <v>3.5879629629629629E-6</v>
      </c>
      <c r="P130" s="1"/>
    </row>
    <row r="131" spans="1:16" x14ac:dyDescent="0.25">
      <c r="A131">
        <f ca="1">IF(_157721372917[[#This Row],[instance]]&lt;OFFSET(_157721372917[[#This Row],[instance]],-1,0), OFFSET(_157721372917[[#This Row],[model]],-1,0)+1, OFFSET(_157721372917[[#This Row],[model]],-1,0))</f>
        <v>1</v>
      </c>
      <c r="B131">
        <v>14</v>
      </c>
      <c r="C131" s="5">
        <v>8.217592592592592E-6</v>
      </c>
      <c r="D131">
        <v>3</v>
      </c>
      <c r="E131">
        <v>1</v>
      </c>
      <c r="F131">
        <v>1</v>
      </c>
      <c r="G131" s="5">
        <v>3.472222222222222E-6</v>
      </c>
      <c r="H131" s="5">
        <v>6.9452546296296293E-3</v>
      </c>
      <c r="I131" s="5">
        <v>6.9452546296296293E-3</v>
      </c>
      <c r="J131" s="5">
        <v>3.5879629629629629E-6</v>
      </c>
      <c r="P131" s="1"/>
    </row>
    <row r="132" spans="1:16" x14ac:dyDescent="0.25">
      <c r="A132">
        <f ca="1">IF(_157721372917[[#This Row],[instance]]&lt;OFFSET(_157721372917[[#This Row],[instance]],-1,0), OFFSET(_157721372917[[#This Row],[model]],-1,0)+1, OFFSET(_157721372917[[#This Row],[model]],-1,0))</f>
        <v>1</v>
      </c>
      <c r="B132">
        <v>14</v>
      </c>
      <c r="C132" s="5">
        <v>8.217592592592592E-6</v>
      </c>
      <c r="D132">
        <v>6</v>
      </c>
      <c r="E132">
        <v>2</v>
      </c>
      <c r="F132">
        <v>2</v>
      </c>
      <c r="G132" s="5">
        <v>3.472222222222222E-6</v>
      </c>
      <c r="H132" s="5">
        <v>6.9452546296296293E-3</v>
      </c>
      <c r="I132" s="5">
        <v>6.9452546296296293E-3</v>
      </c>
      <c r="J132" s="5">
        <v>3.5879629629629629E-6</v>
      </c>
      <c r="P132" s="1"/>
    </row>
    <row r="133" spans="1:16" x14ac:dyDescent="0.25">
      <c r="A133">
        <f ca="1">IF(_157721372917[[#This Row],[instance]]&lt;OFFSET(_157721372917[[#This Row],[instance]],-1,0), OFFSET(_157721372917[[#This Row],[model]],-1,0)+1, OFFSET(_157721372917[[#This Row],[model]],-1,0))</f>
        <v>1</v>
      </c>
      <c r="B133">
        <v>14</v>
      </c>
      <c r="C133" s="5">
        <v>8.217592592592592E-6</v>
      </c>
      <c r="D133">
        <v>9</v>
      </c>
      <c r="E133">
        <v>3</v>
      </c>
      <c r="F133">
        <v>3</v>
      </c>
      <c r="G133" s="5">
        <v>3.472222222222222E-6</v>
      </c>
      <c r="H133" s="5">
        <v>6.9452546296296293E-3</v>
      </c>
      <c r="I133" s="5">
        <v>6.9452546296296293E-3</v>
      </c>
      <c r="J133" s="5">
        <v>3.5879629629629629E-6</v>
      </c>
      <c r="P133" s="1"/>
    </row>
    <row r="134" spans="1:16" x14ac:dyDescent="0.25">
      <c r="A134">
        <f ca="1">IF(_157721372917[[#This Row],[instance]]&lt;OFFSET(_157721372917[[#This Row],[instance]],-1,0), OFFSET(_157721372917[[#This Row],[model]],-1,0)+1, OFFSET(_157721372917[[#This Row],[model]],-1,0))</f>
        <v>1</v>
      </c>
      <c r="B134">
        <v>14</v>
      </c>
      <c r="C134" s="5">
        <v>8.4490740740740738E-6</v>
      </c>
      <c r="D134">
        <v>12</v>
      </c>
      <c r="E134">
        <v>4</v>
      </c>
      <c r="F134">
        <v>4</v>
      </c>
      <c r="G134" s="5">
        <v>3.472222222222222E-6</v>
      </c>
      <c r="H134" s="5">
        <v>6.9452546296296293E-3</v>
      </c>
      <c r="I134" s="5">
        <v>6.9452546296296293E-3</v>
      </c>
      <c r="J134" s="5">
        <v>3.5879629629629629E-6</v>
      </c>
      <c r="P134" s="1"/>
    </row>
    <row r="135" spans="1:16" x14ac:dyDescent="0.25">
      <c r="A135">
        <f ca="1">IF(_157721372917[[#This Row],[instance]]&lt;OFFSET(_157721372917[[#This Row],[instance]],-1,0), OFFSET(_157721372917[[#This Row],[model]],-1,0)+1, OFFSET(_157721372917[[#This Row],[model]],-1,0))</f>
        <v>1</v>
      </c>
      <c r="B135">
        <v>14</v>
      </c>
      <c r="C135" s="5">
        <v>1.0185185185185185E-5</v>
      </c>
      <c r="D135">
        <v>15</v>
      </c>
      <c r="E135">
        <v>5</v>
      </c>
      <c r="F135">
        <v>5</v>
      </c>
      <c r="G135" s="5">
        <v>3.472222222222222E-6</v>
      </c>
      <c r="H135" s="5">
        <v>6.9452546296296293E-3</v>
      </c>
      <c r="I135" s="5">
        <v>6.9452546296296293E-3</v>
      </c>
      <c r="J135" s="5">
        <v>3.5879629629629629E-6</v>
      </c>
      <c r="P135" s="1"/>
    </row>
    <row r="136" spans="1:16" x14ac:dyDescent="0.25">
      <c r="A136">
        <f ca="1">IF(_157721372917[[#This Row],[instance]]&lt;OFFSET(_157721372917[[#This Row],[instance]],-1,0), OFFSET(_157721372917[[#This Row],[model]],-1,0)+1, OFFSET(_157721372917[[#This Row],[model]],-1,0))</f>
        <v>1</v>
      </c>
      <c r="B136">
        <v>14</v>
      </c>
      <c r="C136" s="5">
        <v>3.0787037037037034E-5</v>
      </c>
      <c r="D136">
        <v>18</v>
      </c>
      <c r="E136">
        <v>6</v>
      </c>
      <c r="F136">
        <v>6</v>
      </c>
      <c r="G136" s="5">
        <v>3.472222222222222E-6</v>
      </c>
      <c r="H136" s="5">
        <v>6.9452546296296293E-3</v>
      </c>
      <c r="I136" s="5">
        <v>6.9452546296296293E-3</v>
      </c>
      <c r="J136" s="5">
        <v>3.5879629629629629E-6</v>
      </c>
      <c r="P136" s="1"/>
    </row>
    <row r="137" spans="1:16" x14ac:dyDescent="0.25">
      <c r="A137">
        <f ca="1">IF(_157721372917[[#This Row],[instance]]&lt;OFFSET(_157721372917[[#This Row],[instance]],-1,0), OFFSET(_157721372917[[#This Row],[model]],-1,0)+1, OFFSET(_157721372917[[#This Row],[model]],-1,0))</f>
        <v>1</v>
      </c>
      <c r="B137">
        <v>14</v>
      </c>
      <c r="C137" s="5">
        <v>3.0081018518518515E-4</v>
      </c>
      <c r="D137">
        <v>21</v>
      </c>
      <c r="E137">
        <v>7</v>
      </c>
      <c r="F137">
        <v>7</v>
      </c>
      <c r="G137" s="5">
        <v>3.472222222222222E-6</v>
      </c>
      <c r="H137" s="5">
        <v>6.9452546296296293E-3</v>
      </c>
      <c r="I137" s="5">
        <v>6.9452546296296293E-3</v>
      </c>
      <c r="J137" s="5">
        <v>3.5879629629629629E-6</v>
      </c>
      <c r="P137" s="1"/>
    </row>
    <row r="138" spans="1:16" x14ac:dyDescent="0.25">
      <c r="A138">
        <f ca="1">IF(_157721372917[[#This Row],[instance]]&lt;OFFSET(_157721372917[[#This Row],[instance]],-1,0), OFFSET(_157721372917[[#This Row],[model]],-1,0)+1, OFFSET(_157721372917[[#This Row],[model]],-1,0))</f>
        <v>1</v>
      </c>
      <c r="B138">
        <v>14</v>
      </c>
      <c r="C138" s="5">
        <v>6.2546296296296297E-4</v>
      </c>
      <c r="D138">
        <v>24</v>
      </c>
      <c r="E138">
        <v>8</v>
      </c>
      <c r="F138">
        <v>8</v>
      </c>
      <c r="G138" s="5">
        <v>3.472222222222222E-6</v>
      </c>
      <c r="H138" s="5">
        <v>6.9452546296296293E-3</v>
      </c>
      <c r="I138" s="5">
        <v>6.9452546296296293E-3</v>
      </c>
      <c r="J138" s="5">
        <v>3.5879629629629629E-6</v>
      </c>
      <c r="P138" s="1"/>
    </row>
    <row r="139" spans="1:16" x14ac:dyDescent="0.25">
      <c r="A139">
        <f ca="1">IF(_157721372917[[#This Row],[instance]]&lt;OFFSET(_157721372917[[#This Row],[instance]],-1,0), OFFSET(_157721372917[[#This Row],[model]],-1,0)+1, OFFSET(_157721372917[[#This Row],[model]],-1,0))</f>
        <v>1</v>
      </c>
      <c r="B139">
        <v>15</v>
      </c>
      <c r="C139" s="5">
        <v>8.217592592592592E-6</v>
      </c>
      <c r="D139">
        <v>0</v>
      </c>
      <c r="E139">
        <v>0</v>
      </c>
      <c r="F139">
        <v>0</v>
      </c>
      <c r="G139" s="5">
        <v>3.5879629629629629E-6</v>
      </c>
      <c r="H139" s="5">
        <v>6.9452546296296293E-3</v>
      </c>
      <c r="I139" s="5">
        <v>6.9452546296296293E-3</v>
      </c>
      <c r="J139" s="5">
        <v>3.5879629629629629E-6</v>
      </c>
      <c r="P139" s="1"/>
    </row>
    <row r="140" spans="1:16" x14ac:dyDescent="0.25">
      <c r="A140">
        <f ca="1">IF(_157721372917[[#This Row],[instance]]&lt;OFFSET(_157721372917[[#This Row],[instance]],-1,0), OFFSET(_157721372917[[#This Row],[model]],-1,0)+1, OFFSET(_157721372917[[#This Row],[model]],-1,0))</f>
        <v>1</v>
      </c>
      <c r="B140">
        <v>15</v>
      </c>
      <c r="C140" s="5">
        <v>8.217592592592592E-6</v>
      </c>
      <c r="D140">
        <v>3</v>
      </c>
      <c r="E140">
        <v>1</v>
      </c>
      <c r="F140">
        <v>1</v>
      </c>
      <c r="G140" s="5">
        <v>3.5879629629629629E-6</v>
      </c>
      <c r="H140" s="5">
        <v>6.9452546296296293E-3</v>
      </c>
      <c r="I140" s="5">
        <v>6.9452546296296293E-3</v>
      </c>
      <c r="J140" s="5">
        <v>3.5879629629629629E-6</v>
      </c>
      <c r="P140" s="1"/>
    </row>
    <row r="141" spans="1:16" x14ac:dyDescent="0.25">
      <c r="A141">
        <f ca="1">IF(_157721372917[[#This Row],[instance]]&lt;OFFSET(_157721372917[[#This Row],[instance]],-1,0), OFFSET(_157721372917[[#This Row],[model]],-1,0)+1, OFFSET(_157721372917[[#This Row],[model]],-1,0))</f>
        <v>1</v>
      </c>
      <c r="B141">
        <v>15</v>
      </c>
      <c r="C141" s="5">
        <v>8.217592592592592E-6</v>
      </c>
      <c r="D141">
        <v>6</v>
      </c>
      <c r="E141">
        <v>2</v>
      </c>
      <c r="F141">
        <v>2</v>
      </c>
      <c r="G141" s="5">
        <v>3.5879629629629629E-6</v>
      </c>
      <c r="H141" s="5">
        <v>6.9452546296296293E-3</v>
      </c>
      <c r="I141" s="5">
        <v>6.9452546296296293E-3</v>
      </c>
      <c r="J141" s="5">
        <v>3.5879629629629629E-6</v>
      </c>
      <c r="P141" s="1"/>
    </row>
    <row r="142" spans="1:16" x14ac:dyDescent="0.25">
      <c r="A142">
        <f ca="1">IF(_157721372917[[#This Row],[instance]]&lt;OFFSET(_157721372917[[#This Row],[instance]],-1,0), OFFSET(_157721372917[[#This Row],[model]],-1,0)+1, OFFSET(_157721372917[[#This Row],[model]],-1,0))</f>
        <v>1</v>
      </c>
      <c r="B142">
        <v>15</v>
      </c>
      <c r="C142" s="5">
        <v>8.3333333333333337E-6</v>
      </c>
      <c r="D142">
        <v>9</v>
      </c>
      <c r="E142">
        <v>3</v>
      </c>
      <c r="F142">
        <v>3</v>
      </c>
      <c r="G142" s="5">
        <v>3.5879629629629629E-6</v>
      </c>
      <c r="H142" s="5">
        <v>6.9452546296296293E-3</v>
      </c>
      <c r="I142" s="5">
        <v>6.9452546296296293E-3</v>
      </c>
      <c r="J142" s="5">
        <v>3.5879629629629629E-6</v>
      </c>
      <c r="P142" s="1"/>
    </row>
    <row r="143" spans="1:16" x14ac:dyDescent="0.25">
      <c r="A143">
        <f ca="1">IF(_157721372917[[#This Row],[instance]]&lt;OFFSET(_157721372917[[#This Row],[instance]],-1,0), OFFSET(_157721372917[[#This Row],[model]],-1,0)+1, OFFSET(_157721372917[[#This Row],[model]],-1,0))</f>
        <v>1</v>
      </c>
      <c r="B143">
        <v>15</v>
      </c>
      <c r="C143" s="5">
        <v>8.4490740740740738E-6</v>
      </c>
      <c r="D143">
        <v>10.5</v>
      </c>
      <c r="E143">
        <v>4</v>
      </c>
      <c r="F143">
        <v>4</v>
      </c>
      <c r="G143" s="5">
        <v>3.5879629629629629E-6</v>
      </c>
      <c r="H143" s="5">
        <v>6.9452546296296293E-3</v>
      </c>
      <c r="I143" s="5">
        <v>6.9452546296296293E-3</v>
      </c>
      <c r="J143" s="5">
        <v>3.5879629629629629E-6</v>
      </c>
      <c r="P143" s="1"/>
    </row>
    <row r="144" spans="1:16" x14ac:dyDescent="0.25">
      <c r="A144">
        <f ca="1">IF(_157721372917[[#This Row],[instance]]&lt;OFFSET(_157721372917[[#This Row],[instance]],-1,0), OFFSET(_157721372917[[#This Row],[model]],-1,0)+1, OFFSET(_157721372917[[#This Row],[model]],-1,0))</f>
        <v>1</v>
      </c>
      <c r="B144">
        <v>15</v>
      </c>
      <c r="C144" s="5">
        <v>8.4490740740740738E-6</v>
      </c>
      <c r="D144">
        <v>12</v>
      </c>
      <c r="E144">
        <v>4</v>
      </c>
      <c r="F144">
        <v>4</v>
      </c>
      <c r="G144" s="5">
        <v>3.5879629629629629E-6</v>
      </c>
      <c r="H144" s="5">
        <v>6.9452546296296293E-3</v>
      </c>
      <c r="I144" s="5">
        <v>6.9452546296296293E-3</v>
      </c>
      <c r="J144" s="5">
        <v>3.5879629629629629E-6</v>
      </c>
      <c r="P144" s="1"/>
    </row>
    <row r="145" spans="1:16" x14ac:dyDescent="0.25">
      <c r="A145">
        <f ca="1">IF(_157721372917[[#This Row],[instance]]&lt;OFFSET(_157721372917[[#This Row],[instance]],-1,0), OFFSET(_157721372917[[#This Row],[model]],-1,0)+1, OFFSET(_157721372917[[#This Row],[model]],-1,0))</f>
        <v>1</v>
      </c>
      <c r="B145">
        <v>15</v>
      </c>
      <c r="C145" s="5">
        <v>9.2592592592592591E-6</v>
      </c>
      <c r="D145">
        <v>13.5</v>
      </c>
      <c r="E145">
        <v>5</v>
      </c>
      <c r="F145">
        <v>5</v>
      </c>
      <c r="G145" s="5">
        <v>3.5879629629629629E-6</v>
      </c>
      <c r="H145" s="5">
        <v>6.9452546296296293E-3</v>
      </c>
      <c r="I145" s="5">
        <v>6.9452546296296293E-3</v>
      </c>
      <c r="J145" s="5">
        <v>3.5879629629629629E-6</v>
      </c>
      <c r="P145" s="1"/>
    </row>
    <row r="146" spans="1:16" x14ac:dyDescent="0.25">
      <c r="A146">
        <f ca="1">IF(_157721372917[[#This Row],[instance]]&lt;OFFSET(_157721372917[[#This Row],[instance]],-1,0), OFFSET(_157721372917[[#This Row],[model]],-1,0)+1, OFFSET(_157721372917[[#This Row],[model]],-1,0))</f>
        <v>1</v>
      </c>
      <c r="B146">
        <v>15</v>
      </c>
      <c r="C146" s="5">
        <v>1.9907407407407406E-5</v>
      </c>
      <c r="D146">
        <v>15</v>
      </c>
      <c r="E146">
        <v>5</v>
      </c>
      <c r="F146">
        <v>5</v>
      </c>
      <c r="G146" s="5">
        <v>3.5879629629629629E-6</v>
      </c>
      <c r="H146" s="5">
        <v>6.9452546296296293E-3</v>
      </c>
      <c r="I146" s="5">
        <v>6.9452546296296293E-3</v>
      </c>
      <c r="J146" s="5">
        <v>3.5879629629629629E-6</v>
      </c>
      <c r="P146" s="1"/>
    </row>
    <row r="147" spans="1:16" x14ac:dyDescent="0.25">
      <c r="A147">
        <f ca="1">IF(_157721372917[[#This Row],[instance]]&lt;OFFSET(_157721372917[[#This Row],[instance]],-1,0), OFFSET(_157721372917[[#This Row],[model]],-1,0)+1, OFFSET(_157721372917[[#This Row],[model]],-1,0))</f>
        <v>1</v>
      </c>
      <c r="B147">
        <v>15</v>
      </c>
      <c r="C147" s="5">
        <v>1.9907407407407406E-5</v>
      </c>
      <c r="D147">
        <v>16.5</v>
      </c>
      <c r="E147">
        <v>6</v>
      </c>
      <c r="F147">
        <v>6</v>
      </c>
      <c r="G147" s="5">
        <v>3.5879629629629629E-6</v>
      </c>
      <c r="H147" s="5">
        <v>6.9452546296296293E-3</v>
      </c>
      <c r="I147" s="5">
        <v>6.9452546296296293E-3</v>
      </c>
      <c r="J147" s="5">
        <v>3.5879629629629629E-6</v>
      </c>
      <c r="P147" s="1"/>
    </row>
    <row r="148" spans="1:16" x14ac:dyDescent="0.25">
      <c r="A148">
        <f ca="1">IF(_157721372917[[#This Row],[instance]]&lt;OFFSET(_157721372917[[#This Row],[instance]],-1,0), OFFSET(_157721372917[[#This Row],[model]],-1,0)+1, OFFSET(_157721372917[[#This Row],[model]],-1,0))</f>
        <v>1</v>
      </c>
      <c r="B148">
        <v>15</v>
      </c>
      <c r="C148" s="5">
        <v>2.0138888888888889E-5</v>
      </c>
      <c r="D148">
        <v>18</v>
      </c>
      <c r="E148">
        <v>7</v>
      </c>
      <c r="F148">
        <v>6</v>
      </c>
      <c r="G148" s="5">
        <v>3.5879629629629629E-6</v>
      </c>
      <c r="H148" s="5">
        <v>6.9452546296296293E-3</v>
      </c>
      <c r="I148" s="5">
        <v>6.9452546296296293E-3</v>
      </c>
      <c r="J148" s="5">
        <v>3.5879629629629629E-6</v>
      </c>
      <c r="P148" s="1"/>
    </row>
    <row r="149" spans="1:16" x14ac:dyDescent="0.25">
      <c r="A149">
        <f ca="1">IF(_157721372917[[#This Row],[instance]]&lt;OFFSET(_157721372917[[#This Row],[instance]],-1,0), OFFSET(_157721372917[[#This Row],[model]],-1,0)+1, OFFSET(_157721372917[[#This Row],[model]],-1,0))</f>
        <v>1</v>
      </c>
      <c r="B149">
        <v>15</v>
      </c>
      <c r="C149" s="5">
        <v>2.4884259259259258E-5</v>
      </c>
      <c r="D149">
        <v>19</v>
      </c>
      <c r="E149">
        <v>8</v>
      </c>
      <c r="F149">
        <v>6</v>
      </c>
      <c r="G149" s="5">
        <v>3.5879629629629629E-6</v>
      </c>
      <c r="H149" s="5">
        <v>6.9452546296296293E-3</v>
      </c>
      <c r="I149" s="5">
        <v>6.9452546296296293E-3</v>
      </c>
      <c r="J149" s="5">
        <v>3.5879629629629629E-6</v>
      </c>
      <c r="P149" s="1"/>
    </row>
    <row r="150" spans="1:16" x14ac:dyDescent="0.25">
      <c r="A150">
        <f ca="1">IF(_157721372917[[#This Row],[instance]]&lt;OFFSET(_157721372917[[#This Row],[instance]],-1,0), OFFSET(_157721372917[[#This Row],[model]],-1,0)+1, OFFSET(_157721372917[[#This Row],[model]],-1,0))</f>
        <v>1</v>
      </c>
      <c r="B150">
        <v>15</v>
      </c>
      <c r="C150" s="5">
        <v>2.0717592592592592E-4</v>
      </c>
      <c r="D150">
        <v>20</v>
      </c>
      <c r="E150">
        <v>9</v>
      </c>
      <c r="F150">
        <v>8</v>
      </c>
      <c r="G150" s="5">
        <v>3.5879629629629629E-6</v>
      </c>
      <c r="H150" s="5">
        <v>6.9452546296296293E-3</v>
      </c>
      <c r="I150" s="5">
        <v>6.9452546296296293E-3</v>
      </c>
      <c r="J150" s="5">
        <v>3.5879629629629629E-6</v>
      </c>
      <c r="P150" s="1"/>
    </row>
    <row r="151" spans="1:16" x14ac:dyDescent="0.25">
      <c r="A151">
        <f ca="1">IF(_157721372917[[#This Row],[instance]]&lt;OFFSET(_157721372917[[#This Row],[instance]],-1,0), OFFSET(_157721372917[[#This Row],[model]],-1,0)+1, OFFSET(_157721372917[[#This Row],[model]],-1,0))</f>
        <v>1</v>
      </c>
      <c r="B151">
        <v>15</v>
      </c>
      <c r="C151" s="5">
        <v>2.0787037037037036E-4</v>
      </c>
      <c r="D151">
        <v>20</v>
      </c>
      <c r="E151">
        <v>9</v>
      </c>
      <c r="F151">
        <v>7</v>
      </c>
      <c r="G151" s="5">
        <v>3.5879629629629629E-6</v>
      </c>
      <c r="H151" s="5">
        <v>6.9452546296296293E-3</v>
      </c>
      <c r="I151" s="5">
        <v>6.9452546296296293E-3</v>
      </c>
      <c r="J151" s="5">
        <v>3.5879629629629629E-6</v>
      </c>
      <c r="P151" s="1"/>
    </row>
    <row r="152" spans="1:16" x14ac:dyDescent="0.25">
      <c r="A152">
        <f ca="1">IF(_157721372917[[#This Row],[instance]]&lt;OFFSET(_157721372917[[#This Row],[instance]],-1,0), OFFSET(_157721372917[[#This Row],[model]],-1,0)+1, OFFSET(_157721372917[[#This Row],[model]],-1,0))</f>
        <v>1</v>
      </c>
      <c r="B152">
        <v>15</v>
      </c>
      <c r="C152" s="5">
        <v>2.0833333333333332E-4</v>
      </c>
      <c r="D152">
        <v>20</v>
      </c>
      <c r="E152">
        <v>9</v>
      </c>
      <c r="F152">
        <v>6</v>
      </c>
      <c r="G152" s="5">
        <v>3.5879629629629629E-6</v>
      </c>
      <c r="H152" s="5">
        <v>6.9452546296296293E-3</v>
      </c>
      <c r="I152" s="5">
        <v>6.9452546296296293E-3</v>
      </c>
      <c r="J152" s="5">
        <v>3.5879629629629629E-6</v>
      </c>
      <c r="P152" s="1"/>
    </row>
    <row r="153" spans="1:16" x14ac:dyDescent="0.25">
      <c r="A153">
        <f ca="1">IF(_157721372917[[#This Row],[instance]]&lt;OFFSET(_157721372917[[#This Row],[instance]],-1,0), OFFSET(_157721372917[[#This Row],[model]],-1,0)+1, OFFSET(_157721372917[[#This Row],[model]],-1,0))</f>
        <v>1</v>
      </c>
      <c r="B153">
        <v>15</v>
      </c>
      <c r="C153" s="5">
        <v>6.2777777777777777E-4</v>
      </c>
      <c r="D153">
        <v>20.375</v>
      </c>
      <c r="E153">
        <v>10</v>
      </c>
      <c r="F153">
        <v>8</v>
      </c>
      <c r="G153" s="5">
        <v>3.5879629629629629E-6</v>
      </c>
      <c r="H153" s="5">
        <v>6.9452546296296293E-3</v>
      </c>
      <c r="I153" s="5">
        <v>6.9452546296296293E-3</v>
      </c>
      <c r="J153" s="5">
        <v>3.5879629629629629E-6</v>
      </c>
      <c r="P153" s="1"/>
    </row>
    <row r="154" spans="1:16" x14ac:dyDescent="0.25">
      <c r="A154">
        <f ca="1">IF(_157721372917[[#This Row],[instance]]&lt;OFFSET(_157721372917[[#This Row],[instance]],-1,0), OFFSET(_157721372917[[#This Row],[model]],-1,0)+1, OFFSET(_157721372917[[#This Row],[model]],-1,0))</f>
        <v>1</v>
      </c>
      <c r="B154">
        <v>15</v>
      </c>
      <c r="C154" s="5">
        <v>6.6562499999999998E-4</v>
      </c>
      <c r="D154">
        <v>21</v>
      </c>
      <c r="E154">
        <v>10</v>
      </c>
      <c r="F154">
        <v>8</v>
      </c>
      <c r="G154" s="5">
        <v>3.5879629629629629E-6</v>
      </c>
      <c r="H154" s="5">
        <v>6.9452546296296293E-3</v>
      </c>
      <c r="I154" s="5">
        <v>6.9452546296296293E-3</v>
      </c>
      <c r="J154" s="5">
        <v>3.5879629629629629E-6</v>
      </c>
      <c r="P154" s="1"/>
    </row>
    <row r="155" spans="1:16" x14ac:dyDescent="0.25">
      <c r="A155">
        <f ca="1">IF(_157721372917[[#This Row],[instance]]&lt;OFFSET(_157721372917[[#This Row],[instance]],-1,0), OFFSET(_157721372917[[#This Row],[model]],-1,0)+1, OFFSET(_157721372917[[#This Row],[model]],-1,0))</f>
        <v>1</v>
      </c>
      <c r="B155">
        <v>15</v>
      </c>
      <c r="C155" s="5">
        <v>6.6562499999999998E-4</v>
      </c>
      <c r="D155">
        <v>21.375</v>
      </c>
      <c r="E155">
        <v>11</v>
      </c>
      <c r="F155">
        <v>8</v>
      </c>
      <c r="G155" s="5">
        <v>3.5879629629629629E-6</v>
      </c>
      <c r="H155" s="5">
        <v>6.9452546296296293E-3</v>
      </c>
      <c r="I155" s="5">
        <v>6.9452546296296293E-3</v>
      </c>
      <c r="J155" s="5">
        <v>3.5879629629629629E-6</v>
      </c>
      <c r="P155" s="1"/>
    </row>
    <row r="156" spans="1:16" x14ac:dyDescent="0.25">
      <c r="A156">
        <f ca="1">IF(_157721372917[[#This Row],[instance]]&lt;OFFSET(_157721372917[[#This Row],[instance]],-1,0), OFFSET(_157721372917[[#This Row],[model]],-1,0)+1, OFFSET(_157721372917[[#This Row],[model]],-1,0))</f>
        <v>2</v>
      </c>
      <c r="B156">
        <v>1</v>
      </c>
      <c r="C156" s="5">
        <v>6.9444444444444439E-6</v>
      </c>
      <c r="D156">
        <v>0</v>
      </c>
      <c r="E156">
        <v>0</v>
      </c>
      <c r="F156">
        <v>0</v>
      </c>
      <c r="G156" s="5">
        <v>3.2407407407407406E-6</v>
      </c>
      <c r="H156" s="5">
        <v>6.9449074074074075E-3</v>
      </c>
      <c r="I156" s="5">
        <v>6.4849537037037037E-3</v>
      </c>
      <c r="J156" s="5">
        <v>3.1249999999999997E-6</v>
      </c>
      <c r="P156" s="1"/>
    </row>
    <row r="157" spans="1:16" x14ac:dyDescent="0.25">
      <c r="A157">
        <f ca="1">IF(_157721372917[[#This Row],[instance]]&lt;OFFSET(_157721372917[[#This Row],[instance]],-1,0), OFFSET(_157721372917[[#This Row],[model]],-1,0)+1, OFFSET(_157721372917[[#This Row],[model]],-1,0))</f>
        <v>2</v>
      </c>
      <c r="B157">
        <v>1</v>
      </c>
      <c r="C157" s="5">
        <v>6.9444444444444439E-6</v>
      </c>
      <c r="D157">
        <v>3</v>
      </c>
      <c r="E157">
        <v>1</v>
      </c>
      <c r="F157">
        <v>1</v>
      </c>
      <c r="G157" s="5">
        <v>3.2407407407407406E-6</v>
      </c>
      <c r="H157" s="5">
        <v>6.9449074074074075E-3</v>
      </c>
      <c r="I157" s="5">
        <v>6.4849537037037037E-3</v>
      </c>
      <c r="J157" s="5">
        <v>3.1249999999999997E-6</v>
      </c>
      <c r="P157" s="1"/>
    </row>
    <row r="158" spans="1:16" x14ac:dyDescent="0.25">
      <c r="A158">
        <f ca="1">IF(_157721372917[[#This Row],[instance]]&lt;OFFSET(_157721372917[[#This Row],[instance]],-1,0), OFFSET(_157721372917[[#This Row],[model]],-1,0)+1, OFFSET(_157721372917[[#This Row],[model]],-1,0))</f>
        <v>2</v>
      </c>
      <c r="B158">
        <v>1</v>
      </c>
      <c r="C158" s="5">
        <v>6.9444444444444439E-6</v>
      </c>
      <c r="D158">
        <v>6</v>
      </c>
      <c r="E158">
        <v>2</v>
      </c>
      <c r="F158">
        <v>2</v>
      </c>
      <c r="G158" s="5">
        <v>3.2407407407407406E-6</v>
      </c>
      <c r="H158" s="5">
        <v>6.9449074074074075E-3</v>
      </c>
      <c r="I158" s="5">
        <v>6.4849537037037037E-3</v>
      </c>
      <c r="J158" s="5">
        <v>3.1249999999999997E-6</v>
      </c>
      <c r="P158" s="1"/>
    </row>
    <row r="159" spans="1:16" x14ac:dyDescent="0.25">
      <c r="A159">
        <f ca="1">IF(_157721372917[[#This Row],[instance]]&lt;OFFSET(_157721372917[[#This Row],[instance]],-1,0), OFFSET(_157721372917[[#This Row],[model]],-1,0)+1, OFFSET(_157721372917[[#This Row],[model]],-1,0))</f>
        <v>2</v>
      </c>
      <c r="B159">
        <v>1</v>
      </c>
      <c r="C159" s="5">
        <v>6.9444444444444439E-6</v>
      </c>
      <c r="D159">
        <v>9</v>
      </c>
      <c r="E159">
        <v>3</v>
      </c>
      <c r="F159">
        <v>3</v>
      </c>
      <c r="G159" s="5">
        <v>3.2407407407407406E-6</v>
      </c>
      <c r="H159" s="5">
        <v>6.9449074074074075E-3</v>
      </c>
      <c r="I159" s="5">
        <v>6.4849537037037037E-3</v>
      </c>
      <c r="J159" s="5">
        <v>3.1249999999999997E-6</v>
      </c>
      <c r="P159" s="1"/>
    </row>
    <row r="160" spans="1:16" x14ac:dyDescent="0.25">
      <c r="A160">
        <f ca="1">IF(_157721372917[[#This Row],[instance]]&lt;OFFSET(_157721372917[[#This Row],[instance]],-1,0), OFFSET(_157721372917[[#This Row],[model]],-1,0)+1, OFFSET(_157721372917[[#This Row],[model]],-1,0))</f>
        <v>2</v>
      </c>
      <c r="B160">
        <v>1</v>
      </c>
      <c r="C160" s="5">
        <v>6.9444444444444439E-6</v>
      </c>
      <c r="D160">
        <v>12</v>
      </c>
      <c r="E160">
        <v>4</v>
      </c>
      <c r="F160">
        <v>4</v>
      </c>
      <c r="G160" s="5">
        <v>3.2407407407407406E-6</v>
      </c>
      <c r="H160" s="5">
        <v>6.9449074074074075E-3</v>
      </c>
      <c r="I160" s="5">
        <v>6.4849537037037037E-3</v>
      </c>
      <c r="J160" s="5">
        <v>3.1249999999999997E-6</v>
      </c>
      <c r="P160" s="1"/>
    </row>
    <row r="161" spans="1:16" x14ac:dyDescent="0.25">
      <c r="A161">
        <f ca="1">IF(_157721372917[[#This Row],[instance]]&lt;OFFSET(_157721372917[[#This Row],[instance]],-1,0), OFFSET(_157721372917[[#This Row],[model]],-1,0)+1, OFFSET(_157721372917[[#This Row],[model]],-1,0))</f>
        <v>2</v>
      </c>
      <c r="B161">
        <v>1</v>
      </c>
      <c r="C161" s="5">
        <v>7.0601851851851848E-6</v>
      </c>
      <c r="D161">
        <v>15</v>
      </c>
      <c r="E161">
        <v>5</v>
      </c>
      <c r="F161">
        <v>5</v>
      </c>
      <c r="G161" s="5">
        <v>3.2407407407407406E-6</v>
      </c>
      <c r="H161" s="5">
        <v>6.9449074074074075E-3</v>
      </c>
      <c r="I161" s="5">
        <v>6.4849537037037037E-3</v>
      </c>
      <c r="J161" s="5">
        <v>3.1249999999999997E-6</v>
      </c>
      <c r="P161" s="1"/>
    </row>
    <row r="162" spans="1:16" x14ac:dyDescent="0.25">
      <c r="A162">
        <f ca="1">IF(_157721372917[[#This Row],[instance]]&lt;OFFSET(_157721372917[[#This Row],[instance]],-1,0), OFFSET(_157721372917[[#This Row],[model]],-1,0)+1, OFFSET(_157721372917[[#This Row],[model]],-1,0))</f>
        <v>2</v>
      </c>
      <c r="B162">
        <v>1</v>
      </c>
      <c r="C162" s="5">
        <v>7.0601851851851848E-6</v>
      </c>
      <c r="D162">
        <v>18</v>
      </c>
      <c r="E162">
        <v>6</v>
      </c>
      <c r="F162">
        <v>6</v>
      </c>
      <c r="G162" s="5">
        <v>3.2407407407407406E-6</v>
      </c>
      <c r="H162" s="5">
        <v>6.9449074074074075E-3</v>
      </c>
      <c r="I162" s="5">
        <v>6.4849537037037037E-3</v>
      </c>
      <c r="J162" s="5">
        <v>3.1249999999999997E-6</v>
      </c>
      <c r="P162" s="1"/>
    </row>
    <row r="163" spans="1:16" x14ac:dyDescent="0.25">
      <c r="A163">
        <f ca="1">IF(_157721372917[[#This Row],[instance]]&lt;OFFSET(_157721372917[[#This Row],[instance]],-1,0), OFFSET(_157721372917[[#This Row],[model]],-1,0)+1, OFFSET(_157721372917[[#This Row],[model]],-1,0))</f>
        <v>2</v>
      </c>
      <c r="B163">
        <v>2</v>
      </c>
      <c r="C163" s="5">
        <v>6.828703703703703E-6</v>
      </c>
      <c r="D163">
        <v>0</v>
      </c>
      <c r="E163">
        <v>0</v>
      </c>
      <c r="F163">
        <v>0</v>
      </c>
      <c r="G163" s="5">
        <v>3.1249999999999997E-6</v>
      </c>
      <c r="H163" s="5">
        <v>6.944791666666666E-3</v>
      </c>
      <c r="I163" s="5">
        <v>6.4849537037037037E-3</v>
      </c>
      <c r="J163" s="5">
        <v>3.1249999999999997E-6</v>
      </c>
      <c r="P163" s="1"/>
    </row>
    <row r="164" spans="1:16" x14ac:dyDescent="0.25">
      <c r="A164">
        <f ca="1">IF(_157721372917[[#This Row],[instance]]&lt;OFFSET(_157721372917[[#This Row],[instance]],-1,0), OFFSET(_157721372917[[#This Row],[model]],-1,0)+1, OFFSET(_157721372917[[#This Row],[model]],-1,0))</f>
        <v>2</v>
      </c>
      <c r="B164">
        <v>2</v>
      </c>
      <c r="C164" s="5">
        <v>6.828703703703703E-6</v>
      </c>
      <c r="D164">
        <v>3</v>
      </c>
      <c r="E164">
        <v>1</v>
      </c>
      <c r="F164">
        <v>1</v>
      </c>
      <c r="G164" s="5">
        <v>3.1249999999999997E-6</v>
      </c>
      <c r="H164" s="5">
        <v>6.944791666666666E-3</v>
      </c>
      <c r="I164" s="5">
        <v>6.4849537037037037E-3</v>
      </c>
      <c r="J164" s="5">
        <v>3.1249999999999997E-6</v>
      </c>
      <c r="P164" s="1"/>
    </row>
    <row r="165" spans="1:16" x14ac:dyDescent="0.25">
      <c r="A165">
        <f ca="1">IF(_157721372917[[#This Row],[instance]]&lt;OFFSET(_157721372917[[#This Row],[instance]],-1,0), OFFSET(_157721372917[[#This Row],[model]],-1,0)+1, OFFSET(_157721372917[[#This Row],[model]],-1,0))</f>
        <v>2</v>
      </c>
      <c r="B165">
        <v>3</v>
      </c>
      <c r="C165" s="5">
        <v>6.712962962962963E-6</v>
      </c>
      <c r="D165">
        <v>0</v>
      </c>
      <c r="E165">
        <v>0</v>
      </c>
      <c r="F165">
        <v>0</v>
      </c>
      <c r="G165" s="5">
        <v>3.1249999999999997E-6</v>
      </c>
      <c r="H165" s="5">
        <v>6.9449074074074075E-3</v>
      </c>
      <c r="I165" s="5">
        <v>6.4849537037037037E-3</v>
      </c>
      <c r="J165" s="5">
        <v>3.1249999999999997E-6</v>
      </c>
      <c r="P165" s="1"/>
    </row>
    <row r="166" spans="1:16" x14ac:dyDescent="0.25">
      <c r="A166">
        <f ca="1">IF(_157721372917[[#This Row],[instance]]&lt;OFFSET(_157721372917[[#This Row],[instance]],-1,0), OFFSET(_157721372917[[#This Row],[model]],-1,0)+1, OFFSET(_157721372917[[#This Row],[model]],-1,0))</f>
        <v>2</v>
      </c>
      <c r="B166">
        <v>3</v>
      </c>
      <c r="C166" s="5">
        <v>7.0601851851851848E-6</v>
      </c>
      <c r="D166">
        <v>7</v>
      </c>
      <c r="E166">
        <v>3</v>
      </c>
      <c r="F166">
        <v>1</v>
      </c>
      <c r="G166" s="5">
        <v>3.1249999999999997E-6</v>
      </c>
      <c r="H166" s="5">
        <v>6.9449074074074075E-3</v>
      </c>
      <c r="I166" s="5">
        <v>6.4849537037037037E-3</v>
      </c>
      <c r="J166" s="5">
        <v>3.1249999999999997E-6</v>
      </c>
      <c r="P166" s="1"/>
    </row>
    <row r="167" spans="1:16" x14ac:dyDescent="0.25">
      <c r="A167">
        <f ca="1">IF(_157721372917[[#This Row],[instance]]&lt;OFFSET(_157721372917[[#This Row],[instance]],-1,0), OFFSET(_157721372917[[#This Row],[model]],-1,0)+1, OFFSET(_157721372917[[#This Row],[model]],-1,0))</f>
        <v>2</v>
      </c>
      <c r="B167">
        <v>3</v>
      </c>
      <c r="C167" s="5">
        <v>7.0601851851851848E-6</v>
      </c>
      <c r="D167">
        <v>9</v>
      </c>
      <c r="E167">
        <v>3</v>
      </c>
      <c r="F167">
        <v>1</v>
      </c>
      <c r="G167" s="5">
        <v>3.1249999999999997E-6</v>
      </c>
      <c r="H167" s="5">
        <v>6.9449074074074075E-3</v>
      </c>
      <c r="I167" s="5">
        <v>6.4849537037037037E-3</v>
      </c>
      <c r="J167" s="5">
        <v>3.1249999999999997E-6</v>
      </c>
      <c r="P167" s="1"/>
    </row>
    <row r="168" spans="1:16" x14ac:dyDescent="0.25">
      <c r="A168">
        <f ca="1">IF(_157721372917[[#This Row],[instance]]&lt;OFFSET(_157721372917[[#This Row],[instance]],-1,0), OFFSET(_157721372917[[#This Row],[model]],-1,0)+1, OFFSET(_157721372917[[#This Row],[model]],-1,0))</f>
        <v>2</v>
      </c>
      <c r="B168">
        <v>3</v>
      </c>
      <c r="C168" s="5">
        <v>7.0601851851851848E-6</v>
      </c>
      <c r="D168">
        <v>10</v>
      </c>
      <c r="E168">
        <v>4</v>
      </c>
      <c r="F168">
        <v>1</v>
      </c>
      <c r="G168" s="5">
        <v>3.1249999999999997E-6</v>
      </c>
      <c r="H168" s="5">
        <v>6.9449074074074075E-3</v>
      </c>
      <c r="I168" s="5">
        <v>6.4849537037037037E-3</v>
      </c>
      <c r="J168" s="5">
        <v>3.1249999999999997E-6</v>
      </c>
      <c r="P168" s="1"/>
    </row>
    <row r="169" spans="1:16" x14ac:dyDescent="0.25">
      <c r="A169">
        <f ca="1">IF(_157721372917[[#This Row],[instance]]&lt;OFFSET(_157721372917[[#This Row],[instance]],-1,0), OFFSET(_157721372917[[#This Row],[model]],-1,0)+1, OFFSET(_157721372917[[#This Row],[model]],-1,0))</f>
        <v>2</v>
      </c>
      <c r="B169">
        <v>3</v>
      </c>
      <c r="C169" s="5">
        <v>7.0601851851851848E-6</v>
      </c>
      <c r="D169">
        <v>12</v>
      </c>
      <c r="E169">
        <v>4</v>
      </c>
      <c r="F169">
        <v>1</v>
      </c>
      <c r="G169" s="5">
        <v>3.1249999999999997E-6</v>
      </c>
      <c r="H169" s="5">
        <v>6.9449074074074075E-3</v>
      </c>
      <c r="I169" s="5">
        <v>6.4849537037037037E-3</v>
      </c>
      <c r="J169" s="5">
        <v>3.1249999999999997E-6</v>
      </c>
      <c r="P169" s="1"/>
    </row>
    <row r="170" spans="1:16" x14ac:dyDescent="0.25">
      <c r="A170">
        <f ca="1">IF(_157721372917[[#This Row],[instance]]&lt;OFFSET(_157721372917[[#This Row],[instance]],-1,0), OFFSET(_157721372917[[#This Row],[model]],-1,0)+1, OFFSET(_157721372917[[#This Row],[model]],-1,0))</f>
        <v>2</v>
      </c>
      <c r="B170">
        <v>3</v>
      </c>
      <c r="C170" s="5">
        <v>6.9280092592592588E-3</v>
      </c>
      <c r="D170">
        <v>14</v>
      </c>
      <c r="E170">
        <v>6</v>
      </c>
      <c r="F170">
        <v>2</v>
      </c>
      <c r="G170" s="5">
        <v>3.1249999999999997E-6</v>
      </c>
      <c r="H170" s="5">
        <v>6.9449074074074075E-3</v>
      </c>
      <c r="I170" s="5">
        <v>6.4849537037037037E-3</v>
      </c>
      <c r="J170" s="5">
        <v>3.1249999999999997E-6</v>
      </c>
      <c r="P170" s="1"/>
    </row>
    <row r="171" spans="1:16" x14ac:dyDescent="0.25">
      <c r="A171">
        <f ca="1">IF(_157721372917[[#This Row],[instance]]&lt;OFFSET(_157721372917[[#This Row],[instance]],-1,0), OFFSET(_157721372917[[#This Row],[model]],-1,0)+1, OFFSET(_157721372917[[#This Row],[model]],-1,0))</f>
        <v>2</v>
      </c>
      <c r="B171">
        <v>3</v>
      </c>
      <c r="C171" s="5">
        <v>6.9450231481481481E-3</v>
      </c>
      <c r="D171">
        <v>14</v>
      </c>
      <c r="E171">
        <v>6</v>
      </c>
      <c r="F171">
        <v>2</v>
      </c>
      <c r="G171" s="5">
        <v>3.1249999999999997E-6</v>
      </c>
      <c r="H171" s="5">
        <v>6.9449074074074075E-3</v>
      </c>
      <c r="I171" s="5">
        <v>6.4849537037037037E-3</v>
      </c>
      <c r="J171" s="5">
        <v>3.1249999999999997E-6</v>
      </c>
      <c r="P171" s="1"/>
    </row>
    <row r="172" spans="1:16" x14ac:dyDescent="0.25">
      <c r="A172">
        <f ca="1">IF(_157721372917[[#This Row],[instance]]&lt;OFFSET(_157721372917[[#This Row],[instance]],-1,0), OFFSET(_157721372917[[#This Row],[model]],-1,0)+1, OFFSET(_157721372917[[#This Row],[model]],-1,0))</f>
        <v>2</v>
      </c>
      <c r="B172">
        <v>4</v>
      </c>
      <c r="C172" s="5">
        <v>6.828703703703703E-6</v>
      </c>
      <c r="D172">
        <v>0</v>
      </c>
      <c r="E172">
        <v>0</v>
      </c>
      <c r="F172">
        <v>0</v>
      </c>
      <c r="G172" s="5">
        <v>3.1249999999999997E-6</v>
      </c>
      <c r="H172" s="5">
        <v>6.944791666666666E-3</v>
      </c>
      <c r="I172" s="5">
        <v>6.4849537037037037E-3</v>
      </c>
      <c r="J172" s="5">
        <v>3.1249999999999997E-6</v>
      </c>
      <c r="P172" s="1"/>
    </row>
    <row r="173" spans="1:16" x14ac:dyDescent="0.25">
      <c r="A173">
        <f ca="1">IF(_157721372917[[#This Row],[instance]]&lt;OFFSET(_157721372917[[#This Row],[instance]],-1,0), OFFSET(_157721372917[[#This Row],[model]],-1,0)+1, OFFSET(_157721372917[[#This Row],[model]],-1,0))</f>
        <v>2</v>
      </c>
      <c r="B173">
        <v>4</v>
      </c>
      <c r="C173" s="5">
        <v>6.828703703703703E-6</v>
      </c>
      <c r="D173">
        <v>3</v>
      </c>
      <c r="E173">
        <v>1</v>
      </c>
      <c r="F173">
        <v>1</v>
      </c>
      <c r="G173" s="5">
        <v>3.1249999999999997E-6</v>
      </c>
      <c r="H173" s="5">
        <v>6.944791666666666E-3</v>
      </c>
      <c r="I173" s="5">
        <v>6.4849537037037037E-3</v>
      </c>
      <c r="J173" s="5">
        <v>3.1249999999999997E-6</v>
      </c>
      <c r="P173" s="1"/>
    </row>
    <row r="174" spans="1:16" x14ac:dyDescent="0.25">
      <c r="A174">
        <f ca="1">IF(_157721372917[[#This Row],[instance]]&lt;OFFSET(_157721372917[[#This Row],[instance]],-1,0), OFFSET(_157721372917[[#This Row],[model]],-1,0)+1, OFFSET(_157721372917[[#This Row],[model]],-1,0))</f>
        <v>2</v>
      </c>
      <c r="B174">
        <v>4</v>
      </c>
      <c r="C174" s="5">
        <v>6.828703703703703E-6</v>
      </c>
      <c r="D174">
        <v>6</v>
      </c>
      <c r="E174">
        <v>2</v>
      </c>
      <c r="F174">
        <v>2</v>
      </c>
      <c r="G174" s="5">
        <v>3.1249999999999997E-6</v>
      </c>
      <c r="H174" s="5">
        <v>6.944791666666666E-3</v>
      </c>
      <c r="I174" s="5">
        <v>6.4849537037037037E-3</v>
      </c>
      <c r="J174" s="5">
        <v>3.1249999999999997E-6</v>
      </c>
      <c r="P174" s="1"/>
    </row>
    <row r="175" spans="1:16" x14ac:dyDescent="0.25">
      <c r="A175">
        <f ca="1">IF(_157721372917[[#This Row],[instance]]&lt;OFFSET(_157721372917[[#This Row],[instance]],-1,0), OFFSET(_157721372917[[#This Row],[model]],-1,0)+1, OFFSET(_157721372917[[#This Row],[model]],-1,0))</f>
        <v>2</v>
      </c>
      <c r="B175">
        <v>4</v>
      </c>
      <c r="C175" s="5">
        <v>6.828703703703703E-6</v>
      </c>
      <c r="D175">
        <v>9</v>
      </c>
      <c r="E175">
        <v>3</v>
      </c>
      <c r="F175">
        <v>1</v>
      </c>
      <c r="G175" s="5">
        <v>3.1249999999999997E-6</v>
      </c>
      <c r="H175" s="5">
        <v>6.944791666666666E-3</v>
      </c>
      <c r="I175" s="5">
        <v>6.4849537037037037E-3</v>
      </c>
      <c r="J175" s="5">
        <v>3.1249999999999997E-6</v>
      </c>
      <c r="P175" s="1"/>
    </row>
    <row r="176" spans="1:16" x14ac:dyDescent="0.25">
      <c r="A176">
        <f ca="1">IF(_157721372917[[#This Row],[instance]]&lt;OFFSET(_157721372917[[#This Row],[instance]],-1,0), OFFSET(_157721372917[[#This Row],[model]],-1,0)+1, OFFSET(_157721372917[[#This Row],[model]],-1,0))</f>
        <v>2</v>
      </c>
      <c r="B176">
        <v>4</v>
      </c>
      <c r="C176" s="5">
        <v>6.828703703703703E-6</v>
      </c>
      <c r="D176">
        <v>12</v>
      </c>
      <c r="E176">
        <v>4</v>
      </c>
      <c r="F176">
        <v>1</v>
      </c>
      <c r="G176" s="5">
        <v>3.1249999999999997E-6</v>
      </c>
      <c r="H176" s="5">
        <v>6.944791666666666E-3</v>
      </c>
      <c r="I176" s="5">
        <v>6.4849537037037037E-3</v>
      </c>
      <c r="J176" s="5">
        <v>3.1249999999999997E-6</v>
      </c>
      <c r="P176" s="1"/>
    </row>
    <row r="177" spans="1:16" x14ac:dyDescent="0.25">
      <c r="A177">
        <f ca="1">IF(_157721372917[[#This Row],[instance]]&lt;OFFSET(_157721372917[[#This Row],[instance]],-1,0), OFFSET(_157721372917[[#This Row],[model]],-1,0)+1, OFFSET(_157721372917[[#This Row],[model]],-1,0))</f>
        <v>2</v>
      </c>
      <c r="B177">
        <v>4</v>
      </c>
      <c r="C177" s="5">
        <v>9.1435185185185174E-6</v>
      </c>
      <c r="D177">
        <v>13</v>
      </c>
      <c r="E177">
        <v>5</v>
      </c>
      <c r="F177">
        <v>3</v>
      </c>
      <c r="G177" s="5">
        <v>3.1249999999999997E-6</v>
      </c>
      <c r="H177" s="5">
        <v>6.944791666666666E-3</v>
      </c>
      <c r="I177" s="5">
        <v>6.4849537037037037E-3</v>
      </c>
      <c r="J177" s="5">
        <v>3.1249999999999997E-6</v>
      </c>
      <c r="P177" s="1"/>
    </row>
    <row r="178" spans="1:16" x14ac:dyDescent="0.25">
      <c r="A178">
        <f ca="1">IF(_157721372917[[#This Row],[instance]]&lt;OFFSET(_157721372917[[#This Row],[instance]],-1,0), OFFSET(_157721372917[[#This Row],[model]],-1,0)+1, OFFSET(_157721372917[[#This Row],[model]],-1,0))</f>
        <v>2</v>
      </c>
      <c r="B178">
        <v>4</v>
      </c>
      <c r="C178" s="5">
        <v>4.125E-4</v>
      </c>
      <c r="D178">
        <v>15</v>
      </c>
      <c r="E178">
        <v>5</v>
      </c>
      <c r="F178">
        <v>2</v>
      </c>
      <c r="G178" s="5">
        <v>3.1249999999999997E-6</v>
      </c>
      <c r="H178" s="5">
        <v>6.944791666666666E-3</v>
      </c>
      <c r="I178" s="5">
        <v>6.4849537037037037E-3</v>
      </c>
      <c r="J178" s="5">
        <v>3.1249999999999997E-6</v>
      </c>
      <c r="P178" s="1"/>
    </row>
    <row r="179" spans="1:16" x14ac:dyDescent="0.25">
      <c r="A179">
        <f ca="1">IF(_157721372917[[#This Row],[instance]]&lt;OFFSET(_157721372917[[#This Row],[instance]],-1,0), OFFSET(_157721372917[[#This Row],[model]],-1,0)+1, OFFSET(_157721372917[[#This Row],[model]],-1,0))</f>
        <v>2</v>
      </c>
      <c r="B179">
        <v>4</v>
      </c>
      <c r="C179" s="5">
        <v>9.2719907407407399E-4</v>
      </c>
      <c r="D179">
        <v>15</v>
      </c>
      <c r="E179">
        <v>5</v>
      </c>
      <c r="F179">
        <v>5</v>
      </c>
      <c r="G179" s="5">
        <v>3.1249999999999997E-6</v>
      </c>
      <c r="H179" s="5">
        <v>6.944791666666666E-3</v>
      </c>
      <c r="I179" s="5">
        <v>6.4849537037037037E-3</v>
      </c>
      <c r="J179" s="5">
        <v>3.1249999999999997E-6</v>
      </c>
      <c r="P179" s="1"/>
    </row>
    <row r="180" spans="1:16" x14ac:dyDescent="0.25">
      <c r="A180">
        <f ca="1">IF(_157721372917[[#This Row],[instance]]&lt;OFFSET(_157721372917[[#This Row],[instance]],-1,0), OFFSET(_157721372917[[#This Row],[model]],-1,0)+1, OFFSET(_157721372917[[#This Row],[model]],-1,0))</f>
        <v>2</v>
      </c>
      <c r="B180">
        <v>4</v>
      </c>
      <c r="C180" s="5">
        <v>9.2731481481481473E-4</v>
      </c>
      <c r="D180">
        <v>16</v>
      </c>
      <c r="E180">
        <v>6</v>
      </c>
      <c r="F180">
        <v>2</v>
      </c>
      <c r="G180" s="5">
        <v>3.1249999999999997E-6</v>
      </c>
      <c r="H180" s="5">
        <v>6.944791666666666E-3</v>
      </c>
      <c r="I180" s="5">
        <v>6.4849537037037037E-3</v>
      </c>
      <c r="J180" s="5">
        <v>3.1249999999999997E-6</v>
      </c>
      <c r="P180" s="1"/>
    </row>
    <row r="181" spans="1:16" x14ac:dyDescent="0.25">
      <c r="A181">
        <f ca="1">IF(_157721372917[[#This Row],[instance]]&lt;OFFSET(_157721372917[[#This Row],[instance]],-1,0), OFFSET(_157721372917[[#This Row],[model]],-1,0)+1, OFFSET(_157721372917[[#This Row],[model]],-1,0))</f>
        <v>2</v>
      </c>
      <c r="B181">
        <v>4</v>
      </c>
      <c r="C181" s="5">
        <v>9.2731481481481473E-4</v>
      </c>
      <c r="D181">
        <v>17</v>
      </c>
      <c r="E181">
        <v>7</v>
      </c>
      <c r="F181">
        <v>2</v>
      </c>
      <c r="G181" s="5">
        <v>3.1249999999999997E-6</v>
      </c>
      <c r="H181" s="5">
        <v>6.944791666666666E-3</v>
      </c>
      <c r="I181" s="5">
        <v>6.4849537037037037E-3</v>
      </c>
      <c r="J181" s="5">
        <v>3.1249999999999997E-6</v>
      </c>
      <c r="P181" s="1"/>
    </row>
    <row r="182" spans="1:16" x14ac:dyDescent="0.25">
      <c r="A182">
        <f ca="1">IF(_157721372917[[#This Row],[instance]]&lt;OFFSET(_157721372917[[#This Row],[instance]],-1,0), OFFSET(_157721372917[[#This Row],[model]],-1,0)+1, OFFSET(_157721372917[[#This Row],[model]],-1,0))</f>
        <v>2</v>
      </c>
      <c r="B182">
        <v>4</v>
      </c>
      <c r="C182" s="5">
        <v>9.2731481481481473E-4</v>
      </c>
      <c r="D182">
        <v>17.75</v>
      </c>
      <c r="E182">
        <v>10</v>
      </c>
      <c r="F182">
        <v>3</v>
      </c>
      <c r="G182" s="5">
        <v>3.1249999999999997E-6</v>
      </c>
      <c r="H182" s="5">
        <v>6.944791666666666E-3</v>
      </c>
      <c r="I182" s="5">
        <v>6.4849537037037037E-3</v>
      </c>
      <c r="J182" s="5">
        <v>3.1249999999999997E-6</v>
      </c>
      <c r="P182" s="1"/>
    </row>
    <row r="183" spans="1:16" x14ac:dyDescent="0.25">
      <c r="A183">
        <f ca="1">IF(_157721372917[[#This Row],[instance]]&lt;OFFSET(_157721372917[[#This Row],[instance]],-1,0), OFFSET(_157721372917[[#This Row],[model]],-1,0)+1, OFFSET(_157721372917[[#This Row],[model]],-1,0))</f>
        <v>2</v>
      </c>
      <c r="B183">
        <v>4</v>
      </c>
      <c r="C183" s="5">
        <v>9.3773148148148145E-4</v>
      </c>
      <c r="D183">
        <v>18</v>
      </c>
      <c r="E183">
        <v>8</v>
      </c>
      <c r="F183">
        <v>2</v>
      </c>
      <c r="G183" s="5">
        <v>3.1249999999999997E-6</v>
      </c>
      <c r="H183" s="5">
        <v>6.944791666666666E-3</v>
      </c>
      <c r="I183" s="5">
        <v>6.4849537037037037E-3</v>
      </c>
      <c r="J183" s="5">
        <v>3.1249999999999997E-6</v>
      </c>
      <c r="P183" s="1"/>
    </row>
    <row r="184" spans="1:16" x14ac:dyDescent="0.25">
      <c r="A184">
        <f ca="1">IF(_157721372917[[#This Row],[instance]]&lt;OFFSET(_157721372917[[#This Row],[instance]],-1,0), OFFSET(_157721372917[[#This Row],[model]],-1,0)+1, OFFSET(_157721372917[[#This Row],[model]],-1,0))</f>
        <v>2</v>
      </c>
      <c r="B184">
        <v>4</v>
      </c>
      <c r="C184" s="5">
        <v>9.4409722222222215E-4</v>
      </c>
      <c r="D184">
        <v>19</v>
      </c>
      <c r="E184">
        <v>9</v>
      </c>
      <c r="F184">
        <v>2</v>
      </c>
      <c r="G184" s="5">
        <v>3.1249999999999997E-6</v>
      </c>
      <c r="H184" s="5">
        <v>6.944791666666666E-3</v>
      </c>
      <c r="I184" s="5">
        <v>6.4849537037037037E-3</v>
      </c>
      <c r="J184" s="5">
        <v>3.1249999999999997E-6</v>
      </c>
      <c r="P184" s="1"/>
    </row>
    <row r="185" spans="1:16" x14ac:dyDescent="0.25">
      <c r="A185">
        <f ca="1">IF(_157721372917[[#This Row],[instance]]&lt;OFFSET(_157721372917[[#This Row],[instance]],-1,0), OFFSET(_157721372917[[#This Row],[model]],-1,0)+1, OFFSET(_157721372917[[#This Row],[model]],-1,0))</f>
        <v>2</v>
      </c>
      <c r="B185">
        <v>4</v>
      </c>
      <c r="C185" s="5">
        <v>3.8128472222222222E-3</v>
      </c>
      <c r="D185">
        <v>20</v>
      </c>
      <c r="E185">
        <v>10</v>
      </c>
      <c r="F185">
        <v>2</v>
      </c>
      <c r="G185" s="5">
        <v>3.1249999999999997E-6</v>
      </c>
      <c r="H185" s="5">
        <v>6.944791666666666E-3</v>
      </c>
      <c r="I185" s="5">
        <v>6.4849537037037037E-3</v>
      </c>
      <c r="J185" s="5">
        <v>3.1249999999999997E-6</v>
      </c>
      <c r="P185" s="1"/>
    </row>
    <row r="186" spans="1:16" x14ac:dyDescent="0.25">
      <c r="A186">
        <f ca="1">IF(_157721372917[[#This Row],[instance]]&lt;OFFSET(_157721372917[[#This Row],[instance]],-1,0), OFFSET(_157721372917[[#This Row],[model]],-1,0)+1, OFFSET(_157721372917[[#This Row],[model]],-1,0))</f>
        <v>2</v>
      </c>
      <c r="B186">
        <v>4</v>
      </c>
      <c r="C186" s="5">
        <v>3.8346064814814814E-3</v>
      </c>
      <c r="D186">
        <v>21</v>
      </c>
      <c r="E186">
        <v>11</v>
      </c>
      <c r="F186">
        <v>3</v>
      </c>
      <c r="G186" s="5">
        <v>3.1249999999999997E-6</v>
      </c>
      <c r="H186" s="5">
        <v>6.944791666666666E-3</v>
      </c>
      <c r="I186" s="5">
        <v>6.4849537037037037E-3</v>
      </c>
      <c r="J186" s="5">
        <v>3.1249999999999997E-6</v>
      </c>
      <c r="P186" s="1"/>
    </row>
    <row r="187" spans="1:16" x14ac:dyDescent="0.25">
      <c r="A187">
        <f ca="1">IF(_157721372917[[#This Row],[instance]]&lt;OFFSET(_157721372917[[#This Row],[instance]],-1,0), OFFSET(_157721372917[[#This Row],[model]],-1,0)+1, OFFSET(_157721372917[[#This Row],[model]],-1,0))</f>
        <v>2</v>
      </c>
      <c r="B187">
        <v>4</v>
      </c>
      <c r="C187" s="5">
        <v>3.845833333333333E-3</v>
      </c>
      <c r="D187">
        <v>21.75</v>
      </c>
      <c r="E187">
        <v>12</v>
      </c>
      <c r="F187">
        <v>3</v>
      </c>
      <c r="G187" s="5">
        <v>3.1249999999999997E-6</v>
      </c>
      <c r="H187" s="5">
        <v>6.944791666666666E-3</v>
      </c>
      <c r="I187" s="5">
        <v>6.4849537037037037E-3</v>
      </c>
      <c r="J187" s="5">
        <v>3.1249999999999997E-6</v>
      </c>
      <c r="P187" s="1"/>
    </row>
    <row r="188" spans="1:16" x14ac:dyDescent="0.25">
      <c r="A188">
        <f ca="1">IF(_157721372917[[#This Row],[instance]]&lt;OFFSET(_157721372917[[#This Row],[instance]],-1,0), OFFSET(_157721372917[[#This Row],[model]],-1,0)+1, OFFSET(_157721372917[[#This Row],[model]],-1,0))</f>
        <v>2</v>
      </c>
      <c r="B188">
        <v>4</v>
      </c>
      <c r="C188" s="5">
        <v>3.9285879629629627E-3</v>
      </c>
      <c r="D188">
        <v>22.5</v>
      </c>
      <c r="E188">
        <v>13</v>
      </c>
      <c r="F188">
        <v>3</v>
      </c>
      <c r="G188" s="5">
        <v>3.1249999999999997E-6</v>
      </c>
      <c r="H188" s="5">
        <v>6.944791666666666E-3</v>
      </c>
      <c r="I188" s="5">
        <v>6.4849537037037037E-3</v>
      </c>
      <c r="J188" s="5">
        <v>3.1249999999999997E-6</v>
      </c>
      <c r="P188" s="1"/>
    </row>
    <row r="189" spans="1:16" x14ac:dyDescent="0.25">
      <c r="A189">
        <f ca="1">IF(_157721372917[[#This Row],[instance]]&lt;OFFSET(_157721372917[[#This Row],[instance]],-1,0), OFFSET(_157721372917[[#This Row],[model]],-1,0)+1, OFFSET(_157721372917[[#This Row],[model]],-1,0))</f>
        <v>2</v>
      </c>
      <c r="B189">
        <v>4</v>
      </c>
      <c r="C189" s="5">
        <v>3.9663194444444442E-3</v>
      </c>
      <c r="D189">
        <v>22.5</v>
      </c>
      <c r="E189">
        <v>13</v>
      </c>
      <c r="F189">
        <v>3</v>
      </c>
      <c r="G189" s="5">
        <v>3.1249999999999997E-6</v>
      </c>
      <c r="H189" s="5">
        <v>6.944791666666666E-3</v>
      </c>
      <c r="I189" s="5">
        <v>6.4849537037037037E-3</v>
      </c>
      <c r="J189" s="5">
        <v>3.1249999999999997E-6</v>
      </c>
      <c r="P189" s="1"/>
    </row>
    <row r="190" spans="1:16" x14ac:dyDescent="0.25">
      <c r="A190">
        <f ca="1">IF(_157721372917[[#This Row],[instance]]&lt;OFFSET(_157721372917[[#This Row],[instance]],-1,0), OFFSET(_157721372917[[#This Row],[model]],-1,0)+1, OFFSET(_157721372917[[#This Row],[model]],-1,0))</f>
        <v>2</v>
      </c>
      <c r="B190">
        <v>5</v>
      </c>
      <c r="C190" s="5">
        <v>6.712962962962963E-6</v>
      </c>
      <c r="D190">
        <v>0</v>
      </c>
      <c r="E190">
        <v>0</v>
      </c>
      <c r="F190">
        <v>0</v>
      </c>
      <c r="G190" s="5">
        <v>3.1249999999999997E-6</v>
      </c>
      <c r="H190" s="5">
        <v>6.944791666666666E-3</v>
      </c>
      <c r="I190" s="5">
        <v>6.4849537037037037E-3</v>
      </c>
      <c r="J190" s="5">
        <v>3.1249999999999997E-6</v>
      </c>
      <c r="P190" s="1"/>
    </row>
    <row r="191" spans="1:16" x14ac:dyDescent="0.25">
      <c r="A191">
        <f ca="1">IF(_157721372917[[#This Row],[instance]]&lt;OFFSET(_157721372917[[#This Row],[instance]],-1,0), OFFSET(_157721372917[[#This Row],[model]],-1,0)+1, OFFSET(_157721372917[[#This Row],[model]],-1,0))</f>
        <v>2</v>
      </c>
      <c r="B191">
        <v>5</v>
      </c>
      <c r="C191" s="5">
        <v>4.444444444444444E-5</v>
      </c>
      <c r="D191">
        <v>7.5</v>
      </c>
      <c r="E191">
        <v>5</v>
      </c>
      <c r="F191">
        <v>1</v>
      </c>
      <c r="G191" s="5">
        <v>3.1249999999999997E-6</v>
      </c>
      <c r="H191" s="5">
        <v>6.944791666666666E-3</v>
      </c>
      <c r="I191" s="5">
        <v>6.4849537037037037E-3</v>
      </c>
      <c r="J191" s="5">
        <v>3.1249999999999997E-6</v>
      </c>
      <c r="P191" s="1"/>
    </row>
    <row r="192" spans="1:16" x14ac:dyDescent="0.25">
      <c r="A192">
        <f ca="1">IF(_157721372917[[#This Row],[instance]]&lt;OFFSET(_157721372917[[#This Row],[instance]],-1,0), OFFSET(_157721372917[[#This Row],[model]],-1,0)+1, OFFSET(_157721372917[[#This Row],[model]],-1,0))</f>
        <v>2</v>
      </c>
      <c r="B192">
        <v>5</v>
      </c>
      <c r="C192" s="5">
        <v>4.444444444444444E-5</v>
      </c>
      <c r="D192">
        <v>9</v>
      </c>
      <c r="E192">
        <v>6</v>
      </c>
      <c r="F192">
        <v>1</v>
      </c>
      <c r="G192" s="5">
        <v>3.1249999999999997E-6</v>
      </c>
      <c r="H192" s="5">
        <v>6.944791666666666E-3</v>
      </c>
      <c r="I192" s="5">
        <v>6.4849537037037037E-3</v>
      </c>
      <c r="J192" s="5">
        <v>3.1249999999999997E-6</v>
      </c>
      <c r="P192" s="1"/>
    </row>
    <row r="193" spans="1:16" x14ac:dyDescent="0.25">
      <c r="A193">
        <f ca="1">IF(_157721372917[[#This Row],[instance]]&lt;OFFSET(_157721372917[[#This Row],[instance]],-1,0), OFFSET(_157721372917[[#This Row],[model]],-1,0)+1, OFFSET(_157721372917[[#This Row],[model]],-1,0))</f>
        <v>2</v>
      </c>
      <c r="B193">
        <v>6</v>
      </c>
      <c r="C193" s="5">
        <v>6.9444444444444439E-6</v>
      </c>
      <c r="D193">
        <v>0</v>
      </c>
      <c r="E193">
        <v>0</v>
      </c>
      <c r="F193">
        <v>0</v>
      </c>
      <c r="G193" s="5">
        <v>3.1249999999999997E-6</v>
      </c>
      <c r="H193" s="5">
        <v>6.9449074074074075E-3</v>
      </c>
      <c r="I193" s="5">
        <v>6.4849537037037037E-3</v>
      </c>
      <c r="J193" s="5">
        <v>3.1249999999999997E-6</v>
      </c>
      <c r="P193" s="1"/>
    </row>
    <row r="194" spans="1:16" x14ac:dyDescent="0.25">
      <c r="A194">
        <f ca="1">IF(_157721372917[[#This Row],[instance]]&lt;OFFSET(_157721372917[[#This Row],[instance]],-1,0), OFFSET(_157721372917[[#This Row],[model]],-1,0)+1, OFFSET(_157721372917[[#This Row],[model]],-1,0))</f>
        <v>2</v>
      </c>
      <c r="B194">
        <v>6</v>
      </c>
      <c r="C194" s="5">
        <v>6.9444444444444439E-6</v>
      </c>
      <c r="D194">
        <v>3</v>
      </c>
      <c r="E194">
        <v>1</v>
      </c>
      <c r="F194">
        <v>1</v>
      </c>
      <c r="G194" s="5">
        <v>3.1249999999999997E-6</v>
      </c>
      <c r="H194" s="5">
        <v>6.9449074074074075E-3</v>
      </c>
      <c r="I194" s="5">
        <v>6.4849537037037037E-3</v>
      </c>
      <c r="J194" s="5">
        <v>3.1249999999999997E-6</v>
      </c>
      <c r="P194" s="1"/>
    </row>
    <row r="195" spans="1:16" x14ac:dyDescent="0.25">
      <c r="A195">
        <f ca="1">IF(_157721372917[[#This Row],[instance]]&lt;OFFSET(_157721372917[[#This Row],[instance]],-1,0), OFFSET(_157721372917[[#This Row],[model]],-1,0)+1, OFFSET(_157721372917[[#This Row],[model]],-1,0))</f>
        <v>2</v>
      </c>
      <c r="B195">
        <v>6</v>
      </c>
      <c r="C195" s="5">
        <v>6.9444444444444439E-6</v>
      </c>
      <c r="D195">
        <v>6</v>
      </c>
      <c r="E195">
        <v>2</v>
      </c>
      <c r="F195">
        <v>2</v>
      </c>
      <c r="G195" s="5">
        <v>3.1249999999999997E-6</v>
      </c>
      <c r="H195" s="5">
        <v>6.9449074074074075E-3</v>
      </c>
      <c r="I195" s="5">
        <v>6.4849537037037037E-3</v>
      </c>
      <c r="J195" s="5">
        <v>3.1249999999999997E-6</v>
      </c>
      <c r="P195" s="1"/>
    </row>
    <row r="196" spans="1:16" x14ac:dyDescent="0.25">
      <c r="A196">
        <f ca="1">IF(_157721372917[[#This Row],[instance]]&lt;OFFSET(_157721372917[[#This Row],[instance]],-1,0), OFFSET(_157721372917[[#This Row],[model]],-1,0)+1, OFFSET(_157721372917[[#This Row],[model]],-1,0))</f>
        <v>2</v>
      </c>
      <c r="B196">
        <v>7</v>
      </c>
      <c r="C196" s="5">
        <v>7.8703703703703702E-6</v>
      </c>
      <c r="D196">
        <v>0</v>
      </c>
      <c r="E196">
        <v>0</v>
      </c>
      <c r="F196">
        <v>0</v>
      </c>
      <c r="G196" s="5">
        <v>3.3564814814814815E-6</v>
      </c>
      <c r="H196" s="5">
        <v>6.9449074074074075E-3</v>
      </c>
      <c r="I196" s="5">
        <v>6.4849537037037037E-3</v>
      </c>
      <c r="J196" s="5">
        <v>3.1249999999999997E-6</v>
      </c>
      <c r="P196" s="1"/>
    </row>
    <row r="197" spans="1:16" x14ac:dyDescent="0.25">
      <c r="A197">
        <f ca="1">IF(_157721372917[[#This Row],[instance]]&lt;OFFSET(_157721372917[[#This Row],[instance]],-1,0), OFFSET(_157721372917[[#This Row],[model]],-1,0)+1, OFFSET(_157721372917[[#This Row],[model]],-1,0))</f>
        <v>2</v>
      </c>
      <c r="B197">
        <v>7</v>
      </c>
      <c r="C197" s="5">
        <v>7.8703703703703702E-6</v>
      </c>
      <c r="D197">
        <v>3</v>
      </c>
      <c r="E197">
        <v>1</v>
      </c>
      <c r="F197">
        <v>1</v>
      </c>
      <c r="G197" s="5">
        <v>3.3564814814814815E-6</v>
      </c>
      <c r="H197" s="5">
        <v>6.9449074074074075E-3</v>
      </c>
      <c r="I197" s="5">
        <v>6.4849537037037037E-3</v>
      </c>
      <c r="J197" s="5">
        <v>3.1249999999999997E-6</v>
      </c>
      <c r="P197" s="1"/>
    </row>
    <row r="198" spans="1:16" x14ac:dyDescent="0.25">
      <c r="A198">
        <f ca="1">IF(_157721372917[[#This Row],[instance]]&lt;OFFSET(_157721372917[[#This Row],[instance]],-1,0), OFFSET(_157721372917[[#This Row],[model]],-1,0)+1, OFFSET(_157721372917[[#This Row],[model]],-1,0))</f>
        <v>2</v>
      </c>
      <c r="B198">
        <v>7</v>
      </c>
      <c r="C198" s="5">
        <v>7.8703703703703702E-6</v>
      </c>
      <c r="D198">
        <v>6</v>
      </c>
      <c r="E198">
        <v>2</v>
      </c>
      <c r="F198">
        <v>2</v>
      </c>
      <c r="G198" s="5">
        <v>3.3564814814814815E-6</v>
      </c>
      <c r="H198" s="5">
        <v>6.9449074074074075E-3</v>
      </c>
      <c r="I198" s="5">
        <v>6.4849537037037037E-3</v>
      </c>
      <c r="J198" s="5">
        <v>3.1249999999999997E-6</v>
      </c>
      <c r="P198" s="1"/>
    </row>
    <row r="199" spans="1:16" x14ac:dyDescent="0.25">
      <c r="A199">
        <f ca="1">IF(_157721372917[[#This Row],[instance]]&lt;OFFSET(_157721372917[[#This Row],[instance]],-1,0), OFFSET(_157721372917[[#This Row],[model]],-1,0)+1, OFFSET(_157721372917[[#This Row],[model]],-1,0))</f>
        <v>2</v>
      </c>
      <c r="B199">
        <v>7</v>
      </c>
      <c r="C199" s="5">
        <v>7.8703703703703702E-6</v>
      </c>
      <c r="D199">
        <v>9</v>
      </c>
      <c r="E199">
        <v>3</v>
      </c>
      <c r="F199">
        <v>3</v>
      </c>
      <c r="G199" s="5">
        <v>3.3564814814814815E-6</v>
      </c>
      <c r="H199" s="5">
        <v>6.9449074074074075E-3</v>
      </c>
      <c r="I199" s="5">
        <v>6.4849537037037037E-3</v>
      </c>
      <c r="J199" s="5">
        <v>3.1249999999999997E-6</v>
      </c>
      <c r="P199" s="1"/>
    </row>
    <row r="200" spans="1:16" x14ac:dyDescent="0.25">
      <c r="A200">
        <f ca="1">IF(_157721372917[[#This Row],[instance]]&lt;OFFSET(_157721372917[[#This Row],[instance]],-1,0), OFFSET(_157721372917[[#This Row],[model]],-1,0)+1, OFFSET(_157721372917[[#This Row],[model]],-1,0))</f>
        <v>2</v>
      </c>
      <c r="B200">
        <v>7</v>
      </c>
      <c r="C200" s="5">
        <v>7.8703703703703702E-6</v>
      </c>
      <c r="D200">
        <v>10.5</v>
      </c>
      <c r="E200">
        <v>4</v>
      </c>
      <c r="F200">
        <v>4</v>
      </c>
      <c r="G200" s="5">
        <v>3.3564814814814815E-6</v>
      </c>
      <c r="H200" s="5">
        <v>6.9449074074074075E-3</v>
      </c>
      <c r="I200" s="5">
        <v>6.4849537037037037E-3</v>
      </c>
      <c r="J200" s="5">
        <v>3.1249999999999997E-6</v>
      </c>
      <c r="P200" s="1"/>
    </row>
    <row r="201" spans="1:16" x14ac:dyDescent="0.25">
      <c r="A201">
        <f ca="1">IF(_157721372917[[#This Row],[instance]]&lt;OFFSET(_157721372917[[#This Row],[instance]],-1,0), OFFSET(_157721372917[[#This Row],[model]],-1,0)+1, OFFSET(_157721372917[[#This Row],[model]],-1,0))</f>
        <v>2</v>
      </c>
      <c r="B201">
        <v>7</v>
      </c>
      <c r="C201" s="5">
        <v>9.9999999999999991E-5</v>
      </c>
      <c r="D201">
        <v>12</v>
      </c>
      <c r="E201">
        <v>5</v>
      </c>
      <c r="F201">
        <v>4</v>
      </c>
      <c r="G201" s="5">
        <v>3.3564814814814815E-6</v>
      </c>
      <c r="H201" s="5">
        <v>6.9449074074074075E-3</v>
      </c>
      <c r="I201" s="5">
        <v>6.4849537037037037E-3</v>
      </c>
      <c r="J201" s="5">
        <v>3.1249999999999997E-6</v>
      </c>
      <c r="P201" s="1"/>
    </row>
    <row r="202" spans="1:16" x14ac:dyDescent="0.25">
      <c r="A202">
        <f ca="1">IF(_157721372917[[#This Row],[instance]]&lt;OFFSET(_157721372917[[#This Row],[instance]],-1,0), OFFSET(_157721372917[[#This Row],[model]],-1,0)+1, OFFSET(_157721372917[[#This Row],[model]],-1,0))</f>
        <v>2</v>
      </c>
      <c r="B202">
        <v>7</v>
      </c>
      <c r="C202" s="5">
        <v>1.9780092592592592E-4</v>
      </c>
      <c r="D202">
        <v>13.5</v>
      </c>
      <c r="E202">
        <v>6</v>
      </c>
      <c r="F202">
        <v>5</v>
      </c>
      <c r="G202" s="5">
        <v>3.3564814814814815E-6</v>
      </c>
      <c r="H202" s="5">
        <v>6.9449074074074075E-3</v>
      </c>
      <c r="I202" s="5">
        <v>6.4849537037037037E-3</v>
      </c>
      <c r="J202" s="5">
        <v>3.1249999999999997E-6</v>
      </c>
      <c r="P202" s="1"/>
    </row>
    <row r="203" spans="1:16" x14ac:dyDescent="0.25">
      <c r="A203">
        <f ca="1">IF(_157721372917[[#This Row],[instance]]&lt;OFFSET(_157721372917[[#This Row],[instance]],-1,0), OFFSET(_157721372917[[#This Row],[model]],-1,0)+1, OFFSET(_157721372917[[#This Row],[model]],-1,0))</f>
        <v>2</v>
      </c>
      <c r="B203">
        <v>7</v>
      </c>
      <c r="C203" s="5">
        <v>1.9780092592592592E-4</v>
      </c>
      <c r="D203">
        <v>15</v>
      </c>
      <c r="E203">
        <v>7</v>
      </c>
      <c r="F203">
        <v>5</v>
      </c>
      <c r="G203" s="5">
        <v>3.3564814814814815E-6</v>
      </c>
      <c r="H203" s="5">
        <v>6.9449074074074075E-3</v>
      </c>
      <c r="I203" s="5">
        <v>6.4849537037037037E-3</v>
      </c>
      <c r="J203" s="5">
        <v>3.1249999999999997E-6</v>
      </c>
      <c r="P203" s="1"/>
    </row>
    <row r="204" spans="1:16" x14ac:dyDescent="0.25">
      <c r="A204">
        <f ca="1">IF(_157721372917[[#This Row],[instance]]&lt;OFFSET(_157721372917[[#This Row],[instance]],-1,0), OFFSET(_157721372917[[#This Row],[model]],-1,0)+1, OFFSET(_157721372917[[#This Row],[model]],-1,0))</f>
        <v>2</v>
      </c>
      <c r="B204">
        <v>7</v>
      </c>
      <c r="C204" s="5">
        <v>5.8912037037037038E-4</v>
      </c>
      <c r="D204">
        <v>16.5</v>
      </c>
      <c r="E204">
        <v>8</v>
      </c>
      <c r="F204">
        <v>6</v>
      </c>
      <c r="G204" s="5">
        <v>3.3564814814814815E-6</v>
      </c>
      <c r="H204" s="5">
        <v>6.9449074074074075E-3</v>
      </c>
      <c r="I204" s="5">
        <v>6.4849537037037037E-3</v>
      </c>
      <c r="J204" s="5">
        <v>3.1249999999999997E-6</v>
      </c>
      <c r="P204" s="1"/>
    </row>
    <row r="205" spans="1:16" x14ac:dyDescent="0.25">
      <c r="A205">
        <f ca="1">IF(_157721372917[[#This Row],[instance]]&lt;OFFSET(_157721372917[[#This Row],[instance]],-1,0), OFFSET(_157721372917[[#This Row],[model]],-1,0)+1, OFFSET(_157721372917[[#This Row],[model]],-1,0))</f>
        <v>2</v>
      </c>
      <c r="B205">
        <v>7</v>
      </c>
      <c r="C205" s="5">
        <v>1.8542824074074074E-3</v>
      </c>
      <c r="D205">
        <v>18</v>
      </c>
      <c r="E205">
        <v>9</v>
      </c>
      <c r="F205">
        <v>6</v>
      </c>
      <c r="G205" s="5">
        <v>3.3564814814814815E-6</v>
      </c>
      <c r="H205" s="5">
        <v>6.9449074074074075E-3</v>
      </c>
      <c r="I205" s="5">
        <v>6.4849537037037037E-3</v>
      </c>
      <c r="J205" s="5">
        <v>3.1249999999999997E-6</v>
      </c>
      <c r="P205" s="1"/>
    </row>
    <row r="206" spans="1:16" x14ac:dyDescent="0.25">
      <c r="A206">
        <f ca="1">IF(_157721372917[[#This Row],[instance]]&lt;OFFSET(_157721372917[[#This Row],[instance]],-1,0), OFFSET(_157721372917[[#This Row],[model]],-1,0)+1, OFFSET(_157721372917[[#This Row],[model]],-1,0))</f>
        <v>2</v>
      </c>
      <c r="B206">
        <v>8</v>
      </c>
      <c r="C206" s="5">
        <v>6.712962962962963E-6</v>
      </c>
      <c r="D206">
        <v>0</v>
      </c>
      <c r="E206">
        <v>0</v>
      </c>
      <c r="F206">
        <v>0</v>
      </c>
      <c r="G206" s="5">
        <v>3.1249999999999997E-6</v>
      </c>
      <c r="H206" s="5">
        <v>4.7106481481481481E-5</v>
      </c>
      <c r="I206" s="5">
        <v>6.4849537037037037E-3</v>
      </c>
      <c r="J206" s="5">
        <v>3.1249999999999997E-6</v>
      </c>
      <c r="P206" s="1"/>
    </row>
    <row r="207" spans="1:16" x14ac:dyDescent="0.25">
      <c r="A207">
        <f ca="1">IF(_157721372917[[#This Row],[instance]]&lt;OFFSET(_157721372917[[#This Row],[instance]],-1,0), OFFSET(_157721372917[[#This Row],[model]],-1,0)+1, OFFSET(_157721372917[[#This Row],[model]],-1,0))</f>
        <v>2</v>
      </c>
      <c r="B207">
        <v>8</v>
      </c>
      <c r="C207" s="5">
        <v>6.712962962962963E-6</v>
      </c>
      <c r="D207">
        <v>1.5</v>
      </c>
      <c r="E207">
        <v>1</v>
      </c>
      <c r="F207">
        <v>1</v>
      </c>
      <c r="G207" s="5">
        <v>3.1249999999999997E-6</v>
      </c>
      <c r="H207" s="5">
        <v>4.7106481481481481E-5</v>
      </c>
      <c r="I207" s="5">
        <v>6.4849537037037037E-3</v>
      </c>
      <c r="J207" s="5">
        <v>3.1249999999999997E-6</v>
      </c>
      <c r="P207" s="1"/>
    </row>
    <row r="208" spans="1:16" x14ac:dyDescent="0.25">
      <c r="A208">
        <f ca="1">IF(_157721372917[[#This Row],[instance]]&lt;OFFSET(_157721372917[[#This Row],[instance]],-1,0), OFFSET(_157721372917[[#This Row],[model]],-1,0)+1, OFFSET(_157721372917[[#This Row],[model]],-1,0))</f>
        <v>2</v>
      </c>
      <c r="B208">
        <v>8</v>
      </c>
      <c r="C208" s="5">
        <v>6.712962962962963E-6</v>
      </c>
      <c r="D208">
        <v>3</v>
      </c>
      <c r="E208">
        <v>2</v>
      </c>
      <c r="F208">
        <v>1</v>
      </c>
      <c r="G208" s="5">
        <v>3.1249999999999997E-6</v>
      </c>
      <c r="H208" s="5">
        <v>4.7106481481481481E-5</v>
      </c>
      <c r="I208" s="5">
        <v>6.4849537037037037E-3</v>
      </c>
      <c r="J208" s="5">
        <v>3.1249999999999997E-6</v>
      </c>
      <c r="P208" s="1"/>
    </row>
    <row r="209" spans="1:16" x14ac:dyDescent="0.25">
      <c r="A209">
        <f ca="1">IF(_157721372917[[#This Row],[instance]]&lt;OFFSET(_157721372917[[#This Row],[instance]],-1,0), OFFSET(_157721372917[[#This Row],[model]],-1,0)+1, OFFSET(_157721372917[[#This Row],[model]],-1,0))</f>
        <v>2</v>
      </c>
      <c r="B209">
        <v>8</v>
      </c>
      <c r="C209" s="5">
        <v>6.712962962962963E-6</v>
      </c>
      <c r="D209">
        <v>4.5</v>
      </c>
      <c r="E209">
        <v>3</v>
      </c>
      <c r="F209">
        <v>2</v>
      </c>
      <c r="G209" s="5">
        <v>3.1249999999999997E-6</v>
      </c>
      <c r="H209" s="5">
        <v>4.7106481481481481E-5</v>
      </c>
      <c r="I209" s="5">
        <v>6.4849537037037037E-3</v>
      </c>
      <c r="J209" s="5">
        <v>3.1249999999999997E-6</v>
      </c>
      <c r="P209" s="1"/>
    </row>
    <row r="210" spans="1:16" x14ac:dyDescent="0.25">
      <c r="A210">
        <f ca="1">IF(_157721372917[[#This Row],[instance]]&lt;OFFSET(_157721372917[[#This Row],[instance]],-1,0), OFFSET(_157721372917[[#This Row],[model]],-1,0)+1, OFFSET(_157721372917[[#This Row],[model]],-1,0))</f>
        <v>2</v>
      </c>
      <c r="B210">
        <v>8</v>
      </c>
      <c r="C210" s="5">
        <v>6.828703703703703E-6</v>
      </c>
      <c r="D210">
        <v>6</v>
      </c>
      <c r="E210">
        <v>4</v>
      </c>
      <c r="F210">
        <v>2</v>
      </c>
      <c r="G210" s="5">
        <v>3.1249999999999997E-6</v>
      </c>
      <c r="H210" s="5">
        <v>4.7106481481481481E-5</v>
      </c>
      <c r="I210" s="5">
        <v>6.4849537037037037E-3</v>
      </c>
      <c r="J210" s="5">
        <v>3.1249999999999997E-6</v>
      </c>
      <c r="P210" s="1"/>
    </row>
    <row r="211" spans="1:16" x14ac:dyDescent="0.25">
      <c r="A211">
        <f ca="1">IF(_157721372917[[#This Row],[instance]]&lt;OFFSET(_157721372917[[#This Row],[instance]],-1,0), OFFSET(_157721372917[[#This Row],[model]],-1,0)+1, OFFSET(_157721372917[[#This Row],[model]],-1,0))</f>
        <v>2</v>
      </c>
      <c r="B211">
        <v>8</v>
      </c>
      <c r="C211" s="5">
        <v>7.4074074074074075E-6</v>
      </c>
      <c r="D211">
        <v>7.5</v>
      </c>
      <c r="E211">
        <v>5</v>
      </c>
      <c r="F211">
        <v>3</v>
      </c>
      <c r="G211" s="5">
        <v>3.1249999999999997E-6</v>
      </c>
      <c r="H211" s="5">
        <v>4.7106481481481481E-5</v>
      </c>
      <c r="I211" s="5">
        <v>6.4849537037037037E-3</v>
      </c>
      <c r="J211" s="5">
        <v>3.1249999999999997E-6</v>
      </c>
      <c r="P211" s="1"/>
    </row>
    <row r="212" spans="1:16" x14ac:dyDescent="0.25">
      <c r="A212">
        <f ca="1">IF(_157721372917[[#This Row],[instance]]&lt;OFFSET(_157721372917[[#This Row],[instance]],-1,0), OFFSET(_157721372917[[#This Row],[model]],-1,0)+1, OFFSET(_157721372917[[#This Row],[model]],-1,0))</f>
        <v>2</v>
      </c>
      <c r="B212">
        <v>8</v>
      </c>
      <c r="C212" s="5">
        <v>8.5648148148148138E-6</v>
      </c>
      <c r="D212">
        <v>9</v>
      </c>
      <c r="E212">
        <v>6</v>
      </c>
      <c r="F212">
        <v>3</v>
      </c>
      <c r="G212" s="5">
        <v>3.1249999999999997E-6</v>
      </c>
      <c r="H212" s="5">
        <v>4.7106481481481481E-5</v>
      </c>
      <c r="I212" s="5">
        <v>6.4849537037037037E-3</v>
      </c>
      <c r="J212" s="5">
        <v>3.1249999999999997E-6</v>
      </c>
      <c r="P212" s="1"/>
    </row>
    <row r="213" spans="1:16" x14ac:dyDescent="0.25">
      <c r="A213">
        <f ca="1">IF(_157721372917[[#This Row],[instance]]&lt;OFFSET(_157721372917[[#This Row],[instance]],-1,0), OFFSET(_157721372917[[#This Row],[model]],-1,0)+1, OFFSET(_157721372917[[#This Row],[model]],-1,0))</f>
        <v>2</v>
      </c>
      <c r="B213">
        <v>8</v>
      </c>
      <c r="C213" s="5">
        <v>1.7476851851851851E-5</v>
      </c>
      <c r="D213">
        <v>9.75</v>
      </c>
      <c r="E213">
        <v>7</v>
      </c>
      <c r="F213">
        <v>3</v>
      </c>
      <c r="G213" s="5">
        <v>3.1249999999999997E-6</v>
      </c>
      <c r="H213" s="5">
        <v>4.7106481481481481E-5</v>
      </c>
      <c r="I213" s="5">
        <v>6.4849537037037037E-3</v>
      </c>
      <c r="J213" s="5">
        <v>3.1249999999999997E-6</v>
      </c>
      <c r="P213" s="1"/>
    </row>
    <row r="214" spans="1:16" x14ac:dyDescent="0.25">
      <c r="A214">
        <f ca="1">IF(_157721372917[[#This Row],[instance]]&lt;OFFSET(_157721372917[[#This Row],[instance]],-1,0), OFFSET(_157721372917[[#This Row],[model]],-1,0)+1, OFFSET(_157721372917[[#This Row],[model]],-1,0))</f>
        <v>2</v>
      </c>
      <c r="B214">
        <v>8</v>
      </c>
      <c r="C214" s="5">
        <v>4.9999999999999996E-5</v>
      </c>
      <c r="D214">
        <v>11.25</v>
      </c>
      <c r="E214">
        <v>8</v>
      </c>
      <c r="F214">
        <v>4</v>
      </c>
      <c r="G214" s="5">
        <v>3.1249999999999997E-6</v>
      </c>
      <c r="H214" s="5">
        <v>4.7106481481481481E-5</v>
      </c>
      <c r="I214" s="5">
        <v>6.4849537037037037E-3</v>
      </c>
      <c r="J214" s="5">
        <v>3.1249999999999997E-6</v>
      </c>
      <c r="P214" s="1"/>
    </row>
    <row r="215" spans="1:16" x14ac:dyDescent="0.25">
      <c r="A215">
        <f ca="1">IF(_157721372917[[#This Row],[instance]]&lt;OFFSET(_157721372917[[#This Row],[instance]],-1,0), OFFSET(_157721372917[[#This Row],[model]],-1,0)+1, OFFSET(_157721372917[[#This Row],[model]],-1,0))</f>
        <v>2</v>
      </c>
      <c r="B215">
        <v>8</v>
      </c>
      <c r="C215" s="5">
        <v>4.9999999999999996E-5</v>
      </c>
      <c r="D215">
        <v>12</v>
      </c>
      <c r="E215">
        <v>9</v>
      </c>
      <c r="F215">
        <v>6</v>
      </c>
      <c r="G215" s="5">
        <v>3.1249999999999997E-6</v>
      </c>
      <c r="H215" s="5">
        <v>4.7106481481481481E-5</v>
      </c>
      <c r="I215" s="5">
        <v>6.4849537037037037E-3</v>
      </c>
      <c r="J215" s="5">
        <v>3.1249999999999997E-6</v>
      </c>
      <c r="P215" s="1"/>
    </row>
    <row r="216" spans="1:16" x14ac:dyDescent="0.25">
      <c r="A216">
        <f ca="1">IF(_157721372917[[#This Row],[instance]]&lt;OFFSET(_157721372917[[#This Row],[instance]],-1,0), OFFSET(_157721372917[[#This Row],[model]],-1,0)+1, OFFSET(_157721372917[[#This Row],[model]],-1,0))</f>
        <v>2</v>
      </c>
      <c r="B216">
        <v>8</v>
      </c>
      <c r="C216" s="5">
        <v>5.0115740740740736E-5</v>
      </c>
      <c r="D216">
        <v>12.375</v>
      </c>
      <c r="E216">
        <v>10</v>
      </c>
      <c r="F216">
        <v>6</v>
      </c>
      <c r="G216" s="5">
        <v>3.1249999999999997E-6</v>
      </c>
      <c r="H216" s="5">
        <v>4.7106481481481481E-5</v>
      </c>
      <c r="I216" s="5">
        <v>6.4849537037037037E-3</v>
      </c>
      <c r="J216" s="5">
        <v>3.1249999999999997E-6</v>
      </c>
      <c r="P216" s="1"/>
    </row>
    <row r="217" spans="1:16" x14ac:dyDescent="0.25">
      <c r="A217">
        <f ca="1">IF(_157721372917[[#This Row],[instance]]&lt;OFFSET(_157721372917[[#This Row],[instance]],-1,0), OFFSET(_157721372917[[#This Row],[model]],-1,0)+1, OFFSET(_157721372917[[#This Row],[model]],-1,0))</f>
        <v>2</v>
      </c>
      <c r="B217">
        <v>8</v>
      </c>
      <c r="C217" s="5">
        <v>5.0115740740740736E-5</v>
      </c>
      <c r="D217">
        <v>12.75</v>
      </c>
      <c r="E217">
        <v>10</v>
      </c>
      <c r="F217">
        <v>6</v>
      </c>
      <c r="G217" s="5">
        <v>3.1249999999999997E-6</v>
      </c>
      <c r="H217" s="5">
        <v>4.7106481481481481E-5</v>
      </c>
      <c r="I217" s="5">
        <v>6.4849537037037037E-3</v>
      </c>
      <c r="J217" s="5">
        <v>3.1249999999999997E-6</v>
      </c>
      <c r="P217" s="1"/>
    </row>
    <row r="218" spans="1:16" x14ac:dyDescent="0.25">
      <c r="A218">
        <f ca="1">IF(_157721372917[[#This Row],[instance]]&lt;OFFSET(_157721372917[[#This Row],[instance]],-1,0), OFFSET(_157721372917[[#This Row],[model]],-1,0)+1, OFFSET(_157721372917[[#This Row],[model]],-1,0))</f>
        <v>2</v>
      </c>
      <c r="B218">
        <v>8</v>
      </c>
      <c r="C218" s="5">
        <v>5.0231481481481482E-5</v>
      </c>
      <c r="D218">
        <v>13.125</v>
      </c>
      <c r="E218">
        <v>11</v>
      </c>
      <c r="F218">
        <v>6</v>
      </c>
      <c r="G218" s="5">
        <v>3.1249999999999997E-6</v>
      </c>
      <c r="H218" s="5">
        <v>4.7106481481481481E-5</v>
      </c>
      <c r="I218" s="5">
        <v>6.4849537037037037E-3</v>
      </c>
      <c r="J218" s="5">
        <v>3.1249999999999997E-6</v>
      </c>
      <c r="P218" s="1"/>
    </row>
    <row r="219" spans="1:16" x14ac:dyDescent="0.25">
      <c r="A219">
        <f ca="1">IF(_157721372917[[#This Row],[instance]]&lt;OFFSET(_157721372917[[#This Row],[instance]],-1,0), OFFSET(_157721372917[[#This Row],[model]],-1,0)+1, OFFSET(_157721372917[[#This Row],[model]],-1,0))</f>
        <v>2</v>
      </c>
      <c r="B219">
        <v>8</v>
      </c>
      <c r="C219" s="5">
        <v>5.0231481481481482E-5</v>
      </c>
      <c r="D219">
        <v>13.5</v>
      </c>
      <c r="E219">
        <v>12</v>
      </c>
      <c r="F219">
        <v>6</v>
      </c>
      <c r="G219" s="5">
        <v>3.1249999999999997E-6</v>
      </c>
      <c r="H219" s="5">
        <v>4.7106481481481481E-5</v>
      </c>
      <c r="I219" s="5">
        <v>6.4849537037037037E-3</v>
      </c>
      <c r="J219" s="5">
        <v>3.1249999999999997E-6</v>
      </c>
      <c r="P219" s="1"/>
    </row>
    <row r="220" spans="1:16" x14ac:dyDescent="0.25">
      <c r="A220">
        <f ca="1">IF(_157721372917[[#This Row],[instance]]&lt;OFFSET(_157721372917[[#This Row],[instance]],-1,0), OFFSET(_157721372917[[#This Row],[model]],-1,0)+1, OFFSET(_157721372917[[#This Row],[model]],-1,0))</f>
        <v>2</v>
      </c>
      <c r="B220">
        <v>8</v>
      </c>
      <c r="C220" s="5">
        <v>5.0231481481481482E-5</v>
      </c>
      <c r="D220">
        <v>13.875</v>
      </c>
      <c r="E220">
        <v>13</v>
      </c>
      <c r="F220">
        <v>7</v>
      </c>
      <c r="G220" s="5">
        <v>3.1249999999999997E-6</v>
      </c>
      <c r="H220" s="5">
        <v>4.7106481481481481E-5</v>
      </c>
      <c r="I220" s="5">
        <v>6.4849537037037037E-3</v>
      </c>
      <c r="J220" s="5">
        <v>3.1249999999999997E-6</v>
      </c>
      <c r="P220" s="1"/>
    </row>
    <row r="221" spans="1:16" x14ac:dyDescent="0.25">
      <c r="A221">
        <f ca="1">IF(_157721372917[[#This Row],[instance]]&lt;OFFSET(_157721372917[[#This Row],[instance]],-1,0), OFFSET(_157721372917[[#This Row],[model]],-1,0)+1, OFFSET(_157721372917[[#This Row],[model]],-1,0))</f>
        <v>2</v>
      </c>
      <c r="B221">
        <v>9</v>
      </c>
      <c r="C221" s="5">
        <v>6.9444444444444439E-6</v>
      </c>
      <c r="D221">
        <v>0</v>
      </c>
      <c r="E221">
        <v>0</v>
      </c>
      <c r="F221">
        <v>0</v>
      </c>
      <c r="G221" s="5">
        <v>3.1249999999999997E-6</v>
      </c>
      <c r="H221" s="5">
        <v>6.9449074074074075E-3</v>
      </c>
      <c r="I221" s="5">
        <v>6.4849537037037037E-3</v>
      </c>
      <c r="J221" s="5">
        <v>3.1249999999999997E-6</v>
      </c>
      <c r="P221" s="1"/>
    </row>
    <row r="222" spans="1:16" x14ac:dyDescent="0.25">
      <c r="A222">
        <f ca="1">IF(_157721372917[[#This Row],[instance]]&lt;OFFSET(_157721372917[[#This Row],[instance]],-1,0), OFFSET(_157721372917[[#This Row],[model]],-1,0)+1, OFFSET(_157721372917[[#This Row],[model]],-1,0))</f>
        <v>2</v>
      </c>
      <c r="B222">
        <v>9</v>
      </c>
      <c r="C222" s="5">
        <v>6.9444444444444439E-6</v>
      </c>
      <c r="D222">
        <v>3</v>
      </c>
      <c r="E222">
        <v>1</v>
      </c>
      <c r="F222">
        <v>1</v>
      </c>
      <c r="G222" s="5">
        <v>3.1249999999999997E-6</v>
      </c>
      <c r="H222" s="5">
        <v>6.9449074074074075E-3</v>
      </c>
      <c r="I222" s="5">
        <v>6.4849537037037037E-3</v>
      </c>
      <c r="J222" s="5">
        <v>3.1249999999999997E-6</v>
      </c>
      <c r="P222" s="1"/>
    </row>
    <row r="223" spans="1:16" x14ac:dyDescent="0.25">
      <c r="A223">
        <f ca="1">IF(_157721372917[[#This Row],[instance]]&lt;OFFSET(_157721372917[[#This Row],[instance]],-1,0), OFFSET(_157721372917[[#This Row],[model]],-1,0)+1, OFFSET(_157721372917[[#This Row],[model]],-1,0))</f>
        <v>2</v>
      </c>
      <c r="B223">
        <v>9</v>
      </c>
      <c r="C223" s="5">
        <v>6.9444444444444439E-6</v>
      </c>
      <c r="D223">
        <v>6</v>
      </c>
      <c r="E223">
        <v>2</v>
      </c>
      <c r="F223">
        <v>2</v>
      </c>
      <c r="G223" s="5">
        <v>3.1249999999999997E-6</v>
      </c>
      <c r="H223" s="5">
        <v>6.9449074074074075E-3</v>
      </c>
      <c r="I223" s="5">
        <v>6.4849537037037037E-3</v>
      </c>
      <c r="J223" s="5">
        <v>3.1249999999999997E-6</v>
      </c>
      <c r="P223" s="1"/>
    </row>
    <row r="224" spans="1:16" x14ac:dyDescent="0.25">
      <c r="A224">
        <f ca="1">IF(_157721372917[[#This Row],[instance]]&lt;OFFSET(_157721372917[[#This Row],[instance]],-1,0), OFFSET(_157721372917[[#This Row],[model]],-1,0)+1, OFFSET(_157721372917[[#This Row],[model]],-1,0))</f>
        <v>2</v>
      </c>
      <c r="B224">
        <v>9</v>
      </c>
      <c r="C224" s="5">
        <v>6.9444444444444439E-6</v>
      </c>
      <c r="D224">
        <v>7.5</v>
      </c>
      <c r="E224">
        <v>3</v>
      </c>
      <c r="F224">
        <v>1</v>
      </c>
      <c r="G224" s="5">
        <v>3.1249999999999997E-6</v>
      </c>
      <c r="H224" s="5">
        <v>6.9449074074074075E-3</v>
      </c>
      <c r="I224" s="5">
        <v>6.4849537037037037E-3</v>
      </c>
      <c r="J224" s="5">
        <v>3.1249999999999997E-6</v>
      </c>
      <c r="P224" s="1"/>
    </row>
    <row r="225" spans="1:16" x14ac:dyDescent="0.25">
      <c r="A225">
        <f ca="1">IF(_157721372917[[#This Row],[instance]]&lt;OFFSET(_157721372917[[#This Row],[instance]],-1,0), OFFSET(_157721372917[[#This Row],[model]],-1,0)+1, OFFSET(_157721372917[[#This Row],[model]],-1,0))</f>
        <v>2</v>
      </c>
      <c r="B225">
        <v>9</v>
      </c>
      <c r="C225" s="5">
        <v>6.9444444444444439E-6</v>
      </c>
      <c r="D225">
        <v>9</v>
      </c>
      <c r="E225">
        <v>4</v>
      </c>
      <c r="F225">
        <v>1</v>
      </c>
      <c r="G225" s="5">
        <v>3.1249999999999997E-6</v>
      </c>
      <c r="H225" s="5">
        <v>6.9449074074074075E-3</v>
      </c>
      <c r="I225" s="5">
        <v>6.4849537037037037E-3</v>
      </c>
      <c r="J225" s="5">
        <v>3.1249999999999997E-6</v>
      </c>
      <c r="P225" s="1"/>
    </row>
    <row r="226" spans="1:16" x14ac:dyDescent="0.25">
      <c r="A226">
        <f ca="1">IF(_157721372917[[#This Row],[instance]]&lt;OFFSET(_157721372917[[#This Row],[instance]],-1,0), OFFSET(_157721372917[[#This Row],[model]],-1,0)+1, OFFSET(_157721372917[[#This Row],[model]],-1,0))</f>
        <v>2</v>
      </c>
      <c r="B226">
        <v>9</v>
      </c>
      <c r="C226" s="5">
        <v>6.9444444444444439E-6</v>
      </c>
      <c r="D226">
        <v>10.5</v>
      </c>
      <c r="E226">
        <v>5</v>
      </c>
      <c r="F226">
        <v>1</v>
      </c>
      <c r="G226" s="5">
        <v>3.1249999999999997E-6</v>
      </c>
      <c r="H226" s="5">
        <v>6.9449074074074075E-3</v>
      </c>
      <c r="I226" s="5">
        <v>6.4849537037037037E-3</v>
      </c>
      <c r="J226" s="5">
        <v>3.1249999999999997E-6</v>
      </c>
      <c r="P226" s="1"/>
    </row>
    <row r="227" spans="1:16" x14ac:dyDescent="0.25">
      <c r="A227">
        <f ca="1">IF(_157721372917[[#This Row],[instance]]&lt;OFFSET(_157721372917[[#This Row],[instance]],-1,0), OFFSET(_157721372917[[#This Row],[model]],-1,0)+1, OFFSET(_157721372917[[#This Row],[model]],-1,0))</f>
        <v>2</v>
      </c>
      <c r="B227">
        <v>9</v>
      </c>
      <c r="C227" s="5">
        <v>6.5393518518518516E-5</v>
      </c>
      <c r="D227">
        <v>12</v>
      </c>
      <c r="E227">
        <v>6</v>
      </c>
      <c r="F227">
        <v>2</v>
      </c>
      <c r="G227" s="5">
        <v>3.1249999999999997E-6</v>
      </c>
      <c r="H227" s="5">
        <v>6.9449074074074075E-3</v>
      </c>
      <c r="I227" s="5">
        <v>6.4849537037037037E-3</v>
      </c>
      <c r="J227" s="5">
        <v>3.1249999999999997E-6</v>
      </c>
      <c r="P227" s="1"/>
    </row>
    <row r="228" spans="1:16" x14ac:dyDescent="0.25">
      <c r="A228">
        <f ca="1">IF(_157721372917[[#This Row],[instance]]&lt;OFFSET(_157721372917[[#This Row],[instance]],-1,0), OFFSET(_157721372917[[#This Row],[model]],-1,0)+1, OFFSET(_157721372917[[#This Row],[model]],-1,0))</f>
        <v>2</v>
      </c>
      <c r="B228">
        <v>10</v>
      </c>
      <c r="C228" s="5">
        <v>6.828703703703703E-6</v>
      </c>
      <c r="D228">
        <v>0</v>
      </c>
      <c r="E228">
        <v>0</v>
      </c>
      <c r="F228">
        <v>0</v>
      </c>
      <c r="G228" s="5">
        <v>3.2407407407407406E-6</v>
      </c>
      <c r="H228" s="5">
        <v>6.944791666666666E-3</v>
      </c>
      <c r="I228" s="5">
        <v>6.4849537037037037E-3</v>
      </c>
      <c r="J228" s="5">
        <v>3.1249999999999997E-6</v>
      </c>
      <c r="P228" s="1"/>
    </row>
    <row r="229" spans="1:16" x14ac:dyDescent="0.25">
      <c r="A229">
        <f ca="1">IF(_157721372917[[#This Row],[instance]]&lt;OFFSET(_157721372917[[#This Row],[instance]],-1,0), OFFSET(_157721372917[[#This Row],[model]],-1,0)+1, OFFSET(_157721372917[[#This Row],[model]],-1,0))</f>
        <v>2</v>
      </c>
      <c r="B229">
        <v>10</v>
      </c>
      <c r="C229" s="5">
        <v>6.828703703703703E-6</v>
      </c>
      <c r="D229">
        <v>3</v>
      </c>
      <c r="E229">
        <v>1</v>
      </c>
      <c r="F229">
        <v>1</v>
      </c>
      <c r="G229" s="5">
        <v>3.2407407407407406E-6</v>
      </c>
      <c r="H229" s="5">
        <v>6.944791666666666E-3</v>
      </c>
      <c r="I229" s="5">
        <v>6.4849537037037037E-3</v>
      </c>
      <c r="J229" s="5">
        <v>3.1249999999999997E-6</v>
      </c>
      <c r="P229" s="1"/>
    </row>
    <row r="230" spans="1:16" x14ac:dyDescent="0.25">
      <c r="A230">
        <f ca="1">IF(_157721372917[[#This Row],[instance]]&lt;OFFSET(_157721372917[[#This Row],[instance]],-1,0), OFFSET(_157721372917[[#This Row],[model]],-1,0)+1, OFFSET(_157721372917[[#This Row],[model]],-1,0))</f>
        <v>2</v>
      </c>
      <c r="B230">
        <v>10</v>
      </c>
      <c r="C230" s="5">
        <v>6.9444444444444439E-6</v>
      </c>
      <c r="D230">
        <v>6</v>
      </c>
      <c r="E230">
        <v>2</v>
      </c>
      <c r="F230">
        <v>2</v>
      </c>
      <c r="G230" s="5">
        <v>3.2407407407407406E-6</v>
      </c>
      <c r="H230" s="5">
        <v>6.944791666666666E-3</v>
      </c>
      <c r="I230" s="5">
        <v>6.4849537037037037E-3</v>
      </c>
      <c r="J230" s="5">
        <v>3.1249999999999997E-6</v>
      </c>
      <c r="P230" s="1"/>
    </row>
    <row r="231" spans="1:16" x14ac:dyDescent="0.25">
      <c r="A231">
        <f ca="1">IF(_157721372917[[#This Row],[instance]]&lt;OFFSET(_157721372917[[#This Row],[instance]],-1,0), OFFSET(_157721372917[[#This Row],[model]],-1,0)+1, OFFSET(_157721372917[[#This Row],[model]],-1,0))</f>
        <v>2</v>
      </c>
      <c r="B231">
        <v>10</v>
      </c>
      <c r="C231" s="5">
        <v>6.9444444444444439E-6</v>
      </c>
      <c r="D231">
        <v>9</v>
      </c>
      <c r="E231">
        <v>3</v>
      </c>
      <c r="F231">
        <v>3</v>
      </c>
      <c r="G231" s="5">
        <v>3.2407407407407406E-6</v>
      </c>
      <c r="H231" s="5">
        <v>6.944791666666666E-3</v>
      </c>
      <c r="I231" s="5">
        <v>6.4849537037037037E-3</v>
      </c>
      <c r="J231" s="5">
        <v>3.1249999999999997E-6</v>
      </c>
      <c r="P231" s="1"/>
    </row>
    <row r="232" spans="1:16" x14ac:dyDescent="0.25">
      <c r="A232">
        <f ca="1">IF(_157721372917[[#This Row],[instance]]&lt;OFFSET(_157721372917[[#This Row],[instance]],-1,0), OFFSET(_157721372917[[#This Row],[model]],-1,0)+1, OFFSET(_157721372917[[#This Row],[model]],-1,0))</f>
        <v>2</v>
      </c>
      <c r="B232">
        <v>10</v>
      </c>
      <c r="C232" s="5">
        <v>6.9444444444444439E-6</v>
      </c>
      <c r="D232">
        <v>12</v>
      </c>
      <c r="E232">
        <v>4</v>
      </c>
      <c r="F232">
        <v>4</v>
      </c>
      <c r="G232" s="5">
        <v>3.2407407407407406E-6</v>
      </c>
      <c r="H232" s="5">
        <v>6.944791666666666E-3</v>
      </c>
      <c r="I232" s="5">
        <v>6.4849537037037037E-3</v>
      </c>
      <c r="J232" s="5">
        <v>3.1249999999999997E-6</v>
      </c>
      <c r="P232" s="1"/>
    </row>
    <row r="233" spans="1:16" x14ac:dyDescent="0.25">
      <c r="A233">
        <f ca="1">IF(_157721372917[[#This Row],[instance]]&lt;OFFSET(_157721372917[[#This Row],[instance]],-1,0), OFFSET(_157721372917[[#This Row],[model]],-1,0)+1, OFFSET(_157721372917[[#This Row],[model]],-1,0))</f>
        <v>2</v>
      </c>
      <c r="B233">
        <v>11</v>
      </c>
      <c r="C233" s="5">
        <v>6.712962962962963E-6</v>
      </c>
      <c r="D233">
        <v>0</v>
      </c>
      <c r="E233">
        <v>0</v>
      </c>
      <c r="F233">
        <v>0</v>
      </c>
      <c r="G233" s="5">
        <v>3.1249999999999997E-6</v>
      </c>
      <c r="H233" s="5">
        <v>6.944791666666666E-3</v>
      </c>
      <c r="I233" s="5">
        <v>6.4849537037037037E-3</v>
      </c>
      <c r="J233" s="5">
        <v>3.1249999999999997E-6</v>
      </c>
      <c r="P233" s="1"/>
    </row>
    <row r="234" spans="1:16" x14ac:dyDescent="0.25">
      <c r="A234">
        <f ca="1">IF(_157721372917[[#This Row],[instance]]&lt;OFFSET(_157721372917[[#This Row],[instance]],-1,0), OFFSET(_157721372917[[#This Row],[model]],-1,0)+1, OFFSET(_157721372917[[#This Row],[model]],-1,0))</f>
        <v>2</v>
      </c>
      <c r="B234">
        <v>11</v>
      </c>
      <c r="C234" s="5">
        <v>6.712962962962963E-6</v>
      </c>
      <c r="D234">
        <v>2</v>
      </c>
      <c r="E234">
        <v>2</v>
      </c>
      <c r="F234">
        <v>1</v>
      </c>
      <c r="G234" s="5">
        <v>3.1249999999999997E-6</v>
      </c>
      <c r="H234" s="5">
        <v>6.944791666666666E-3</v>
      </c>
      <c r="I234" s="5">
        <v>6.4849537037037037E-3</v>
      </c>
      <c r="J234" s="5">
        <v>3.1249999999999997E-6</v>
      </c>
      <c r="P234" s="1"/>
    </row>
    <row r="235" spans="1:16" x14ac:dyDescent="0.25">
      <c r="A235">
        <f ca="1">IF(_157721372917[[#This Row],[instance]]&lt;OFFSET(_157721372917[[#This Row],[instance]],-1,0), OFFSET(_157721372917[[#This Row],[model]],-1,0)+1, OFFSET(_157721372917[[#This Row],[model]],-1,0))</f>
        <v>2</v>
      </c>
      <c r="B235">
        <v>11</v>
      </c>
      <c r="C235" s="5">
        <v>6.712962962962963E-6</v>
      </c>
      <c r="D235">
        <v>3</v>
      </c>
      <c r="E235">
        <v>3</v>
      </c>
      <c r="F235">
        <v>1</v>
      </c>
      <c r="G235" s="5">
        <v>3.1249999999999997E-6</v>
      </c>
      <c r="H235" s="5">
        <v>6.944791666666666E-3</v>
      </c>
      <c r="I235" s="5">
        <v>6.4849537037037037E-3</v>
      </c>
      <c r="J235" s="5">
        <v>3.1249999999999997E-6</v>
      </c>
      <c r="P235" s="1"/>
    </row>
    <row r="236" spans="1:16" x14ac:dyDescent="0.25">
      <c r="A236">
        <f ca="1">IF(_157721372917[[#This Row],[instance]]&lt;OFFSET(_157721372917[[#This Row],[instance]],-1,0), OFFSET(_157721372917[[#This Row],[model]],-1,0)+1, OFFSET(_157721372917[[#This Row],[model]],-1,0))</f>
        <v>2</v>
      </c>
      <c r="B236">
        <v>11</v>
      </c>
      <c r="C236" s="5">
        <v>6.828703703703703E-6</v>
      </c>
      <c r="D236">
        <v>4</v>
      </c>
      <c r="E236">
        <v>4</v>
      </c>
      <c r="F236">
        <v>1</v>
      </c>
      <c r="G236" s="5">
        <v>3.1249999999999997E-6</v>
      </c>
      <c r="H236" s="5">
        <v>6.944791666666666E-3</v>
      </c>
      <c r="I236" s="5">
        <v>6.4849537037037037E-3</v>
      </c>
      <c r="J236" s="5">
        <v>3.1249999999999997E-6</v>
      </c>
      <c r="P236" s="1"/>
    </row>
    <row r="237" spans="1:16" x14ac:dyDescent="0.25">
      <c r="A237">
        <f ca="1">IF(_157721372917[[#This Row],[instance]]&lt;OFFSET(_157721372917[[#This Row],[instance]],-1,0), OFFSET(_157721372917[[#This Row],[model]],-1,0)+1, OFFSET(_157721372917[[#This Row],[model]],-1,0))</f>
        <v>2</v>
      </c>
      <c r="B237">
        <v>11</v>
      </c>
      <c r="C237" s="5">
        <v>6.9444444444444439E-6</v>
      </c>
      <c r="D237">
        <v>5</v>
      </c>
      <c r="E237">
        <v>5</v>
      </c>
      <c r="F237">
        <v>1</v>
      </c>
      <c r="G237" s="5">
        <v>3.1249999999999997E-6</v>
      </c>
      <c r="H237" s="5">
        <v>6.944791666666666E-3</v>
      </c>
      <c r="I237" s="5">
        <v>6.4849537037037037E-3</v>
      </c>
      <c r="J237" s="5">
        <v>3.1249999999999997E-6</v>
      </c>
      <c r="P237" s="1"/>
    </row>
    <row r="238" spans="1:16" x14ac:dyDescent="0.25">
      <c r="A238">
        <f ca="1">IF(_157721372917[[#This Row],[instance]]&lt;OFFSET(_157721372917[[#This Row],[instance]],-1,0), OFFSET(_157721372917[[#This Row],[model]],-1,0)+1, OFFSET(_157721372917[[#This Row],[model]],-1,0))</f>
        <v>2</v>
      </c>
      <c r="B238">
        <v>11</v>
      </c>
      <c r="C238" s="5">
        <v>6.9444444444444439E-6</v>
      </c>
      <c r="D238">
        <v>6</v>
      </c>
      <c r="E238">
        <v>6</v>
      </c>
      <c r="F238">
        <v>1</v>
      </c>
      <c r="G238" s="5">
        <v>3.1249999999999997E-6</v>
      </c>
      <c r="H238" s="5">
        <v>6.944791666666666E-3</v>
      </c>
      <c r="I238" s="5">
        <v>6.4849537037037037E-3</v>
      </c>
      <c r="J238" s="5">
        <v>3.1249999999999997E-6</v>
      </c>
      <c r="P238" s="1"/>
    </row>
    <row r="239" spans="1:16" x14ac:dyDescent="0.25">
      <c r="A239">
        <f ca="1">IF(_157721372917[[#This Row],[instance]]&lt;OFFSET(_157721372917[[#This Row],[instance]],-1,0), OFFSET(_157721372917[[#This Row],[model]],-1,0)+1, OFFSET(_157721372917[[#This Row],[model]],-1,0))</f>
        <v>2</v>
      </c>
      <c r="B239">
        <v>11</v>
      </c>
      <c r="C239" s="5">
        <v>6.9444444444444439E-6</v>
      </c>
      <c r="D239">
        <v>7</v>
      </c>
      <c r="E239">
        <v>7</v>
      </c>
      <c r="F239">
        <v>1</v>
      </c>
      <c r="G239" s="5">
        <v>3.1249999999999997E-6</v>
      </c>
      <c r="H239" s="5">
        <v>6.944791666666666E-3</v>
      </c>
      <c r="I239" s="5">
        <v>6.4849537037037037E-3</v>
      </c>
      <c r="J239" s="5">
        <v>3.1249999999999997E-6</v>
      </c>
      <c r="P239" s="1"/>
    </row>
    <row r="240" spans="1:16" x14ac:dyDescent="0.25">
      <c r="A240">
        <f ca="1">IF(_157721372917[[#This Row],[instance]]&lt;OFFSET(_157721372917[[#This Row],[instance]],-1,0), OFFSET(_157721372917[[#This Row],[model]],-1,0)+1, OFFSET(_157721372917[[#This Row],[model]],-1,0))</f>
        <v>2</v>
      </c>
      <c r="B240">
        <v>11</v>
      </c>
      <c r="C240" s="5">
        <v>7.0601851851851848E-6</v>
      </c>
      <c r="D240">
        <v>8</v>
      </c>
      <c r="E240">
        <v>8</v>
      </c>
      <c r="F240">
        <v>1</v>
      </c>
      <c r="G240" s="5">
        <v>3.1249999999999997E-6</v>
      </c>
      <c r="H240" s="5">
        <v>6.944791666666666E-3</v>
      </c>
      <c r="I240" s="5">
        <v>6.4849537037037037E-3</v>
      </c>
      <c r="J240" s="5">
        <v>3.1249999999999997E-6</v>
      </c>
      <c r="P240" s="1"/>
    </row>
    <row r="241" spans="1:16" x14ac:dyDescent="0.25">
      <c r="A241">
        <f ca="1">IF(_157721372917[[#This Row],[instance]]&lt;OFFSET(_157721372917[[#This Row],[instance]],-1,0), OFFSET(_157721372917[[#This Row],[model]],-1,0)+1, OFFSET(_157721372917[[#This Row],[model]],-1,0))</f>
        <v>2</v>
      </c>
      <c r="B241">
        <v>11</v>
      </c>
      <c r="C241" s="5">
        <v>7.4074074074074075E-6</v>
      </c>
      <c r="D241">
        <v>9</v>
      </c>
      <c r="E241">
        <v>9</v>
      </c>
      <c r="F241">
        <v>1</v>
      </c>
      <c r="G241" s="5">
        <v>3.1249999999999997E-6</v>
      </c>
      <c r="H241" s="5">
        <v>6.944791666666666E-3</v>
      </c>
      <c r="I241" s="5">
        <v>6.4849537037037037E-3</v>
      </c>
      <c r="J241" s="5">
        <v>3.1249999999999997E-6</v>
      </c>
      <c r="P241" s="1"/>
    </row>
    <row r="242" spans="1:16" x14ac:dyDescent="0.25">
      <c r="A242">
        <f ca="1">IF(_157721372917[[#This Row],[instance]]&lt;OFFSET(_157721372917[[#This Row],[instance]],-1,0), OFFSET(_157721372917[[#This Row],[model]],-1,0)+1, OFFSET(_157721372917[[#This Row],[model]],-1,0))</f>
        <v>2</v>
      </c>
      <c r="B242">
        <v>12</v>
      </c>
      <c r="C242" s="5">
        <v>6.712962962962963E-6</v>
      </c>
      <c r="D242">
        <v>0</v>
      </c>
      <c r="E242">
        <v>0</v>
      </c>
      <c r="F242">
        <v>0</v>
      </c>
      <c r="G242" s="5">
        <v>3.1249999999999997E-6</v>
      </c>
      <c r="H242" s="5">
        <v>6.944791666666666E-3</v>
      </c>
      <c r="I242" s="5">
        <v>6.4849537037037037E-3</v>
      </c>
      <c r="J242" s="5">
        <v>3.1249999999999997E-6</v>
      </c>
      <c r="P242" s="1"/>
    </row>
    <row r="243" spans="1:16" x14ac:dyDescent="0.25">
      <c r="A243">
        <f ca="1">IF(_157721372917[[#This Row],[instance]]&lt;OFFSET(_157721372917[[#This Row],[instance]],-1,0), OFFSET(_157721372917[[#This Row],[model]],-1,0)+1, OFFSET(_157721372917[[#This Row],[model]],-1,0))</f>
        <v>2</v>
      </c>
      <c r="B243">
        <v>12</v>
      </c>
      <c r="C243" s="5">
        <v>6.712962962962963E-6</v>
      </c>
      <c r="D243">
        <v>3</v>
      </c>
      <c r="E243">
        <v>1</v>
      </c>
      <c r="F243">
        <v>1</v>
      </c>
      <c r="G243" s="5">
        <v>3.1249999999999997E-6</v>
      </c>
      <c r="H243" s="5">
        <v>6.944791666666666E-3</v>
      </c>
      <c r="I243" s="5">
        <v>6.4849537037037037E-3</v>
      </c>
      <c r="J243" s="5">
        <v>3.1249999999999997E-6</v>
      </c>
      <c r="P243" s="1"/>
    </row>
    <row r="244" spans="1:16" x14ac:dyDescent="0.25">
      <c r="A244">
        <f ca="1">IF(_157721372917[[#This Row],[instance]]&lt;OFFSET(_157721372917[[#This Row],[instance]],-1,0), OFFSET(_157721372917[[#This Row],[model]],-1,0)+1, OFFSET(_157721372917[[#This Row],[model]],-1,0))</f>
        <v>2</v>
      </c>
      <c r="B244">
        <v>12</v>
      </c>
      <c r="C244" s="5">
        <v>6.828703703703703E-6</v>
      </c>
      <c r="D244">
        <v>6</v>
      </c>
      <c r="E244">
        <v>2</v>
      </c>
      <c r="F244">
        <v>2</v>
      </c>
      <c r="G244" s="5">
        <v>3.1249999999999997E-6</v>
      </c>
      <c r="H244" s="5">
        <v>6.944791666666666E-3</v>
      </c>
      <c r="I244" s="5">
        <v>6.4849537037037037E-3</v>
      </c>
      <c r="J244" s="5">
        <v>3.1249999999999997E-6</v>
      </c>
      <c r="P244" s="1"/>
    </row>
    <row r="245" spans="1:16" x14ac:dyDescent="0.25">
      <c r="A245">
        <f ca="1">IF(_157721372917[[#This Row],[instance]]&lt;OFFSET(_157721372917[[#This Row],[instance]],-1,0), OFFSET(_157721372917[[#This Row],[model]],-1,0)+1, OFFSET(_157721372917[[#This Row],[model]],-1,0))</f>
        <v>2</v>
      </c>
      <c r="B245">
        <v>12</v>
      </c>
      <c r="C245" s="5">
        <v>6.828703703703703E-6</v>
      </c>
      <c r="D245">
        <v>9</v>
      </c>
      <c r="E245">
        <v>3</v>
      </c>
      <c r="F245">
        <v>3</v>
      </c>
      <c r="G245" s="5">
        <v>3.1249999999999997E-6</v>
      </c>
      <c r="H245" s="5">
        <v>6.944791666666666E-3</v>
      </c>
      <c r="I245" s="5">
        <v>6.4849537037037037E-3</v>
      </c>
      <c r="J245" s="5">
        <v>3.1249999999999997E-6</v>
      </c>
      <c r="P245" s="1"/>
    </row>
    <row r="246" spans="1:16" x14ac:dyDescent="0.25">
      <c r="A246">
        <f ca="1">IF(_157721372917[[#This Row],[instance]]&lt;OFFSET(_157721372917[[#This Row],[instance]],-1,0), OFFSET(_157721372917[[#This Row],[model]],-1,0)+1, OFFSET(_157721372917[[#This Row],[model]],-1,0))</f>
        <v>2</v>
      </c>
      <c r="B246">
        <v>12</v>
      </c>
      <c r="C246" s="5">
        <v>6.828703703703703E-6</v>
      </c>
      <c r="D246">
        <v>12</v>
      </c>
      <c r="E246">
        <v>4</v>
      </c>
      <c r="F246">
        <v>4</v>
      </c>
      <c r="G246" s="5">
        <v>3.1249999999999997E-6</v>
      </c>
      <c r="H246" s="5">
        <v>6.944791666666666E-3</v>
      </c>
      <c r="I246" s="5">
        <v>6.4849537037037037E-3</v>
      </c>
      <c r="J246" s="5">
        <v>3.1249999999999997E-6</v>
      </c>
      <c r="P246" s="1"/>
    </row>
    <row r="247" spans="1:16" x14ac:dyDescent="0.25">
      <c r="A247">
        <f ca="1">IF(_157721372917[[#This Row],[instance]]&lt;OFFSET(_157721372917[[#This Row],[instance]],-1,0), OFFSET(_157721372917[[#This Row],[model]],-1,0)+1, OFFSET(_157721372917[[#This Row],[model]],-1,0))</f>
        <v>2</v>
      </c>
      <c r="B247">
        <v>12</v>
      </c>
      <c r="C247" s="5">
        <v>6.828703703703703E-6</v>
      </c>
      <c r="D247">
        <v>15</v>
      </c>
      <c r="E247">
        <v>5</v>
      </c>
      <c r="F247">
        <v>5</v>
      </c>
      <c r="G247" s="5">
        <v>3.1249999999999997E-6</v>
      </c>
      <c r="H247" s="5">
        <v>6.944791666666666E-3</v>
      </c>
      <c r="I247" s="5">
        <v>6.4849537037037037E-3</v>
      </c>
      <c r="J247" s="5">
        <v>3.1249999999999997E-6</v>
      </c>
      <c r="P247" s="1"/>
    </row>
    <row r="248" spans="1:16" x14ac:dyDescent="0.25">
      <c r="A248">
        <f ca="1">IF(_157721372917[[#This Row],[instance]]&lt;OFFSET(_157721372917[[#This Row],[instance]],-1,0), OFFSET(_157721372917[[#This Row],[model]],-1,0)+1, OFFSET(_157721372917[[#This Row],[model]],-1,0))</f>
        <v>2</v>
      </c>
      <c r="B248">
        <v>13</v>
      </c>
      <c r="C248" s="5">
        <v>7.0601851851851848E-6</v>
      </c>
      <c r="D248">
        <v>0</v>
      </c>
      <c r="E248">
        <v>0</v>
      </c>
      <c r="F248">
        <v>0</v>
      </c>
      <c r="G248" s="5">
        <v>3.1249999999999997E-6</v>
      </c>
      <c r="H248" s="5">
        <v>6.9449074074074075E-3</v>
      </c>
      <c r="I248" s="5">
        <v>6.4849537037037037E-3</v>
      </c>
      <c r="J248" s="5">
        <v>3.1249999999999997E-6</v>
      </c>
      <c r="P248" s="1"/>
    </row>
    <row r="249" spans="1:16" x14ac:dyDescent="0.25">
      <c r="A249">
        <f ca="1">IF(_157721372917[[#This Row],[instance]]&lt;OFFSET(_157721372917[[#This Row],[instance]],-1,0), OFFSET(_157721372917[[#This Row],[model]],-1,0)+1, OFFSET(_157721372917[[#This Row],[model]],-1,0))</f>
        <v>2</v>
      </c>
      <c r="B249">
        <v>13</v>
      </c>
      <c r="C249" s="5">
        <v>7.0601851851851848E-6</v>
      </c>
      <c r="D249">
        <v>3</v>
      </c>
      <c r="E249">
        <v>1</v>
      </c>
      <c r="F249">
        <v>1</v>
      </c>
      <c r="G249" s="5">
        <v>3.1249999999999997E-6</v>
      </c>
      <c r="H249" s="5">
        <v>6.9449074074074075E-3</v>
      </c>
      <c r="I249" s="5">
        <v>6.4849537037037037E-3</v>
      </c>
      <c r="J249" s="5">
        <v>3.1249999999999997E-6</v>
      </c>
      <c r="P249" s="1"/>
    </row>
    <row r="250" spans="1:16" x14ac:dyDescent="0.25">
      <c r="A250">
        <f ca="1">IF(_157721372917[[#This Row],[instance]]&lt;OFFSET(_157721372917[[#This Row],[instance]],-1,0), OFFSET(_157721372917[[#This Row],[model]],-1,0)+1, OFFSET(_157721372917[[#This Row],[model]],-1,0))</f>
        <v>2</v>
      </c>
      <c r="B250">
        <v>13</v>
      </c>
      <c r="C250" s="5">
        <v>7.0601851851851848E-6</v>
      </c>
      <c r="D250">
        <v>6</v>
      </c>
      <c r="E250">
        <v>2</v>
      </c>
      <c r="F250">
        <v>2</v>
      </c>
      <c r="G250" s="5">
        <v>3.1249999999999997E-6</v>
      </c>
      <c r="H250" s="5">
        <v>6.9449074074074075E-3</v>
      </c>
      <c r="I250" s="5">
        <v>6.4849537037037037E-3</v>
      </c>
      <c r="J250" s="5">
        <v>3.1249999999999997E-6</v>
      </c>
      <c r="P250" s="1"/>
    </row>
    <row r="251" spans="1:16" x14ac:dyDescent="0.25">
      <c r="A251">
        <f ca="1">IF(_157721372917[[#This Row],[instance]]&lt;OFFSET(_157721372917[[#This Row],[instance]],-1,0), OFFSET(_157721372917[[#This Row],[model]],-1,0)+1, OFFSET(_157721372917[[#This Row],[model]],-1,0))</f>
        <v>2</v>
      </c>
      <c r="B251">
        <v>13</v>
      </c>
      <c r="C251" s="5">
        <v>7.0601851851851848E-6</v>
      </c>
      <c r="D251">
        <v>9</v>
      </c>
      <c r="E251">
        <v>3</v>
      </c>
      <c r="F251">
        <v>3</v>
      </c>
      <c r="G251" s="5">
        <v>3.1249999999999997E-6</v>
      </c>
      <c r="H251" s="5">
        <v>6.9449074074074075E-3</v>
      </c>
      <c r="I251" s="5">
        <v>6.4849537037037037E-3</v>
      </c>
      <c r="J251" s="5">
        <v>3.1249999999999997E-6</v>
      </c>
      <c r="P251" s="1"/>
    </row>
    <row r="252" spans="1:16" x14ac:dyDescent="0.25">
      <c r="A252">
        <f ca="1">IF(_157721372917[[#This Row],[instance]]&lt;OFFSET(_157721372917[[#This Row],[instance]],-1,0), OFFSET(_157721372917[[#This Row],[model]],-1,0)+1, OFFSET(_157721372917[[#This Row],[model]],-1,0))</f>
        <v>2</v>
      </c>
      <c r="B252">
        <v>13</v>
      </c>
      <c r="C252" s="5">
        <v>7.0601851851851848E-6</v>
      </c>
      <c r="D252">
        <v>12</v>
      </c>
      <c r="E252">
        <v>4</v>
      </c>
      <c r="F252">
        <v>4</v>
      </c>
      <c r="G252" s="5">
        <v>3.1249999999999997E-6</v>
      </c>
      <c r="H252" s="5">
        <v>6.9449074074074075E-3</v>
      </c>
      <c r="I252" s="5">
        <v>6.4849537037037037E-3</v>
      </c>
      <c r="J252" s="5">
        <v>3.1249999999999997E-6</v>
      </c>
      <c r="P252" s="1"/>
    </row>
    <row r="253" spans="1:16" x14ac:dyDescent="0.25">
      <c r="A253">
        <f ca="1">IF(_157721372917[[#This Row],[instance]]&lt;OFFSET(_157721372917[[#This Row],[instance]],-1,0), OFFSET(_157721372917[[#This Row],[model]],-1,0)+1, OFFSET(_157721372917[[#This Row],[model]],-1,0))</f>
        <v>2</v>
      </c>
      <c r="B253">
        <v>13</v>
      </c>
      <c r="C253" s="5">
        <v>7.1759259259259257E-6</v>
      </c>
      <c r="D253">
        <v>15</v>
      </c>
      <c r="E253">
        <v>5</v>
      </c>
      <c r="F253">
        <v>5</v>
      </c>
      <c r="G253" s="5">
        <v>3.1249999999999997E-6</v>
      </c>
      <c r="H253" s="5">
        <v>6.9449074074074075E-3</v>
      </c>
      <c r="I253" s="5">
        <v>6.4849537037037037E-3</v>
      </c>
      <c r="J253" s="5">
        <v>3.1249999999999997E-6</v>
      </c>
      <c r="P253" s="1"/>
    </row>
    <row r="254" spans="1:16" x14ac:dyDescent="0.25">
      <c r="A254">
        <f ca="1">IF(_157721372917[[#This Row],[instance]]&lt;OFFSET(_157721372917[[#This Row],[instance]],-1,0), OFFSET(_157721372917[[#This Row],[model]],-1,0)+1, OFFSET(_157721372917[[#This Row],[model]],-1,0))</f>
        <v>2</v>
      </c>
      <c r="B254">
        <v>14</v>
      </c>
      <c r="C254" s="5">
        <v>6.828703703703703E-6</v>
      </c>
      <c r="D254">
        <v>0</v>
      </c>
      <c r="E254">
        <v>0</v>
      </c>
      <c r="F254">
        <v>0</v>
      </c>
      <c r="G254" s="5">
        <v>3.1249999999999997E-6</v>
      </c>
      <c r="H254" s="5">
        <v>6.944791666666666E-3</v>
      </c>
      <c r="I254" s="5">
        <v>6.4849537037037037E-3</v>
      </c>
      <c r="J254" s="5">
        <v>3.1249999999999997E-6</v>
      </c>
      <c r="P254" s="1"/>
    </row>
    <row r="255" spans="1:16" x14ac:dyDescent="0.25">
      <c r="A255">
        <f ca="1">IF(_157721372917[[#This Row],[instance]]&lt;OFFSET(_157721372917[[#This Row],[instance]],-1,0), OFFSET(_157721372917[[#This Row],[model]],-1,0)+1, OFFSET(_157721372917[[#This Row],[model]],-1,0))</f>
        <v>2</v>
      </c>
      <c r="B255">
        <v>14</v>
      </c>
      <c r="C255" s="5">
        <v>6.828703703703703E-6</v>
      </c>
      <c r="D255">
        <v>3</v>
      </c>
      <c r="E255">
        <v>1</v>
      </c>
      <c r="F255">
        <v>1</v>
      </c>
      <c r="G255" s="5">
        <v>3.1249999999999997E-6</v>
      </c>
      <c r="H255" s="5">
        <v>6.944791666666666E-3</v>
      </c>
      <c r="I255" s="5">
        <v>6.4849537037037037E-3</v>
      </c>
      <c r="J255" s="5">
        <v>3.1249999999999997E-6</v>
      </c>
      <c r="P255" s="1"/>
    </row>
    <row r="256" spans="1:16" x14ac:dyDescent="0.25">
      <c r="A256">
        <f ca="1">IF(_157721372917[[#This Row],[instance]]&lt;OFFSET(_157721372917[[#This Row],[instance]],-1,0), OFFSET(_157721372917[[#This Row],[model]],-1,0)+1, OFFSET(_157721372917[[#This Row],[model]],-1,0))</f>
        <v>2</v>
      </c>
      <c r="B256">
        <v>14</v>
      </c>
      <c r="C256" s="5">
        <v>6.828703703703703E-6</v>
      </c>
      <c r="D256">
        <v>6</v>
      </c>
      <c r="E256">
        <v>2</v>
      </c>
      <c r="F256">
        <v>2</v>
      </c>
      <c r="G256" s="5">
        <v>3.1249999999999997E-6</v>
      </c>
      <c r="H256" s="5">
        <v>6.944791666666666E-3</v>
      </c>
      <c r="I256" s="5">
        <v>6.4849537037037037E-3</v>
      </c>
      <c r="J256" s="5">
        <v>3.1249999999999997E-6</v>
      </c>
      <c r="P256" s="1"/>
    </row>
    <row r="257" spans="1:16" x14ac:dyDescent="0.25">
      <c r="A257">
        <f ca="1">IF(_157721372917[[#This Row],[instance]]&lt;OFFSET(_157721372917[[#This Row],[instance]],-1,0), OFFSET(_157721372917[[#This Row],[model]],-1,0)+1, OFFSET(_157721372917[[#This Row],[model]],-1,0))</f>
        <v>2</v>
      </c>
      <c r="B257">
        <v>14</v>
      </c>
      <c r="C257" s="5">
        <v>6.828703703703703E-6</v>
      </c>
      <c r="D257">
        <v>9</v>
      </c>
      <c r="E257">
        <v>3</v>
      </c>
      <c r="F257">
        <v>3</v>
      </c>
      <c r="G257" s="5">
        <v>3.1249999999999997E-6</v>
      </c>
      <c r="H257" s="5">
        <v>6.944791666666666E-3</v>
      </c>
      <c r="I257" s="5">
        <v>6.4849537037037037E-3</v>
      </c>
      <c r="J257" s="5">
        <v>3.1249999999999997E-6</v>
      </c>
      <c r="P257" s="1"/>
    </row>
    <row r="258" spans="1:16" x14ac:dyDescent="0.25">
      <c r="A258">
        <f ca="1">IF(_157721372917[[#This Row],[instance]]&lt;OFFSET(_157721372917[[#This Row],[instance]],-1,0), OFFSET(_157721372917[[#This Row],[model]],-1,0)+1, OFFSET(_157721372917[[#This Row],[model]],-1,0))</f>
        <v>2</v>
      </c>
      <c r="B258">
        <v>14</v>
      </c>
      <c r="C258" s="5">
        <v>6.9444444444444439E-6</v>
      </c>
      <c r="D258">
        <v>12</v>
      </c>
      <c r="E258">
        <v>4</v>
      </c>
      <c r="F258">
        <v>4</v>
      </c>
      <c r="G258" s="5">
        <v>3.1249999999999997E-6</v>
      </c>
      <c r="H258" s="5">
        <v>6.944791666666666E-3</v>
      </c>
      <c r="I258" s="5">
        <v>6.4849537037037037E-3</v>
      </c>
      <c r="J258" s="5">
        <v>3.1249999999999997E-6</v>
      </c>
      <c r="P258" s="1"/>
    </row>
    <row r="259" spans="1:16" x14ac:dyDescent="0.25">
      <c r="A259">
        <f ca="1">IF(_157721372917[[#This Row],[instance]]&lt;OFFSET(_157721372917[[#This Row],[instance]],-1,0), OFFSET(_157721372917[[#This Row],[model]],-1,0)+1, OFFSET(_157721372917[[#This Row],[model]],-1,0))</f>
        <v>2</v>
      </c>
      <c r="B259">
        <v>14</v>
      </c>
      <c r="C259" s="5">
        <v>6.9444444444444439E-6</v>
      </c>
      <c r="D259">
        <v>15</v>
      </c>
      <c r="E259">
        <v>5</v>
      </c>
      <c r="F259">
        <v>5</v>
      </c>
      <c r="G259" s="5">
        <v>3.1249999999999997E-6</v>
      </c>
      <c r="H259" s="5">
        <v>6.944791666666666E-3</v>
      </c>
      <c r="I259" s="5">
        <v>6.4849537037037037E-3</v>
      </c>
      <c r="J259" s="5">
        <v>3.1249999999999997E-6</v>
      </c>
      <c r="P259" s="1"/>
    </row>
    <row r="260" spans="1:16" x14ac:dyDescent="0.25">
      <c r="A260">
        <f ca="1">IF(_157721372917[[#This Row],[instance]]&lt;OFFSET(_157721372917[[#This Row],[instance]],-1,0), OFFSET(_157721372917[[#This Row],[model]],-1,0)+1, OFFSET(_157721372917[[#This Row],[model]],-1,0))</f>
        <v>2</v>
      </c>
      <c r="B260">
        <v>14</v>
      </c>
      <c r="C260" s="5">
        <v>7.0601851851851848E-6</v>
      </c>
      <c r="D260">
        <v>18</v>
      </c>
      <c r="E260">
        <v>6</v>
      </c>
      <c r="F260">
        <v>6</v>
      </c>
      <c r="G260" s="5">
        <v>3.1249999999999997E-6</v>
      </c>
      <c r="H260" s="5">
        <v>6.944791666666666E-3</v>
      </c>
      <c r="I260" s="5">
        <v>6.4849537037037037E-3</v>
      </c>
      <c r="J260" s="5">
        <v>3.1249999999999997E-6</v>
      </c>
      <c r="P260" s="1"/>
    </row>
    <row r="261" spans="1:16" x14ac:dyDescent="0.25">
      <c r="A261">
        <f ca="1">IF(_157721372917[[#This Row],[instance]]&lt;OFFSET(_157721372917[[#This Row],[instance]],-1,0), OFFSET(_157721372917[[#This Row],[model]],-1,0)+1, OFFSET(_157721372917[[#This Row],[model]],-1,0))</f>
        <v>2</v>
      </c>
      <c r="B261">
        <v>14</v>
      </c>
      <c r="C261" s="5">
        <v>8.4490740740740738E-6</v>
      </c>
      <c r="D261">
        <v>21</v>
      </c>
      <c r="E261">
        <v>7</v>
      </c>
      <c r="F261">
        <v>7</v>
      </c>
      <c r="G261" s="5">
        <v>3.1249999999999997E-6</v>
      </c>
      <c r="H261" s="5">
        <v>6.944791666666666E-3</v>
      </c>
      <c r="I261" s="5">
        <v>6.4849537037037037E-3</v>
      </c>
      <c r="J261" s="5">
        <v>3.1249999999999997E-6</v>
      </c>
      <c r="P261" s="1"/>
    </row>
    <row r="262" spans="1:16" x14ac:dyDescent="0.25">
      <c r="A262">
        <f ca="1">IF(_157721372917[[#This Row],[instance]]&lt;OFFSET(_157721372917[[#This Row],[instance]],-1,0), OFFSET(_157721372917[[#This Row],[model]],-1,0)+1, OFFSET(_157721372917[[#This Row],[model]],-1,0))</f>
        <v>2</v>
      </c>
      <c r="B262">
        <v>14</v>
      </c>
      <c r="C262" s="5">
        <v>1.0300925925925926E-5</v>
      </c>
      <c r="D262">
        <v>24</v>
      </c>
      <c r="E262">
        <v>8</v>
      </c>
      <c r="F262">
        <v>8</v>
      </c>
      <c r="G262" s="5">
        <v>3.1249999999999997E-6</v>
      </c>
      <c r="H262" s="5">
        <v>6.944791666666666E-3</v>
      </c>
      <c r="I262" s="5">
        <v>6.4849537037037037E-3</v>
      </c>
      <c r="J262" s="5">
        <v>3.1249999999999997E-6</v>
      </c>
      <c r="P262" s="1"/>
    </row>
    <row r="263" spans="1:16" x14ac:dyDescent="0.25">
      <c r="A263">
        <f ca="1">IF(_157721372917[[#This Row],[instance]]&lt;OFFSET(_157721372917[[#This Row],[instance]],-1,0), OFFSET(_157721372917[[#This Row],[model]],-1,0)+1, OFFSET(_157721372917[[#This Row],[model]],-1,0))</f>
        <v>2</v>
      </c>
      <c r="B263">
        <v>14</v>
      </c>
      <c r="C263" s="5">
        <v>1.0300925925925926E-5</v>
      </c>
      <c r="D263">
        <v>27</v>
      </c>
      <c r="E263">
        <v>9</v>
      </c>
      <c r="F263">
        <v>9</v>
      </c>
      <c r="G263" s="5">
        <v>3.1249999999999997E-6</v>
      </c>
      <c r="H263" s="5">
        <v>6.944791666666666E-3</v>
      </c>
      <c r="I263" s="5">
        <v>6.4849537037037037E-3</v>
      </c>
      <c r="J263" s="5">
        <v>3.1249999999999997E-6</v>
      </c>
      <c r="P263" s="1"/>
    </row>
    <row r="264" spans="1:16" x14ac:dyDescent="0.25">
      <c r="A264">
        <f ca="1">IF(_157721372917[[#This Row],[instance]]&lt;OFFSET(_157721372917[[#This Row],[instance]],-1,0), OFFSET(_157721372917[[#This Row],[model]],-1,0)+1, OFFSET(_157721372917[[#This Row],[model]],-1,0))</f>
        <v>2</v>
      </c>
      <c r="B264">
        <v>14</v>
      </c>
      <c r="C264" s="5">
        <v>1.0300925925925926E-5</v>
      </c>
      <c r="D264">
        <v>28.5</v>
      </c>
      <c r="E264">
        <v>10</v>
      </c>
      <c r="F264">
        <v>10</v>
      </c>
      <c r="G264" s="5">
        <v>3.1249999999999997E-6</v>
      </c>
      <c r="H264" s="5">
        <v>6.944791666666666E-3</v>
      </c>
      <c r="I264" s="5">
        <v>6.4849537037037037E-3</v>
      </c>
      <c r="J264" s="5">
        <v>3.1249999999999997E-6</v>
      </c>
      <c r="P264" s="1"/>
    </row>
    <row r="265" spans="1:16" x14ac:dyDescent="0.25">
      <c r="A265">
        <f ca="1">IF(_157721372917[[#This Row],[instance]]&lt;OFFSET(_157721372917[[#This Row],[instance]],-1,0), OFFSET(_157721372917[[#This Row],[model]],-1,0)+1, OFFSET(_157721372917[[#This Row],[model]],-1,0))</f>
        <v>2</v>
      </c>
      <c r="B265">
        <v>15</v>
      </c>
      <c r="C265" s="5">
        <v>6.828703703703703E-6</v>
      </c>
      <c r="D265">
        <v>0</v>
      </c>
      <c r="E265">
        <v>0</v>
      </c>
      <c r="F265">
        <v>0</v>
      </c>
      <c r="G265" s="5">
        <v>3.1249999999999997E-6</v>
      </c>
      <c r="H265" s="5">
        <v>6.944791666666666E-3</v>
      </c>
      <c r="I265" s="5">
        <v>6.4849537037037037E-3</v>
      </c>
      <c r="J265" s="5">
        <v>3.1249999999999997E-6</v>
      </c>
      <c r="P265" s="1"/>
    </row>
    <row r="266" spans="1:16" x14ac:dyDescent="0.25">
      <c r="A266">
        <f ca="1">IF(_157721372917[[#This Row],[instance]]&lt;OFFSET(_157721372917[[#This Row],[instance]],-1,0), OFFSET(_157721372917[[#This Row],[model]],-1,0)+1, OFFSET(_157721372917[[#This Row],[model]],-1,0))</f>
        <v>2</v>
      </c>
      <c r="B266">
        <v>15</v>
      </c>
      <c r="C266" s="5">
        <v>6.828703703703703E-6</v>
      </c>
      <c r="D266">
        <v>3</v>
      </c>
      <c r="E266">
        <v>1</v>
      </c>
      <c r="F266">
        <v>1</v>
      </c>
      <c r="G266" s="5">
        <v>3.1249999999999997E-6</v>
      </c>
      <c r="H266" s="5">
        <v>6.944791666666666E-3</v>
      </c>
      <c r="I266" s="5">
        <v>6.4849537037037037E-3</v>
      </c>
      <c r="J266" s="5">
        <v>3.1249999999999997E-6</v>
      </c>
      <c r="P266" s="1"/>
    </row>
    <row r="267" spans="1:16" x14ac:dyDescent="0.25">
      <c r="A267">
        <f ca="1">IF(_157721372917[[#This Row],[instance]]&lt;OFFSET(_157721372917[[#This Row],[instance]],-1,0), OFFSET(_157721372917[[#This Row],[model]],-1,0)+1, OFFSET(_157721372917[[#This Row],[model]],-1,0))</f>
        <v>2</v>
      </c>
      <c r="B267">
        <v>15</v>
      </c>
      <c r="C267" s="5">
        <v>6.828703703703703E-6</v>
      </c>
      <c r="D267">
        <v>6</v>
      </c>
      <c r="E267">
        <v>2</v>
      </c>
      <c r="F267">
        <v>2</v>
      </c>
      <c r="G267" s="5">
        <v>3.1249999999999997E-6</v>
      </c>
      <c r="H267" s="5">
        <v>6.944791666666666E-3</v>
      </c>
      <c r="I267" s="5">
        <v>6.4849537037037037E-3</v>
      </c>
      <c r="J267" s="5">
        <v>3.1249999999999997E-6</v>
      </c>
      <c r="P267" s="1"/>
    </row>
    <row r="268" spans="1:16" x14ac:dyDescent="0.25">
      <c r="A268">
        <f ca="1">IF(_157721372917[[#This Row],[instance]]&lt;OFFSET(_157721372917[[#This Row],[instance]],-1,0), OFFSET(_157721372917[[#This Row],[model]],-1,0)+1, OFFSET(_157721372917[[#This Row],[model]],-1,0))</f>
        <v>2</v>
      </c>
      <c r="B268">
        <v>15</v>
      </c>
      <c r="C268" s="5">
        <v>6.828703703703703E-6</v>
      </c>
      <c r="D268">
        <v>9</v>
      </c>
      <c r="E268">
        <v>3</v>
      </c>
      <c r="F268">
        <v>3</v>
      </c>
      <c r="G268" s="5">
        <v>3.1249999999999997E-6</v>
      </c>
      <c r="H268" s="5">
        <v>6.944791666666666E-3</v>
      </c>
      <c r="I268" s="5">
        <v>6.4849537037037037E-3</v>
      </c>
      <c r="J268" s="5">
        <v>3.1249999999999997E-6</v>
      </c>
      <c r="P268" s="1"/>
    </row>
    <row r="269" spans="1:16" x14ac:dyDescent="0.25">
      <c r="A269">
        <f ca="1">IF(_157721372917[[#This Row],[instance]]&lt;OFFSET(_157721372917[[#This Row],[instance]],-1,0), OFFSET(_157721372917[[#This Row],[model]],-1,0)+1, OFFSET(_157721372917[[#This Row],[model]],-1,0))</f>
        <v>2</v>
      </c>
      <c r="B269">
        <v>15</v>
      </c>
      <c r="C269" s="5">
        <v>6.9444444444444439E-6</v>
      </c>
      <c r="D269">
        <v>12</v>
      </c>
      <c r="E269">
        <v>4</v>
      </c>
      <c r="F269">
        <v>4</v>
      </c>
      <c r="G269" s="5">
        <v>3.1249999999999997E-6</v>
      </c>
      <c r="H269" s="5">
        <v>6.944791666666666E-3</v>
      </c>
      <c r="I269" s="5">
        <v>6.4849537037037037E-3</v>
      </c>
      <c r="J269" s="5">
        <v>3.1249999999999997E-6</v>
      </c>
      <c r="P269" s="1"/>
    </row>
    <row r="270" spans="1:16" x14ac:dyDescent="0.25">
      <c r="A270">
        <f ca="1">IF(_157721372917[[#This Row],[instance]]&lt;OFFSET(_157721372917[[#This Row],[instance]],-1,0), OFFSET(_157721372917[[#This Row],[model]],-1,0)+1, OFFSET(_157721372917[[#This Row],[model]],-1,0))</f>
        <v>2</v>
      </c>
      <c r="B270">
        <v>15</v>
      </c>
      <c r="C270" s="5">
        <v>6.9444444444444439E-6</v>
      </c>
      <c r="D270">
        <v>15</v>
      </c>
      <c r="E270">
        <v>5</v>
      </c>
      <c r="F270">
        <v>5</v>
      </c>
      <c r="G270" s="5">
        <v>3.1249999999999997E-6</v>
      </c>
      <c r="H270" s="5">
        <v>6.944791666666666E-3</v>
      </c>
      <c r="I270" s="5">
        <v>6.4849537037037037E-3</v>
      </c>
      <c r="J270" s="5">
        <v>3.1249999999999997E-6</v>
      </c>
      <c r="P270" s="1"/>
    </row>
    <row r="271" spans="1:16" x14ac:dyDescent="0.25">
      <c r="A271">
        <f ca="1">IF(_157721372917[[#This Row],[instance]]&lt;OFFSET(_157721372917[[#This Row],[instance]],-1,0), OFFSET(_157721372917[[#This Row],[model]],-1,0)+1, OFFSET(_157721372917[[#This Row],[model]],-1,0))</f>
        <v>2</v>
      </c>
      <c r="B271">
        <v>15</v>
      </c>
      <c r="C271" s="5">
        <v>7.0601851851851848E-6</v>
      </c>
      <c r="D271">
        <v>16.5</v>
      </c>
      <c r="E271">
        <v>6</v>
      </c>
      <c r="F271">
        <v>6</v>
      </c>
      <c r="G271" s="5">
        <v>3.1249999999999997E-6</v>
      </c>
      <c r="H271" s="5">
        <v>6.944791666666666E-3</v>
      </c>
      <c r="I271" s="5">
        <v>6.4849537037037037E-3</v>
      </c>
      <c r="J271" s="5">
        <v>3.1249999999999997E-6</v>
      </c>
      <c r="P271" s="1"/>
    </row>
    <row r="272" spans="1:16" x14ac:dyDescent="0.25">
      <c r="A272">
        <f ca="1">IF(_157721372917[[#This Row],[instance]]&lt;OFFSET(_157721372917[[#This Row],[instance]],-1,0), OFFSET(_157721372917[[#This Row],[model]],-1,0)+1, OFFSET(_157721372917[[#This Row],[model]],-1,0))</f>
        <v>2</v>
      </c>
      <c r="B272">
        <v>15</v>
      </c>
      <c r="C272" s="5">
        <v>1.4479166666666666E-4</v>
      </c>
      <c r="D272">
        <v>18</v>
      </c>
      <c r="E272">
        <v>7</v>
      </c>
      <c r="F272">
        <v>6</v>
      </c>
      <c r="G272" s="5">
        <v>3.1249999999999997E-6</v>
      </c>
      <c r="H272" s="5">
        <v>6.944791666666666E-3</v>
      </c>
      <c r="I272" s="5">
        <v>6.4849537037037037E-3</v>
      </c>
      <c r="J272" s="5">
        <v>3.1249999999999997E-6</v>
      </c>
      <c r="P272" s="1"/>
    </row>
    <row r="273" spans="1:16" x14ac:dyDescent="0.25">
      <c r="A273">
        <f ca="1">IF(_157721372917[[#This Row],[instance]]&lt;OFFSET(_157721372917[[#This Row],[instance]],-1,0), OFFSET(_157721372917[[#This Row],[model]],-1,0)+1, OFFSET(_157721372917[[#This Row],[model]],-1,0))</f>
        <v>2</v>
      </c>
      <c r="B273">
        <v>15</v>
      </c>
      <c r="C273" s="5">
        <v>1.4479166666666666E-4</v>
      </c>
      <c r="D273">
        <v>19</v>
      </c>
      <c r="E273">
        <v>8</v>
      </c>
      <c r="F273">
        <v>6</v>
      </c>
      <c r="G273" s="5">
        <v>3.1249999999999997E-6</v>
      </c>
      <c r="H273" s="5">
        <v>6.944791666666666E-3</v>
      </c>
      <c r="I273" s="5">
        <v>6.4849537037037037E-3</v>
      </c>
      <c r="J273" s="5">
        <v>3.1249999999999997E-6</v>
      </c>
      <c r="P273" s="1"/>
    </row>
    <row r="274" spans="1:16" x14ac:dyDescent="0.25">
      <c r="A274">
        <f ca="1">IF(_157721372917[[#This Row],[instance]]&lt;OFFSET(_157721372917[[#This Row],[instance]],-1,0), OFFSET(_157721372917[[#This Row],[model]],-1,0)+1, OFFSET(_157721372917[[#This Row],[model]],-1,0))</f>
        <v>2</v>
      </c>
      <c r="B274">
        <v>15</v>
      </c>
      <c r="C274" s="5">
        <v>6.7129629629629625E-4</v>
      </c>
      <c r="D274">
        <v>20</v>
      </c>
      <c r="E274">
        <v>9</v>
      </c>
      <c r="F274">
        <v>6</v>
      </c>
      <c r="G274" s="5">
        <v>3.1249999999999997E-6</v>
      </c>
      <c r="H274" s="5">
        <v>6.944791666666666E-3</v>
      </c>
      <c r="I274" s="5">
        <v>6.4849537037037037E-3</v>
      </c>
      <c r="J274" s="5">
        <v>3.1249999999999997E-6</v>
      </c>
      <c r="P274" s="1"/>
    </row>
    <row r="275" spans="1:16" x14ac:dyDescent="0.25">
      <c r="A275">
        <f ca="1">IF(_157721372917[[#This Row],[instance]]&lt;OFFSET(_157721372917[[#This Row],[instance]],-1,0), OFFSET(_157721372917[[#This Row],[model]],-1,0)+1, OFFSET(_157721372917[[#This Row],[model]],-1,0))</f>
        <v>2</v>
      </c>
      <c r="B275">
        <v>15</v>
      </c>
      <c r="C275" s="5">
        <v>4.5415509259259254E-3</v>
      </c>
      <c r="D275">
        <v>20.375</v>
      </c>
      <c r="E275">
        <v>10</v>
      </c>
      <c r="F275">
        <v>7</v>
      </c>
      <c r="G275" s="5">
        <v>3.1249999999999997E-6</v>
      </c>
      <c r="H275" s="5">
        <v>6.944791666666666E-3</v>
      </c>
      <c r="I275" s="5">
        <v>6.4849537037037037E-3</v>
      </c>
      <c r="J275" s="5">
        <v>3.1249999999999997E-6</v>
      </c>
      <c r="P275" s="1"/>
    </row>
    <row r="276" spans="1:16" x14ac:dyDescent="0.25">
      <c r="A276">
        <f ca="1">IF(_157721372917[[#This Row],[instance]]&lt;OFFSET(_157721372917[[#This Row],[instance]],-1,0), OFFSET(_157721372917[[#This Row],[model]],-1,0)+1, OFFSET(_157721372917[[#This Row],[model]],-1,0))</f>
        <v>2</v>
      </c>
      <c r="B276">
        <v>15</v>
      </c>
      <c r="C276" s="5">
        <v>4.5503472222222221E-3</v>
      </c>
      <c r="D276">
        <v>20.75</v>
      </c>
      <c r="E276">
        <v>11</v>
      </c>
      <c r="F276">
        <v>7</v>
      </c>
      <c r="G276" s="5">
        <v>3.1249999999999997E-6</v>
      </c>
      <c r="H276" s="5">
        <v>6.944791666666666E-3</v>
      </c>
      <c r="I276" s="5">
        <v>6.4849537037037037E-3</v>
      </c>
      <c r="J276" s="5">
        <v>3.1249999999999997E-6</v>
      </c>
      <c r="P276" s="1"/>
    </row>
    <row r="277" spans="1:16" x14ac:dyDescent="0.25">
      <c r="A277">
        <f ca="1">IF(_157721372917[[#This Row],[instance]]&lt;OFFSET(_157721372917[[#This Row],[instance]],-1,0), OFFSET(_157721372917[[#This Row],[model]],-1,0)+1, OFFSET(_157721372917[[#This Row],[model]],-1,0))</f>
        <v>2</v>
      </c>
      <c r="B277">
        <v>15</v>
      </c>
      <c r="C277" s="5">
        <v>4.7688657407407402E-3</v>
      </c>
      <c r="D277">
        <v>21</v>
      </c>
      <c r="E277">
        <v>10</v>
      </c>
      <c r="F277">
        <v>7</v>
      </c>
      <c r="G277" s="5">
        <v>3.1249999999999997E-6</v>
      </c>
      <c r="H277" s="5">
        <v>6.944791666666666E-3</v>
      </c>
      <c r="I277" s="5">
        <v>6.4849537037037037E-3</v>
      </c>
      <c r="J277" s="5">
        <v>3.1249999999999997E-6</v>
      </c>
      <c r="P277" s="1"/>
    </row>
    <row r="278" spans="1:16" x14ac:dyDescent="0.25">
      <c r="A278">
        <f ca="1">IF(_157721372917[[#This Row],[instance]]&lt;OFFSET(_157721372917[[#This Row],[instance]],-1,0), OFFSET(_157721372917[[#This Row],[model]],-1,0)+1, OFFSET(_157721372917[[#This Row],[model]],-1,0))</f>
        <v>2</v>
      </c>
      <c r="B278">
        <v>15</v>
      </c>
      <c r="C278" s="5">
        <v>4.8978009259259261E-3</v>
      </c>
      <c r="D278">
        <v>21.375</v>
      </c>
      <c r="E278">
        <v>11</v>
      </c>
      <c r="F278">
        <v>7</v>
      </c>
      <c r="G278" s="5">
        <v>3.1249999999999997E-6</v>
      </c>
      <c r="H278" s="5">
        <v>6.944791666666666E-3</v>
      </c>
      <c r="I278" s="5">
        <v>6.4849537037037037E-3</v>
      </c>
      <c r="J278" s="5">
        <v>3.1249999999999997E-6</v>
      </c>
      <c r="P278" s="1"/>
    </row>
    <row r="279" spans="1:16" x14ac:dyDescent="0.25">
      <c r="A279">
        <f ca="1">IF(_157721372917[[#This Row],[instance]]&lt;OFFSET(_157721372917[[#This Row],[instance]],-1,0), OFFSET(_157721372917[[#This Row],[model]],-1,0)+1, OFFSET(_157721372917[[#This Row],[model]],-1,0))</f>
        <v>2</v>
      </c>
      <c r="B279">
        <v>15</v>
      </c>
      <c r="C279" s="5">
        <v>4.8979166666666667E-3</v>
      </c>
      <c r="D279">
        <v>21.75</v>
      </c>
      <c r="E279">
        <v>12</v>
      </c>
      <c r="F279">
        <v>7</v>
      </c>
      <c r="G279" s="5">
        <v>3.1249999999999997E-6</v>
      </c>
      <c r="H279" s="5">
        <v>6.944791666666666E-3</v>
      </c>
      <c r="I279" s="5">
        <v>6.4849537037037037E-3</v>
      </c>
      <c r="J279" s="5">
        <v>3.1249999999999997E-6</v>
      </c>
      <c r="P279" s="1"/>
    </row>
    <row r="280" spans="1:16" x14ac:dyDescent="0.25">
      <c r="A280">
        <f ca="1">IF(_157721372917[[#This Row],[instance]]&lt;OFFSET(_157721372917[[#This Row],[instance]],-1,0), OFFSET(_157721372917[[#This Row],[model]],-1,0)+1, OFFSET(_157721372917[[#This Row],[model]],-1,0))</f>
        <v>2</v>
      </c>
      <c r="B280">
        <v>15</v>
      </c>
      <c r="C280" s="5">
        <v>5.1468749999999995E-3</v>
      </c>
      <c r="D280">
        <v>22</v>
      </c>
      <c r="E280">
        <v>11</v>
      </c>
      <c r="F280">
        <v>7</v>
      </c>
      <c r="G280" s="5">
        <v>3.1249999999999997E-6</v>
      </c>
      <c r="H280" s="5">
        <v>6.944791666666666E-3</v>
      </c>
      <c r="I280" s="5">
        <v>6.4849537037037037E-3</v>
      </c>
      <c r="J280" s="5">
        <v>3.1249999999999997E-6</v>
      </c>
      <c r="P280" s="1"/>
    </row>
    <row r="281" spans="1:16" x14ac:dyDescent="0.25">
      <c r="A281">
        <f ca="1">IF(_157721372917[[#This Row],[instance]]&lt;OFFSET(_157721372917[[#This Row],[instance]],-1,0), OFFSET(_157721372917[[#This Row],[model]],-1,0)+1, OFFSET(_157721372917[[#This Row],[model]],-1,0))</f>
        <v>2</v>
      </c>
      <c r="B281">
        <v>15</v>
      </c>
      <c r="C281" s="5">
        <v>5.2052083333333334E-3</v>
      </c>
      <c r="D281">
        <v>22.375</v>
      </c>
      <c r="E281">
        <v>12</v>
      </c>
      <c r="F281">
        <v>7</v>
      </c>
      <c r="G281" s="5">
        <v>3.1249999999999997E-6</v>
      </c>
      <c r="H281" s="5">
        <v>6.944791666666666E-3</v>
      </c>
      <c r="I281" s="5">
        <v>6.4849537037037037E-3</v>
      </c>
      <c r="J281" s="5">
        <v>3.1249999999999997E-6</v>
      </c>
    </row>
    <row r="282" spans="1:16" x14ac:dyDescent="0.25">
      <c r="A282">
        <f ca="1">IF(_157721372917[[#This Row],[instance]]&lt;OFFSET(_157721372917[[#This Row],[instance]],-1,0), OFFSET(_157721372917[[#This Row],[model]],-1,0)+1, OFFSET(_157721372917[[#This Row],[model]],-1,0))</f>
        <v>2</v>
      </c>
      <c r="B282">
        <v>15</v>
      </c>
      <c r="C282" s="5">
        <v>5.2052083333333334E-3</v>
      </c>
      <c r="D282">
        <v>22.75</v>
      </c>
      <c r="E282">
        <v>13</v>
      </c>
      <c r="F282">
        <v>10</v>
      </c>
      <c r="G282" s="5">
        <v>3.1249999999999997E-6</v>
      </c>
      <c r="H282" s="5">
        <v>6.944791666666666E-3</v>
      </c>
      <c r="I282" s="5">
        <v>6.4849537037037037E-3</v>
      </c>
      <c r="J282" s="5">
        <v>3.1249999999999997E-6</v>
      </c>
    </row>
    <row r="283" spans="1:16" x14ac:dyDescent="0.25">
      <c r="A283">
        <f ca="1">IF(_157721372917[[#This Row],[instance]]&lt;OFFSET(_157721372917[[#This Row],[instance]],-1,0), OFFSET(_157721372917[[#This Row],[model]],-1,0)+1, OFFSET(_157721372917[[#This Row],[model]],-1,0))</f>
        <v>2</v>
      </c>
      <c r="B283">
        <v>15</v>
      </c>
      <c r="C283" s="5">
        <v>5.2118055555555555E-3</v>
      </c>
      <c r="D283">
        <v>23.125</v>
      </c>
      <c r="E283">
        <v>14</v>
      </c>
      <c r="F283">
        <v>7</v>
      </c>
      <c r="G283" s="5">
        <v>3.1249999999999997E-6</v>
      </c>
      <c r="H283" s="5">
        <v>6.944791666666666E-3</v>
      </c>
      <c r="I283" s="5">
        <v>6.4849537037037037E-3</v>
      </c>
      <c r="J283" s="5">
        <v>3.1249999999999997E-6</v>
      </c>
    </row>
    <row r="284" spans="1:16" x14ac:dyDescent="0.25">
      <c r="A284">
        <f ca="1">IF(_157721372917[[#This Row],[instance]]&lt;OFFSET(_157721372917[[#This Row],[instance]],-1,0), OFFSET(_157721372917[[#This Row],[model]],-1,0)+1, OFFSET(_157721372917[[#This Row],[model]],-1,0))</f>
        <v>3</v>
      </c>
      <c r="B284">
        <v>1</v>
      </c>
      <c r="C284" s="5">
        <v>6.3657407407407403E-6</v>
      </c>
      <c r="D284">
        <v>0</v>
      </c>
      <c r="E284">
        <v>0</v>
      </c>
      <c r="F284">
        <v>0</v>
      </c>
      <c r="G284" s="5">
        <v>2.7777777777777775E-6</v>
      </c>
      <c r="H284" s="5">
        <v>6.944791666666666E-3</v>
      </c>
      <c r="I284" s="5">
        <v>6.9446759259259253E-3</v>
      </c>
      <c r="J284" s="5">
        <v>2.7777777777777775E-6</v>
      </c>
    </row>
    <row r="285" spans="1:16" x14ac:dyDescent="0.25">
      <c r="A285">
        <f ca="1">IF(_157721372917[[#This Row],[instance]]&lt;OFFSET(_157721372917[[#This Row],[instance]],-1,0), OFFSET(_157721372917[[#This Row],[model]],-1,0)+1, OFFSET(_157721372917[[#This Row],[model]],-1,0))</f>
        <v>3</v>
      </c>
      <c r="B285">
        <v>1</v>
      </c>
      <c r="C285" s="5">
        <v>6.3657407407407403E-6</v>
      </c>
      <c r="D285">
        <v>3</v>
      </c>
      <c r="E285">
        <v>1</v>
      </c>
      <c r="F285">
        <v>1</v>
      </c>
      <c r="G285" s="5">
        <v>2.7777777777777775E-6</v>
      </c>
      <c r="H285" s="5">
        <v>6.944791666666666E-3</v>
      </c>
      <c r="I285" s="5">
        <v>6.9446759259259253E-3</v>
      </c>
      <c r="J285" s="5">
        <v>2.7777777777777775E-6</v>
      </c>
    </row>
    <row r="286" spans="1:16" x14ac:dyDescent="0.25">
      <c r="A286">
        <f ca="1">IF(_157721372917[[#This Row],[instance]]&lt;OFFSET(_157721372917[[#This Row],[instance]],-1,0), OFFSET(_157721372917[[#This Row],[model]],-1,0)+1, OFFSET(_157721372917[[#This Row],[model]],-1,0))</f>
        <v>3</v>
      </c>
      <c r="B286">
        <v>2</v>
      </c>
      <c r="C286" s="5">
        <v>6.2499999999999995E-6</v>
      </c>
      <c r="D286">
        <v>0</v>
      </c>
      <c r="E286">
        <v>0</v>
      </c>
      <c r="F286">
        <v>0</v>
      </c>
      <c r="G286" s="5">
        <v>2.7777777777777775E-6</v>
      </c>
      <c r="H286" s="5">
        <v>6.944791666666666E-3</v>
      </c>
      <c r="I286" s="5">
        <v>6.9446759259259253E-3</v>
      </c>
      <c r="J286" s="5">
        <v>2.7777777777777775E-6</v>
      </c>
    </row>
    <row r="287" spans="1:16" x14ac:dyDescent="0.25">
      <c r="A287">
        <f ca="1">IF(_157721372917[[#This Row],[instance]]&lt;OFFSET(_157721372917[[#This Row],[instance]],-1,0), OFFSET(_157721372917[[#This Row],[model]],-1,0)+1, OFFSET(_157721372917[[#This Row],[model]],-1,0))</f>
        <v>3</v>
      </c>
      <c r="B287">
        <v>2</v>
      </c>
      <c r="C287" s="5">
        <v>6.3657407407407403E-6</v>
      </c>
      <c r="D287">
        <v>3</v>
      </c>
      <c r="E287">
        <v>1</v>
      </c>
      <c r="F287">
        <v>1</v>
      </c>
      <c r="G287" s="5">
        <v>2.7777777777777775E-6</v>
      </c>
      <c r="H287" s="5">
        <v>6.944791666666666E-3</v>
      </c>
      <c r="I287" s="5">
        <v>6.9446759259259253E-3</v>
      </c>
      <c r="J287" s="5">
        <v>2.7777777777777775E-6</v>
      </c>
    </row>
    <row r="288" spans="1:16" x14ac:dyDescent="0.25">
      <c r="A288">
        <f ca="1">IF(_157721372917[[#This Row],[instance]]&lt;OFFSET(_157721372917[[#This Row],[instance]],-1,0), OFFSET(_157721372917[[#This Row],[model]],-1,0)+1, OFFSET(_157721372917[[#This Row],[model]],-1,0))</f>
        <v>3</v>
      </c>
      <c r="B288">
        <v>3</v>
      </c>
      <c r="C288" s="5">
        <v>6.3657407407407403E-6</v>
      </c>
      <c r="D288">
        <v>0</v>
      </c>
      <c r="E288">
        <v>0</v>
      </c>
      <c r="F288">
        <v>0</v>
      </c>
      <c r="G288" s="5">
        <v>2.7777777777777775E-6</v>
      </c>
      <c r="H288" s="5">
        <v>6.9446759259259253E-3</v>
      </c>
      <c r="I288" s="5">
        <v>6.9446759259259253E-3</v>
      </c>
      <c r="J288" s="5">
        <v>2.7777777777777775E-6</v>
      </c>
    </row>
    <row r="289" spans="1:10" x14ac:dyDescent="0.25">
      <c r="A289">
        <f ca="1">IF(_157721372917[[#This Row],[instance]]&lt;OFFSET(_157721372917[[#This Row],[instance]],-1,0), OFFSET(_157721372917[[#This Row],[model]],-1,0)+1, OFFSET(_157721372917[[#This Row],[model]],-1,0))</f>
        <v>3</v>
      </c>
      <c r="B289">
        <v>4</v>
      </c>
      <c r="C289" s="5">
        <v>6.3657407407407403E-6</v>
      </c>
      <c r="D289">
        <v>0</v>
      </c>
      <c r="E289">
        <v>0</v>
      </c>
      <c r="F289">
        <v>0</v>
      </c>
      <c r="G289" s="5">
        <v>2.7777777777777775E-6</v>
      </c>
      <c r="H289" s="5">
        <v>6.9446759259259253E-3</v>
      </c>
      <c r="I289" s="5">
        <v>6.9446759259259253E-3</v>
      </c>
      <c r="J289" s="5">
        <v>2.7777777777777775E-6</v>
      </c>
    </row>
    <row r="290" spans="1:10" x14ac:dyDescent="0.25">
      <c r="A290">
        <f ca="1">IF(_157721372917[[#This Row],[instance]]&lt;OFFSET(_157721372917[[#This Row],[instance]],-1,0), OFFSET(_157721372917[[#This Row],[model]],-1,0)+1, OFFSET(_157721372917[[#This Row],[model]],-1,0))</f>
        <v>3</v>
      </c>
      <c r="B290">
        <v>5</v>
      </c>
      <c r="C290" s="5">
        <v>6.3657407407407403E-6</v>
      </c>
      <c r="D290">
        <v>0</v>
      </c>
      <c r="E290">
        <v>0</v>
      </c>
      <c r="F290">
        <v>0</v>
      </c>
      <c r="G290" s="5">
        <v>2.7777777777777775E-6</v>
      </c>
      <c r="H290" s="5">
        <v>6.9446759259259253E-3</v>
      </c>
      <c r="I290" s="5">
        <v>6.9446759259259253E-3</v>
      </c>
      <c r="J290" s="5">
        <v>2.7777777777777775E-6</v>
      </c>
    </row>
    <row r="291" spans="1:10" x14ac:dyDescent="0.25">
      <c r="A291">
        <f ca="1">IF(_157721372917[[#This Row],[instance]]&lt;OFFSET(_157721372917[[#This Row],[instance]],-1,0), OFFSET(_157721372917[[#This Row],[model]],-1,0)+1, OFFSET(_157721372917[[#This Row],[model]],-1,0))</f>
        <v>3</v>
      </c>
      <c r="B291">
        <v>5</v>
      </c>
      <c r="C291" s="5">
        <v>6.3657407407407403E-6</v>
      </c>
      <c r="D291">
        <v>5.875</v>
      </c>
      <c r="E291">
        <v>9</v>
      </c>
      <c r="F291">
        <v>1</v>
      </c>
      <c r="G291" s="5">
        <v>2.7777777777777775E-6</v>
      </c>
      <c r="H291" s="5">
        <v>6.9446759259259253E-3</v>
      </c>
      <c r="I291" s="5">
        <v>6.9446759259259253E-3</v>
      </c>
      <c r="J291" s="5">
        <v>2.7777777777777775E-6</v>
      </c>
    </row>
    <row r="292" spans="1:10" x14ac:dyDescent="0.25">
      <c r="A292">
        <f ca="1">IF(_157721372917[[#This Row],[instance]]&lt;OFFSET(_157721372917[[#This Row],[instance]],-1,0), OFFSET(_157721372917[[#This Row],[model]],-1,0)+1, OFFSET(_157721372917[[#This Row],[model]],-1,0))</f>
        <v>3</v>
      </c>
      <c r="B292">
        <v>6</v>
      </c>
      <c r="C292" s="5">
        <v>6.2499999999999995E-6</v>
      </c>
      <c r="D292">
        <v>0</v>
      </c>
      <c r="E292">
        <v>0</v>
      </c>
      <c r="F292">
        <v>0</v>
      </c>
      <c r="G292" s="5">
        <v>2.7777777777777775E-6</v>
      </c>
      <c r="H292" s="5">
        <v>6.944791666666666E-3</v>
      </c>
      <c r="I292" s="5">
        <v>6.9446759259259253E-3</v>
      </c>
      <c r="J292" s="5">
        <v>2.7777777777777775E-6</v>
      </c>
    </row>
    <row r="293" spans="1:10" x14ac:dyDescent="0.25">
      <c r="A293">
        <f ca="1">IF(_157721372917[[#This Row],[instance]]&lt;OFFSET(_157721372917[[#This Row],[instance]],-1,0), OFFSET(_157721372917[[#This Row],[model]],-1,0)+1, OFFSET(_157721372917[[#This Row],[model]],-1,0))</f>
        <v>3</v>
      </c>
      <c r="B293">
        <v>6</v>
      </c>
      <c r="C293" s="5">
        <v>6.2499999999999995E-6</v>
      </c>
      <c r="D293">
        <v>3</v>
      </c>
      <c r="E293">
        <v>1</v>
      </c>
      <c r="F293">
        <v>1</v>
      </c>
      <c r="G293" s="5">
        <v>2.7777777777777775E-6</v>
      </c>
      <c r="H293" s="5">
        <v>6.944791666666666E-3</v>
      </c>
      <c r="I293" s="5">
        <v>6.9446759259259253E-3</v>
      </c>
      <c r="J293" s="5">
        <v>2.7777777777777775E-6</v>
      </c>
    </row>
    <row r="294" spans="1:10" x14ac:dyDescent="0.25">
      <c r="A294">
        <f ca="1">IF(_157721372917[[#This Row],[instance]]&lt;OFFSET(_157721372917[[#This Row],[instance]],-1,0), OFFSET(_157721372917[[#This Row],[model]],-1,0)+1, OFFSET(_157721372917[[#This Row],[model]],-1,0))</f>
        <v>3</v>
      </c>
      <c r="B294">
        <v>7</v>
      </c>
      <c r="C294" s="5">
        <v>6.2499999999999995E-6</v>
      </c>
      <c r="D294">
        <v>0</v>
      </c>
      <c r="E294">
        <v>0</v>
      </c>
      <c r="F294">
        <v>0</v>
      </c>
      <c r="G294" s="5">
        <v>2.7777777777777775E-6</v>
      </c>
      <c r="H294" s="5">
        <v>6.9446759259259253E-3</v>
      </c>
      <c r="I294" s="5">
        <v>6.9446759259259253E-3</v>
      </c>
      <c r="J294" s="5">
        <v>2.7777777777777775E-6</v>
      </c>
    </row>
    <row r="295" spans="1:10" x14ac:dyDescent="0.25">
      <c r="A295">
        <f ca="1">IF(_157721372917[[#This Row],[instance]]&lt;OFFSET(_157721372917[[#This Row],[instance]],-1,0), OFFSET(_157721372917[[#This Row],[model]],-1,0)+1, OFFSET(_157721372917[[#This Row],[model]],-1,0))</f>
        <v>3</v>
      </c>
      <c r="B295">
        <v>7</v>
      </c>
      <c r="C295" s="5">
        <v>6.3657407407407403E-6</v>
      </c>
      <c r="D295">
        <v>3</v>
      </c>
      <c r="E295">
        <v>1</v>
      </c>
      <c r="F295">
        <v>1</v>
      </c>
      <c r="G295" s="5">
        <v>2.7777777777777775E-6</v>
      </c>
      <c r="H295" s="5">
        <v>6.9446759259259253E-3</v>
      </c>
      <c r="I295" s="5">
        <v>6.9446759259259253E-3</v>
      </c>
      <c r="J295" s="5">
        <v>2.7777777777777775E-6</v>
      </c>
    </row>
    <row r="296" spans="1:10" x14ac:dyDescent="0.25">
      <c r="A296">
        <f ca="1">IF(_157721372917[[#This Row],[instance]]&lt;OFFSET(_157721372917[[#This Row],[instance]],-1,0), OFFSET(_157721372917[[#This Row],[model]],-1,0)+1, OFFSET(_157721372917[[#This Row],[model]],-1,0))</f>
        <v>3</v>
      </c>
      <c r="B296">
        <v>7</v>
      </c>
      <c r="C296" s="5">
        <v>1.2847222222222222E-5</v>
      </c>
      <c r="D296">
        <v>4.75</v>
      </c>
      <c r="E296">
        <v>4</v>
      </c>
      <c r="F296">
        <v>1</v>
      </c>
      <c r="G296" s="5">
        <v>2.7777777777777775E-6</v>
      </c>
      <c r="H296" s="5">
        <v>6.9446759259259253E-3</v>
      </c>
      <c r="I296" s="5">
        <v>6.9446759259259253E-3</v>
      </c>
      <c r="J296" s="5">
        <v>2.7777777777777775E-6</v>
      </c>
    </row>
    <row r="297" spans="1:10" x14ac:dyDescent="0.25">
      <c r="A297">
        <f ca="1">IF(_157721372917[[#This Row],[instance]]&lt;OFFSET(_157721372917[[#This Row],[instance]],-1,0), OFFSET(_157721372917[[#This Row],[model]],-1,0)+1, OFFSET(_157721372917[[#This Row],[model]],-1,0))</f>
        <v>3</v>
      </c>
      <c r="B297">
        <v>7</v>
      </c>
      <c r="C297" s="5">
        <v>2.3379629629629627E-5</v>
      </c>
      <c r="D297">
        <v>5</v>
      </c>
      <c r="E297">
        <v>4</v>
      </c>
      <c r="F297">
        <v>1</v>
      </c>
      <c r="G297" s="5">
        <v>2.7777777777777775E-6</v>
      </c>
      <c r="H297" s="5">
        <v>6.9446759259259253E-3</v>
      </c>
      <c r="I297" s="5">
        <v>6.9446759259259253E-3</v>
      </c>
      <c r="J297" s="5">
        <v>2.7777777777777775E-6</v>
      </c>
    </row>
    <row r="298" spans="1:10" x14ac:dyDescent="0.25">
      <c r="A298">
        <f ca="1">IF(_157721372917[[#This Row],[instance]]&lt;OFFSET(_157721372917[[#This Row],[instance]],-1,0), OFFSET(_157721372917[[#This Row],[model]],-1,0)+1, OFFSET(_157721372917[[#This Row],[model]],-1,0))</f>
        <v>3</v>
      </c>
      <c r="B298">
        <v>8</v>
      </c>
      <c r="C298" s="5">
        <v>6.2499999999999995E-6</v>
      </c>
      <c r="D298">
        <v>0</v>
      </c>
      <c r="E298">
        <v>0</v>
      </c>
      <c r="F298">
        <v>0</v>
      </c>
      <c r="G298" s="5">
        <v>2.7777777777777775E-6</v>
      </c>
      <c r="H298" s="5">
        <v>6.9446759259259253E-3</v>
      </c>
      <c r="I298" s="5">
        <v>6.9446759259259253E-3</v>
      </c>
      <c r="J298" s="5">
        <v>2.7777777777777775E-6</v>
      </c>
    </row>
    <row r="299" spans="1:10" x14ac:dyDescent="0.25">
      <c r="A299">
        <f ca="1">IF(_157721372917[[#This Row],[instance]]&lt;OFFSET(_157721372917[[#This Row],[instance]],-1,0), OFFSET(_157721372917[[#This Row],[model]],-1,0)+1, OFFSET(_157721372917[[#This Row],[model]],-1,0))</f>
        <v>3</v>
      </c>
      <c r="B299">
        <v>8</v>
      </c>
      <c r="C299" s="5">
        <v>6.2499999999999995E-6</v>
      </c>
      <c r="D299">
        <v>1.125</v>
      </c>
      <c r="E299">
        <v>3</v>
      </c>
      <c r="F299">
        <v>1</v>
      </c>
      <c r="G299" s="5">
        <v>2.7777777777777775E-6</v>
      </c>
      <c r="H299" s="5">
        <v>6.9446759259259253E-3</v>
      </c>
      <c r="I299" s="5">
        <v>6.9446759259259253E-3</v>
      </c>
      <c r="J299" s="5">
        <v>2.7777777777777775E-6</v>
      </c>
    </row>
    <row r="300" spans="1:10" x14ac:dyDescent="0.25">
      <c r="A300">
        <f ca="1">IF(_157721372917[[#This Row],[instance]]&lt;OFFSET(_157721372917[[#This Row],[instance]],-1,0), OFFSET(_157721372917[[#This Row],[model]],-1,0)+1, OFFSET(_157721372917[[#This Row],[model]],-1,0))</f>
        <v>3</v>
      </c>
      <c r="B300">
        <v>8</v>
      </c>
      <c r="C300" s="5">
        <v>6.3657407407407403E-6</v>
      </c>
      <c r="D300">
        <v>4.5</v>
      </c>
      <c r="E300">
        <v>4</v>
      </c>
      <c r="F300">
        <v>1</v>
      </c>
      <c r="G300" s="5">
        <v>2.7777777777777775E-6</v>
      </c>
      <c r="H300" s="5">
        <v>6.9446759259259253E-3</v>
      </c>
      <c r="I300" s="5">
        <v>6.9446759259259253E-3</v>
      </c>
      <c r="J300" s="5">
        <v>2.7777777777777775E-6</v>
      </c>
    </row>
    <row r="301" spans="1:10" x14ac:dyDescent="0.25">
      <c r="A301">
        <f ca="1">IF(_157721372917[[#This Row],[instance]]&lt;OFFSET(_157721372917[[#This Row],[instance]],-1,0), OFFSET(_157721372917[[#This Row],[model]],-1,0)+1, OFFSET(_157721372917[[#This Row],[model]],-1,0))</f>
        <v>3</v>
      </c>
      <c r="B301">
        <v>9</v>
      </c>
      <c r="C301" s="5">
        <v>6.3657407407407403E-6</v>
      </c>
      <c r="D301">
        <v>0</v>
      </c>
      <c r="E301">
        <v>0</v>
      </c>
      <c r="F301">
        <v>0</v>
      </c>
      <c r="G301" s="5">
        <v>2.7777777777777775E-6</v>
      </c>
      <c r="H301" s="5">
        <v>6.9446759259259253E-3</v>
      </c>
      <c r="I301" s="5">
        <v>6.9446759259259253E-3</v>
      </c>
      <c r="J301" s="5">
        <v>2.7777777777777775E-6</v>
      </c>
    </row>
    <row r="302" spans="1:10" x14ac:dyDescent="0.25">
      <c r="A302">
        <f ca="1">IF(_157721372917[[#This Row],[instance]]&lt;OFFSET(_157721372917[[#This Row],[instance]],-1,0), OFFSET(_157721372917[[#This Row],[model]],-1,0)+1, OFFSET(_157721372917[[#This Row],[model]],-1,0))</f>
        <v>3</v>
      </c>
      <c r="B302">
        <v>9</v>
      </c>
      <c r="C302" s="5">
        <v>1.3888888888888888E-5</v>
      </c>
      <c r="D302">
        <v>10.5</v>
      </c>
      <c r="E302">
        <v>5</v>
      </c>
      <c r="F302">
        <v>1</v>
      </c>
      <c r="G302" s="5">
        <v>2.7777777777777775E-6</v>
      </c>
      <c r="H302" s="5">
        <v>6.9446759259259253E-3</v>
      </c>
      <c r="I302" s="5">
        <v>6.9446759259259253E-3</v>
      </c>
      <c r="J302" s="5">
        <v>2.7777777777777775E-6</v>
      </c>
    </row>
    <row r="303" spans="1:10" x14ac:dyDescent="0.25">
      <c r="A303">
        <f ca="1">IF(_157721372917[[#This Row],[instance]]&lt;OFFSET(_157721372917[[#This Row],[instance]],-1,0), OFFSET(_157721372917[[#This Row],[model]],-1,0)+1, OFFSET(_157721372917[[#This Row],[model]],-1,0))</f>
        <v>3</v>
      </c>
      <c r="B303">
        <v>10</v>
      </c>
      <c r="C303" s="5">
        <v>6.3657407407407403E-6</v>
      </c>
      <c r="D303">
        <v>0</v>
      </c>
      <c r="E303">
        <v>0</v>
      </c>
      <c r="F303">
        <v>0</v>
      </c>
      <c r="G303" s="5">
        <v>2.7777777777777775E-6</v>
      </c>
      <c r="H303" s="5">
        <v>6.9446759259259253E-3</v>
      </c>
      <c r="I303" s="5">
        <v>6.9446759259259253E-3</v>
      </c>
      <c r="J303" s="5">
        <v>2.7777777777777775E-6</v>
      </c>
    </row>
    <row r="304" spans="1:10" x14ac:dyDescent="0.25">
      <c r="A304">
        <f ca="1">IF(_157721372917[[#This Row],[instance]]&lt;OFFSET(_157721372917[[#This Row],[instance]],-1,0), OFFSET(_157721372917[[#This Row],[model]],-1,0)+1, OFFSET(_157721372917[[#This Row],[model]],-1,0))</f>
        <v>3</v>
      </c>
      <c r="B304">
        <v>10</v>
      </c>
      <c r="C304" s="5">
        <v>6.3657407407407403E-6</v>
      </c>
      <c r="D304">
        <v>1.5</v>
      </c>
      <c r="E304">
        <v>4</v>
      </c>
      <c r="F304">
        <v>1</v>
      </c>
      <c r="G304" s="5">
        <v>2.7777777777777775E-6</v>
      </c>
      <c r="H304" s="5">
        <v>6.9446759259259253E-3</v>
      </c>
      <c r="I304" s="5">
        <v>6.9446759259259253E-3</v>
      </c>
      <c r="J304" s="5">
        <v>2.7777777777777775E-6</v>
      </c>
    </row>
    <row r="305" spans="1:10" x14ac:dyDescent="0.25">
      <c r="A305">
        <f ca="1">IF(_157721372917[[#This Row],[instance]]&lt;OFFSET(_157721372917[[#This Row],[instance]],-1,0), OFFSET(_157721372917[[#This Row],[model]],-1,0)+1, OFFSET(_157721372917[[#This Row],[model]],-1,0))</f>
        <v>3</v>
      </c>
      <c r="B305">
        <v>10</v>
      </c>
      <c r="C305" s="5">
        <v>6.3657407407407403E-6</v>
      </c>
      <c r="D305">
        <v>3</v>
      </c>
      <c r="E305">
        <v>1</v>
      </c>
      <c r="F305">
        <v>1</v>
      </c>
      <c r="G305" s="5">
        <v>2.7777777777777775E-6</v>
      </c>
      <c r="H305" s="5">
        <v>6.9446759259259253E-3</v>
      </c>
      <c r="I305" s="5">
        <v>6.9446759259259253E-3</v>
      </c>
      <c r="J305" s="5">
        <v>2.7777777777777775E-6</v>
      </c>
    </row>
    <row r="306" spans="1:10" x14ac:dyDescent="0.25">
      <c r="A306">
        <f ca="1">IF(_157721372917[[#This Row],[instance]]&lt;OFFSET(_157721372917[[#This Row],[instance]],-1,0), OFFSET(_157721372917[[#This Row],[model]],-1,0)+1, OFFSET(_157721372917[[#This Row],[model]],-1,0))</f>
        <v>3</v>
      </c>
      <c r="B306">
        <v>11</v>
      </c>
      <c r="C306" s="5">
        <v>6.1342592592592594E-6</v>
      </c>
      <c r="D306">
        <v>0</v>
      </c>
      <c r="E306">
        <v>0</v>
      </c>
      <c r="F306">
        <v>0</v>
      </c>
      <c r="G306" s="5">
        <v>2.7777777777777775E-6</v>
      </c>
      <c r="H306" s="5">
        <v>6.9446759259259253E-3</v>
      </c>
      <c r="I306" s="5">
        <v>6.9446759259259253E-3</v>
      </c>
      <c r="J306" s="5">
        <v>2.7777777777777775E-6</v>
      </c>
    </row>
    <row r="307" spans="1:10" x14ac:dyDescent="0.25">
      <c r="A307">
        <f ca="1">IF(_157721372917[[#This Row],[instance]]&lt;OFFSET(_157721372917[[#This Row],[instance]],-1,0), OFFSET(_157721372917[[#This Row],[model]],-1,0)+1, OFFSET(_157721372917[[#This Row],[model]],-1,0))</f>
        <v>3</v>
      </c>
      <c r="B307">
        <v>12</v>
      </c>
      <c r="C307" s="5">
        <v>6.2499999999999995E-6</v>
      </c>
      <c r="D307">
        <v>0</v>
      </c>
      <c r="E307">
        <v>0</v>
      </c>
      <c r="F307">
        <v>0</v>
      </c>
      <c r="G307" s="5">
        <v>2.7777777777777775E-6</v>
      </c>
      <c r="H307" s="5">
        <v>6.944791666666666E-3</v>
      </c>
      <c r="I307" s="5">
        <v>6.9446759259259253E-3</v>
      </c>
      <c r="J307" s="5">
        <v>2.7777777777777775E-6</v>
      </c>
    </row>
    <row r="308" spans="1:10" x14ac:dyDescent="0.25">
      <c r="A308">
        <f ca="1">IF(_157721372917[[#This Row],[instance]]&lt;OFFSET(_157721372917[[#This Row],[instance]],-1,0), OFFSET(_157721372917[[#This Row],[model]],-1,0)+1, OFFSET(_157721372917[[#This Row],[model]],-1,0))</f>
        <v>3</v>
      </c>
      <c r="B308">
        <v>12</v>
      </c>
      <c r="C308" s="5">
        <v>6.3657407407407403E-6</v>
      </c>
      <c r="D308">
        <v>5</v>
      </c>
      <c r="E308">
        <v>10</v>
      </c>
      <c r="F308">
        <v>1</v>
      </c>
      <c r="G308" s="5">
        <v>2.7777777777777775E-6</v>
      </c>
      <c r="H308" s="5">
        <v>6.944791666666666E-3</v>
      </c>
      <c r="I308" s="5">
        <v>6.9446759259259253E-3</v>
      </c>
      <c r="J308" s="5">
        <v>2.7777777777777775E-6</v>
      </c>
    </row>
    <row r="309" spans="1:10" x14ac:dyDescent="0.25">
      <c r="A309">
        <f ca="1">IF(_157721372917[[#This Row],[instance]]&lt;OFFSET(_157721372917[[#This Row],[instance]],-1,0), OFFSET(_157721372917[[#This Row],[model]],-1,0)+1, OFFSET(_157721372917[[#This Row],[model]],-1,0))</f>
        <v>3</v>
      </c>
      <c r="B309">
        <v>12</v>
      </c>
      <c r="C309" s="5">
        <v>6.5972222222222221E-6</v>
      </c>
      <c r="D309">
        <v>8</v>
      </c>
      <c r="E309">
        <v>11</v>
      </c>
      <c r="F309">
        <v>2</v>
      </c>
      <c r="G309" s="5">
        <v>2.7777777777777775E-6</v>
      </c>
      <c r="H309" s="5">
        <v>6.944791666666666E-3</v>
      </c>
      <c r="I309" s="5">
        <v>6.9446759259259253E-3</v>
      </c>
      <c r="J309" s="5">
        <v>2.7777777777777775E-6</v>
      </c>
    </row>
    <row r="310" spans="1:10" x14ac:dyDescent="0.25">
      <c r="A310">
        <f ca="1">IF(_157721372917[[#This Row],[instance]]&lt;OFFSET(_157721372917[[#This Row],[instance]],-1,0), OFFSET(_157721372917[[#This Row],[model]],-1,0)+1, OFFSET(_157721372917[[#This Row],[model]],-1,0))</f>
        <v>3</v>
      </c>
      <c r="B310">
        <v>12</v>
      </c>
      <c r="C310" s="5">
        <v>7.6388888888888884E-6</v>
      </c>
      <c r="D310">
        <v>11</v>
      </c>
      <c r="E310">
        <v>12</v>
      </c>
      <c r="F310">
        <v>3</v>
      </c>
      <c r="G310" s="5">
        <v>2.7777777777777775E-6</v>
      </c>
      <c r="H310" s="5">
        <v>6.944791666666666E-3</v>
      </c>
      <c r="I310" s="5">
        <v>6.9446759259259253E-3</v>
      </c>
      <c r="J310" s="5">
        <v>2.7777777777777775E-6</v>
      </c>
    </row>
    <row r="311" spans="1:10" x14ac:dyDescent="0.25">
      <c r="A311">
        <f ca="1">IF(_157721372917[[#This Row],[instance]]&lt;OFFSET(_157721372917[[#This Row],[instance]],-1,0), OFFSET(_157721372917[[#This Row],[model]],-1,0)+1, OFFSET(_157721372917[[#This Row],[model]],-1,0))</f>
        <v>3</v>
      </c>
      <c r="B311">
        <v>12</v>
      </c>
      <c r="C311" s="5">
        <v>1.3657407407407406E-5</v>
      </c>
      <c r="D311">
        <v>14</v>
      </c>
      <c r="E311">
        <v>13</v>
      </c>
      <c r="F311">
        <v>4</v>
      </c>
      <c r="G311" s="5">
        <v>2.7777777777777775E-6</v>
      </c>
      <c r="H311" s="5">
        <v>6.944791666666666E-3</v>
      </c>
      <c r="I311" s="5">
        <v>6.9446759259259253E-3</v>
      </c>
      <c r="J311" s="5">
        <v>2.7777777777777775E-6</v>
      </c>
    </row>
    <row r="312" spans="1:10" x14ac:dyDescent="0.25">
      <c r="A312">
        <f ca="1">IF(_157721372917[[#This Row],[instance]]&lt;OFFSET(_157721372917[[#This Row],[instance]],-1,0), OFFSET(_157721372917[[#This Row],[model]],-1,0)+1, OFFSET(_157721372917[[#This Row],[model]],-1,0))</f>
        <v>3</v>
      </c>
      <c r="B312">
        <v>12</v>
      </c>
      <c r="C312" s="5">
        <v>3.9699074074074071E-5</v>
      </c>
      <c r="D312">
        <v>17</v>
      </c>
      <c r="E312">
        <v>14</v>
      </c>
      <c r="F312">
        <v>5</v>
      </c>
      <c r="G312" s="5">
        <v>2.7777777777777775E-6</v>
      </c>
      <c r="H312" s="5">
        <v>6.944791666666666E-3</v>
      </c>
      <c r="I312" s="5">
        <v>6.9446759259259253E-3</v>
      </c>
      <c r="J312" s="5">
        <v>2.7777777777777775E-6</v>
      </c>
    </row>
    <row r="313" spans="1:10" x14ac:dyDescent="0.25">
      <c r="A313">
        <f ca="1">IF(_157721372917[[#This Row],[instance]]&lt;OFFSET(_157721372917[[#This Row],[instance]],-1,0), OFFSET(_157721372917[[#This Row],[model]],-1,0)+1, OFFSET(_157721372917[[#This Row],[model]],-1,0))</f>
        <v>3</v>
      </c>
      <c r="B313">
        <v>12</v>
      </c>
      <c r="C313" s="5">
        <v>1.0925925925925925E-4</v>
      </c>
      <c r="D313">
        <v>19.625</v>
      </c>
      <c r="E313">
        <v>14</v>
      </c>
      <c r="F313">
        <v>6</v>
      </c>
      <c r="G313" s="5">
        <v>2.7777777777777775E-6</v>
      </c>
      <c r="H313" s="5">
        <v>6.944791666666666E-3</v>
      </c>
      <c r="I313" s="5">
        <v>6.9446759259259253E-3</v>
      </c>
      <c r="J313" s="5">
        <v>2.7777777777777775E-6</v>
      </c>
    </row>
    <row r="314" spans="1:10" x14ac:dyDescent="0.25">
      <c r="A314">
        <f ca="1">IF(_157721372917[[#This Row],[instance]]&lt;OFFSET(_157721372917[[#This Row],[instance]],-1,0), OFFSET(_157721372917[[#This Row],[model]],-1,0)+1, OFFSET(_157721372917[[#This Row],[model]],-1,0))</f>
        <v>3</v>
      </c>
      <c r="B314">
        <v>12</v>
      </c>
      <c r="C314" s="5">
        <v>1.1828703703703703E-4</v>
      </c>
      <c r="D314">
        <v>20</v>
      </c>
      <c r="E314">
        <v>15</v>
      </c>
      <c r="F314">
        <v>6</v>
      </c>
      <c r="G314" s="5">
        <v>2.7777777777777775E-6</v>
      </c>
      <c r="H314" s="5">
        <v>6.944791666666666E-3</v>
      </c>
      <c r="I314" s="5">
        <v>6.9446759259259253E-3</v>
      </c>
      <c r="J314" s="5">
        <v>2.7777777777777775E-6</v>
      </c>
    </row>
    <row r="315" spans="1:10" x14ac:dyDescent="0.25">
      <c r="A315">
        <f ca="1">IF(_157721372917[[#This Row],[instance]]&lt;OFFSET(_157721372917[[#This Row],[instance]],-1,0), OFFSET(_157721372917[[#This Row],[model]],-1,0)+1, OFFSET(_157721372917[[#This Row],[model]],-1,0))</f>
        <v>3</v>
      </c>
      <c r="B315">
        <v>13</v>
      </c>
      <c r="C315" s="5">
        <v>6.2499999999999995E-6</v>
      </c>
      <c r="D315">
        <v>0</v>
      </c>
      <c r="E315">
        <v>0</v>
      </c>
      <c r="F315">
        <v>0</v>
      </c>
      <c r="G315" s="5">
        <v>2.7777777777777775E-6</v>
      </c>
      <c r="H315" s="5">
        <v>6.9446759259259253E-3</v>
      </c>
      <c r="I315" s="5">
        <v>6.9446759259259253E-3</v>
      </c>
      <c r="J315" s="5">
        <v>2.7777777777777775E-6</v>
      </c>
    </row>
    <row r="316" spans="1:10" x14ac:dyDescent="0.25">
      <c r="A316">
        <f ca="1">IF(_157721372917[[#This Row],[instance]]&lt;OFFSET(_157721372917[[#This Row],[instance]],-1,0), OFFSET(_157721372917[[#This Row],[model]],-1,0)+1, OFFSET(_157721372917[[#This Row],[model]],-1,0))</f>
        <v>3</v>
      </c>
      <c r="B316">
        <v>13</v>
      </c>
      <c r="C316" s="5">
        <v>6.3657407407407403E-6</v>
      </c>
      <c r="D316">
        <v>5.375</v>
      </c>
      <c r="E316">
        <v>8</v>
      </c>
      <c r="F316">
        <v>1</v>
      </c>
      <c r="G316" s="5">
        <v>2.7777777777777775E-6</v>
      </c>
      <c r="H316" s="5">
        <v>6.9446759259259253E-3</v>
      </c>
      <c r="I316" s="5">
        <v>6.9446759259259253E-3</v>
      </c>
      <c r="J316" s="5">
        <v>2.7777777777777775E-6</v>
      </c>
    </row>
    <row r="317" spans="1:10" x14ac:dyDescent="0.25">
      <c r="A317">
        <f ca="1">IF(_157721372917[[#This Row],[instance]]&lt;OFFSET(_157721372917[[#This Row],[instance]],-1,0), OFFSET(_157721372917[[#This Row],[model]],-1,0)+1, OFFSET(_157721372917[[#This Row],[model]],-1,0))</f>
        <v>3</v>
      </c>
      <c r="B317">
        <v>13</v>
      </c>
      <c r="C317" s="5">
        <v>5.0347222222222223E-5</v>
      </c>
      <c r="D317">
        <v>8.375</v>
      </c>
      <c r="E317">
        <v>9</v>
      </c>
      <c r="F317">
        <v>2</v>
      </c>
      <c r="G317" s="5">
        <v>2.7777777777777775E-6</v>
      </c>
      <c r="H317" s="5">
        <v>6.9446759259259253E-3</v>
      </c>
      <c r="I317" s="5">
        <v>6.9446759259259253E-3</v>
      </c>
      <c r="J317" s="5">
        <v>2.7777777777777775E-6</v>
      </c>
    </row>
    <row r="318" spans="1:10" x14ac:dyDescent="0.25">
      <c r="A318">
        <f ca="1">IF(_157721372917[[#This Row],[instance]]&lt;OFFSET(_157721372917[[#This Row],[instance]],-1,0), OFFSET(_157721372917[[#This Row],[model]],-1,0)+1, OFFSET(_157721372917[[#This Row],[model]],-1,0))</f>
        <v>3</v>
      </c>
      <c r="B318">
        <v>13</v>
      </c>
      <c r="C318" s="5">
        <v>1.0092592592592593E-4</v>
      </c>
      <c r="D318">
        <v>11.375</v>
      </c>
      <c r="E318">
        <v>10</v>
      </c>
      <c r="F318">
        <v>3</v>
      </c>
      <c r="G318" s="5">
        <v>2.7777777777777775E-6</v>
      </c>
      <c r="H318" s="5">
        <v>6.9446759259259253E-3</v>
      </c>
      <c r="I318" s="5">
        <v>6.9446759259259253E-3</v>
      </c>
      <c r="J318" s="5">
        <v>2.7777777777777775E-6</v>
      </c>
    </row>
    <row r="319" spans="1:10" x14ac:dyDescent="0.25">
      <c r="A319">
        <f ca="1">IF(_157721372917[[#This Row],[instance]]&lt;OFFSET(_157721372917[[#This Row],[instance]],-1,0), OFFSET(_157721372917[[#This Row],[model]],-1,0)+1, OFFSET(_157721372917[[#This Row],[model]],-1,0))</f>
        <v>3</v>
      </c>
      <c r="B319">
        <v>13</v>
      </c>
      <c r="C319" s="5">
        <v>1.0092592592592593E-4</v>
      </c>
      <c r="D319">
        <v>14.375</v>
      </c>
      <c r="E319">
        <v>11</v>
      </c>
      <c r="F319">
        <v>4</v>
      </c>
      <c r="G319" s="5">
        <v>2.7777777777777775E-6</v>
      </c>
      <c r="H319" s="5">
        <v>6.9446759259259253E-3</v>
      </c>
      <c r="I319" s="5">
        <v>6.9446759259259253E-3</v>
      </c>
      <c r="J319" s="5">
        <v>2.7777777777777775E-6</v>
      </c>
    </row>
    <row r="320" spans="1:10" x14ac:dyDescent="0.25">
      <c r="A320">
        <f ca="1">IF(_157721372917[[#This Row],[instance]]&lt;OFFSET(_157721372917[[#This Row],[instance]],-1,0), OFFSET(_157721372917[[#This Row],[model]],-1,0)+1, OFFSET(_157721372917[[#This Row],[model]],-1,0))</f>
        <v>3</v>
      </c>
      <c r="B320">
        <v>13</v>
      </c>
      <c r="C320" s="5">
        <v>1.5081018518518517E-4</v>
      </c>
      <c r="D320">
        <v>17.375</v>
      </c>
      <c r="E320">
        <v>12</v>
      </c>
      <c r="F320">
        <v>5</v>
      </c>
      <c r="G320" s="5">
        <v>2.7777777777777775E-6</v>
      </c>
      <c r="H320" s="5">
        <v>6.9446759259259253E-3</v>
      </c>
      <c r="I320" s="5">
        <v>6.9446759259259253E-3</v>
      </c>
      <c r="J320" s="5">
        <v>2.7777777777777775E-6</v>
      </c>
    </row>
    <row r="321" spans="1:10" x14ac:dyDescent="0.25">
      <c r="A321">
        <f ca="1">IF(_157721372917[[#This Row],[instance]]&lt;OFFSET(_157721372917[[#This Row],[instance]],-1,0), OFFSET(_157721372917[[#This Row],[model]],-1,0)+1, OFFSET(_157721372917[[#This Row],[model]],-1,0))</f>
        <v>3</v>
      </c>
      <c r="B321">
        <v>13</v>
      </c>
      <c r="C321" s="5">
        <v>9.2037037037037033E-4</v>
      </c>
      <c r="D321">
        <v>20.375</v>
      </c>
      <c r="E321">
        <v>13</v>
      </c>
      <c r="F321">
        <v>6</v>
      </c>
      <c r="G321" s="5">
        <v>2.7777777777777775E-6</v>
      </c>
      <c r="H321" s="5">
        <v>6.9446759259259253E-3</v>
      </c>
      <c r="I321" s="5">
        <v>6.9446759259259253E-3</v>
      </c>
      <c r="J321" s="5">
        <v>2.7777777777777775E-6</v>
      </c>
    </row>
    <row r="322" spans="1:10" x14ac:dyDescent="0.25">
      <c r="A322">
        <f ca="1">IF(_157721372917[[#This Row],[instance]]&lt;OFFSET(_157721372917[[#This Row],[instance]],-1,0), OFFSET(_157721372917[[#This Row],[model]],-1,0)+1, OFFSET(_157721372917[[#This Row],[model]],-1,0))</f>
        <v>3</v>
      </c>
      <c r="B322">
        <v>14</v>
      </c>
      <c r="C322" s="5">
        <v>6.2499999999999995E-6</v>
      </c>
      <c r="D322">
        <v>0</v>
      </c>
      <c r="E322">
        <v>0</v>
      </c>
      <c r="F322">
        <v>0</v>
      </c>
      <c r="G322" s="5">
        <v>2.7777777777777775E-6</v>
      </c>
      <c r="H322" s="5">
        <v>6.944791666666666E-3</v>
      </c>
      <c r="I322" s="5">
        <v>6.9446759259259253E-3</v>
      </c>
      <c r="J322" s="5">
        <v>2.7777777777777775E-6</v>
      </c>
    </row>
    <row r="323" spans="1:10" x14ac:dyDescent="0.25">
      <c r="A323">
        <f ca="1">IF(_157721372917[[#This Row],[instance]]&lt;OFFSET(_157721372917[[#This Row],[instance]],-1,0), OFFSET(_157721372917[[#This Row],[model]],-1,0)+1, OFFSET(_157721372917[[#This Row],[model]],-1,0))</f>
        <v>3</v>
      </c>
      <c r="B323">
        <v>14</v>
      </c>
      <c r="C323" s="5">
        <v>8.5648148148148138E-6</v>
      </c>
      <c r="D323">
        <v>3.75</v>
      </c>
      <c r="E323">
        <v>4</v>
      </c>
      <c r="F323">
        <v>1</v>
      </c>
      <c r="G323" s="5">
        <v>2.7777777777777775E-6</v>
      </c>
      <c r="H323" s="5">
        <v>6.944791666666666E-3</v>
      </c>
      <c r="I323" s="5">
        <v>6.9446759259259253E-3</v>
      </c>
      <c r="J323" s="5">
        <v>2.7777777777777775E-6</v>
      </c>
    </row>
    <row r="324" spans="1:10" x14ac:dyDescent="0.25">
      <c r="A324">
        <f ca="1">IF(_157721372917[[#This Row],[instance]]&lt;OFFSET(_157721372917[[#This Row],[instance]],-1,0), OFFSET(_157721372917[[#This Row],[model]],-1,0)+1, OFFSET(_157721372917[[#This Row],[model]],-1,0))</f>
        <v>3</v>
      </c>
      <c r="B324">
        <v>14</v>
      </c>
      <c r="C324" s="5">
        <v>9.3749999999999992E-6</v>
      </c>
      <c r="D324">
        <v>4.125</v>
      </c>
      <c r="E324">
        <v>5</v>
      </c>
      <c r="F324">
        <v>1</v>
      </c>
      <c r="G324" s="5">
        <v>2.7777777777777775E-6</v>
      </c>
      <c r="H324" s="5">
        <v>6.944791666666666E-3</v>
      </c>
      <c r="I324" s="5">
        <v>6.9446759259259253E-3</v>
      </c>
      <c r="J324" s="5">
        <v>2.7777777777777775E-6</v>
      </c>
    </row>
    <row r="325" spans="1:10" x14ac:dyDescent="0.25">
      <c r="A325">
        <f ca="1">IF(_157721372917[[#This Row],[instance]]&lt;OFFSET(_157721372917[[#This Row],[instance]],-1,0), OFFSET(_157721372917[[#This Row],[model]],-1,0)+1, OFFSET(_157721372917[[#This Row],[model]],-1,0))</f>
        <v>3</v>
      </c>
      <c r="B325">
        <v>15</v>
      </c>
      <c r="C325" s="5">
        <v>6.2499999999999995E-6</v>
      </c>
      <c r="D325">
        <v>0</v>
      </c>
      <c r="E325">
        <v>0</v>
      </c>
      <c r="F325">
        <v>0</v>
      </c>
      <c r="G325" s="5">
        <v>2.7777777777777775E-6</v>
      </c>
      <c r="H325" s="5">
        <v>6.9446759259259253E-3</v>
      </c>
      <c r="I325" s="5">
        <v>6.9446759259259253E-3</v>
      </c>
      <c r="J325" s="5">
        <v>2.7777777777777775E-6</v>
      </c>
    </row>
    <row r="326" spans="1:10" x14ac:dyDescent="0.25">
      <c r="A326">
        <f ca="1">IF(_157721372917[[#This Row],[instance]]&lt;OFFSET(_157721372917[[#This Row],[instance]],-1,0), OFFSET(_157721372917[[#This Row],[model]],-1,0)+1, OFFSET(_157721372917[[#This Row],[model]],-1,0))</f>
        <v>3</v>
      </c>
      <c r="B326">
        <v>15</v>
      </c>
      <c r="C326" s="5">
        <v>6.3657407407407403E-6</v>
      </c>
      <c r="D326">
        <v>3</v>
      </c>
      <c r="E326">
        <v>1</v>
      </c>
      <c r="F326">
        <v>1</v>
      </c>
      <c r="G326" s="5">
        <v>2.7777777777777775E-6</v>
      </c>
      <c r="H326" s="5">
        <v>6.9446759259259253E-3</v>
      </c>
      <c r="I326" s="5">
        <v>6.9446759259259253E-3</v>
      </c>
      <c r="J326" s="5">
        <v>2.7777777777777775E-6</v>
      </c>
    </row>
    <row r="327" spans="1:10" x14ac:dyDescent="0.25">
      <c r="A327">
        <f ca="1">IF(_157721372917[[#This Row],[instance]]&lt;OFFSET(_157721372917[[#This Row],[instance]],-1,0), OFFSET(_157721372917[[#This Row],[model]],-1,0)+1, OFFSET(_157721372917[[#This Row],[model]],-1,0))</f>
        <v>4</v>
      </c>
      <c r="B327">
        <v>1</v>
      </c>
      <c r="C327" s="5">
        <v>1.0648148148148148E-5</v>
      </c>
      <c r="D327">
        <v>0</v>
      </c>
      <c r="E327">
        <v>0</v>
      </c>
      <c r="F327">
        <v>0</v>
      </c>
      <c r="G327" s="5">
        <v>5.555555555555555E-6</v>
      </c>
      <c r="H327" s="5">
        <v>6.9454861111111106E-3</v>
      </c>
      <c r="I327" s="5">
        <v>6.94537037037037E-3</v>
      </c>
      <c r="J327" s="5">
        <v>5.324074074074074E-6</v>
      </c>
    </row>
    <row r="328" spans="1:10" x14ac:dyDescent="0.25">
      <c r="A328">
        <f ca="1">IF(_157721372917[[#This Row],[instance]]&lt;OFFSET(_157721372917[[#This Row],[instance]],-1,0), OFFSET(_157721372917[[#This Row],[model]],-1,0)+1, OFFSET(_157721372917[[#This Row],[model]],-1,0))</f>
        <v>4</v>
      </c>
      <c r="B328">
        <v>2</v>
      </c>
      <c r="C328" s="5">
        <v>1.0300925925925926E-5</v>
      </c>
      <c r="D328">
        <v>0</v>
      </c>
      <c r="E328">
        <v>0</v>
      </c>
      <c r="F328">
        <v>0</v>
      </c>
      <c r="G328" s="5">
        <v>5.2083333333333332E-6</v>
      </c>
      <c r="H328" s="5">
        <v>6.94537037037037E-3</v>
      </c>
      <c r="I328" s="5">
        <v>6.94537037037037E-3</v>
      </c>
      <c r="J328" s="5">
        <v>5.324074074074074E-6</v>
      </c>
    </row>
    <row r="329" spans="1:10" x14ac:dyDescent="0.25">
      <c r="A329">
        <f ca="1">IF(_157721372917[[#This Row],[instance]]&lt;OFFSET(_157721372917[[#This Row],[instance]],-1,0), OFFSET(_157721372917[[#This Row],[model]],-1,0)+1, OFFSET(_157721372917[[#This Row],[model]],-1,0))</f>
        <v>4</v>
      </c>
      <c r="B329">
        <v>3</v>
      </c>
      <c r="C329" s="5">
        <v>1.0300925925925926E-5</v>
      </c>
      <c r="D329">
        <v>0</v>
      </c>
      <c r="E329">
        <v>0</v>
      </c>
      <c r="F329">
        <v>0</v>
      </c>
      <c r="G329" s="5">
        <v>5.2083333333333332E-6</v>
      </c>
      <c r="H329" s="5">
        <v>6.94537037037037E-3</v>
      </c>
      <c r="I329" s="5">
        <v>6.94537037037037E-3</v>
      </c>
      <c r="J329" s="5">
        <v>5.324074074074074E-6</v>
      </c>
    </row>
    <row r="330" spans="1:10" x14ac:dyDescent="0.25">
      <c r="A330">
        <f ca="1">IF(_157721372917[[#This Row],[instance]]&lt;OFFSET(_157721372917[[#This Row],[instance]],-1,0), OFFSET(_157721372917[[#This Row],[model]],-1,0)+1, OFFSET(_157721372917[[#This Row],[model]],-1,0))</f>
        <v>4</v>
      </c>
      <c r="B330">
        <v>3</v>
      </c>
      <c r="C330" s="5">
        <v>8.0439814814814816E-5</v>
      </c>
      <c r="D330">
        <v>1.125</v>
      </c>
      <c r="E330">
        <v>3</v>
      </c>
      <c r="F330">
        <v>1</v>
      </c>
      <c r="G330" s="5">
        <v>5.2083333333333332E-6</v>
      </c>
      <c r="H330" s="5">
        <v>6.94537037037037E-3</v>
      </c>
      <c r="I330" s="5">
        <v>6.94537037037037E-3</v>
      </c>
      <c r="J330" s="5">
        <v>5.324074074074074E-6</v>
      </c>
    </row>
    <row r="331" spans="1:10" x14ac:dyDescent="0.25">
      <c r="A331">
        <f ca="1">IF(_157721372917[[#This Row],[instance]]&lt;OFFSET(_157721372917[[#This Row],[instance]],-1,0), OFFSET(_157721372917[[#This Row],[model]],-1,0)+1, OFFSET(_157721372917[[#This Row],[model]],-1,0))</f>
        <v>4</v>
      </c>
      <c r="B331">
        <v>3</v>
      </c>
      <c r="C331" s="5">
        <v>8.0439814814814816E-5</v>
      </c>
      <c r="D331">
        <v>1.5</v>
      </c>
      <c r="E331">
        <v>3</v>
      </c>
      <c r="F331">
        <v>1</v>
      </c>
      <c r="G331" s="5">
        <v>5.2083333333333332E-6</v>
      </c>
      <c r="H331" s="5">
        <v>6.94537037037037E-3</v>
      </c>
      <c r="I331" s="5">
        <v>6.94537037037037E-3</v>
      </c>
      <c r="J331" s="5">
        <v>5.324074074074074E-6</v>
      </c>
    </row>
    <row r="332" spans="1:10" x14ac:dyDescent="0.25">
      <c r="A332">
        <f ca="1">IF(_157721372917[[#This Row],[instance]]&lt;OFFSET(_157721372917[[#This Row],[instance]],-1,0), OFFSET(_157721372917[[#This Row],[model]],-1,0)+1, OFFSET(_157721372917[[#This Row],[model]],-1,0))</f>
        <v>4</v>
      </c>
      <c r="B332">
        <v>3</v>
      </c>
      <c r="C332" s="5">
        <v>8.0902777777777776E-5</v>
      </c>
      <c r="D332">
        <v>1.875</v>
      </c>
      <c r="E332">
        <v>4</v>
      </c>
      <c r="F332">
        <v>1</v>
      </c>
      <c r="G332" s="5">
        <v>5.2083333333333332E-6</v>
      </c>
      <c r="H332" s="5">
        <v>6.94537037037037E-3</v>
      </c>
      <c r="I332" s="5">
        <v>6.94537037037037E-3</v>
      </c>
      <c r="J332" s="5">
        <v>5.324074074074074E-6</v>
      </c>
    </row>
    <row r="333" spans="1:10" x14ac:dyDescent="0.25">
      <c r="A333">
        <f ca="1">IF(_157721372917[[#This Row],[instance]]&lt;OFFSET(_157721372917[[#This Row],[instance]],-1,0), OFFSET(_157721372917[[#This Row],[model]],-1,0)+1, OFFSET(_157721372917[[#This Row],[model]],-1,0))</f>
        <v>4</v>
      </c>
      <c r="B333">
        <v>3</v>
      </c>
      <c r="C333" s="5">
        <v>1.2326388888888887E-4</v>
      </c>
      <c r="D333">
        <v>2.25</v>
      </c>
      <c r="E333">
        <v>4</v>
      </c>
      <c r="F333">
        <v>1</v>
      </c>
      <c r="G333" s="5">
        <v>5.2083333333333332E-6</v>
      </c>
      <c r="H333" s="5">
        <v>6.94537037037037E-3</v>
      </c>
      <c r="I333" s="5">
        <v>6.94537037037037E-3</v>
      </c>
      <c r="J333" s="5">
        <v>5.324074074074074E-6</v>
      </c>
    </row>
    <row r="334" spans="1:10" x14ac:dyDescent="0.25">
      <c r="A334">
        <f ca="1">IF(_157721372917[[#This Row],[instance]]&lt;OFFSET(_157721372917[[#This Row],[instance]],-1,0), OFFSET(_157721372917[[#This Row],[model]],-1,0)+1, OFFSET(_157721372917[[#This Row],[model]],-1,0))</f>
        <v>4</v>
      </c>
      <c r="B334">
        <v>4</v>
      </c>
      <c r="C334" s="5">
        <v>1.0416666666666666E-5</v>
      </c>
      <c r="D334">
        <v>0</v>
      </c>
      <c r="E334">
        <v>0</v>
      </c>
      <c r="F334">
        <v>0</v>
      </c>
      <c r="G334" s="5">
        <v>5.4398148148148149E-6</v>
      </c>
      <c r="H334" s="5">
        <v>6.94537037037037E-3</v>
      </c>
      <c r="I334" s="5">
        <v>6.94537037037037E-3</v>
      </c>
      <c r="J334" s="5">
        <v>5.324074074074074E-6</v>
      </c>
    </row>
    <row r="335" spans="1:10" x14ac:dyDescent="0.25">
      <c r="A335">
        <f ca="1">IF(_157721372917[[#This Row],[instance]]&lt;OFFSET(_157721372917[[#This Row],[instance]],-1,0), OFFSET(_157721372917[[#This Row],[model]],-1,0)+1, OFFSET(_157721372917[[#This Row],[model]],-1,0))</f>
        <v>4</v>
      </c>
      <c r="B335">
        <v>5</v>
      </c>
      <c r="C335" s="5">
        <v>1.0416666666666666E-5</v>
      </c>
      <c r="D335">
        <v>0</v>
      </c>
      <c r="E335">
        <v>0</v>
      </c>
      <c r="F335">
        <v>0</v>
      </c>
      <c r="G335" s="5">
        <v>5.324074074074074E-6</v>
      </c>
      <c r="H335" s="5">
        <v>6.94537037037037E-3</v>
      </c>
      <c r="I335" s="5">
        <v>6.94537037037037E-3</v>
      </c>
      <c r="J335" s="5">
        <v>5.324074074074074E-6</v>
      </c>
    </row>
    <row r="336" spans="1:10" x14ac:dyDescent="0.25">
      <c r="A336">
        <f ca="1">IF(_157721372917[[#This Row],[instance]]&lt;OFFSET(_157721372917[[#This Row],[instance]],-1,0), OFFSET(_157721372917[[#This Row],[model]],-1,0)+1, OFFSET(_157721372917[[#This Row],[model]],-1,0))</f>
        <v>4</v>
      </c>
      <c r="B336">
        <v>5</v>
      </c>
      <c r="C336" s="5">
        <v>1.0532407407407406E-5</v>
      </c>
      <c r="D336">
        <v>1.125</v>
      </c>
      <c r="E336">
        <v>3</v>
      </c>
      <c r="F336">
        <v>1</v>
      </c>
      <c r="G336" s="5">
        <v>5.324074074074074E-6</v>
      </c>
      <c r="H336" s="5">
        <v>6.94537037037037E-3</v>
      </c>
      <c r="I336" s="5">
        <v>6.94537037037037E-3</v>
      </c>
      <c r="J336" s="5">
        <v>5.324074074074074E-6</v>
      </c>
    </row>
    <row r="337" spans="1:10" x14ac:dyDescent="0.25">
      <c r="A337">
        <f ca="1">IF(_157721372917[[#This Row],[instance]]&lt;OFFSET(_157721372917[[#This Row],[instance]],-1,0), OFFSET(_157721372917[[#This Row],[model]],-1,0)+1, OFFSET(_157721372917[[#This Row],[model]],-1,0))</f>
        <v>4</v>
      </c>
      <c r="B337">
        <v>5</v>
      </c>
      <c r="C337" s="5">
        <v>1.0532407407407406E-5</v>
      </c>
      <c r="D337">
        <v>1.5</v>
      </c>
      <c r="E337">
        <v>4</v>
      </c>
      <c r="F337">
        <v>1</v>
      </c>
      <c r="G337" s="5">
        <v>5.324074074074074E-6</v>
      </c>
      <c r="H337" s="5">
        <v>6.94537037037037E-3</v>
      </c>
      <c r="I337" s="5">
        <v>6.94537037037037E-3</v>
      </c>
      <c r="J337" s="5">
        <v>5.324074074074074E-6</v>
      </c>
    </row>
    <row r="338" spans="1:10" x14ac:dyDescent="0.25">
      <c r="A338">
        <f ca="1">IF(_157721372917[[#This Row],[instance]]&lt;OFFSET(_157721372917[[#This Row],[instance]],-1,0), OFFSET(_157721372917[[#This Row],[model]],-1,0)+1, OFFSET(_157721372917[[#This Row],[model]],-1,0))</f>
        <v>4</v>
      </c>
      <c r="B338">
        <v>6</v>
      </c>
      <c r="C338" s="5">
        <v>1.0300925925925926E-5</v>
      </c>
      <c r="D338">
        <v>0</v>
      </c>
      <c r="E338">
        <v>0</v>
      </c>
      <c r="F338">
        <v>0</v>
      </c>
      <c r="G338" s="5">
        <v>5.324074074074074E-6</v>
      </c>
      <c r="H338" s="5">
        <v>6.94537037037037E-3</v>
      </c>
      <c r="I338" s="5">
        <v>6.94537037037037E-3</v>
      </c>
      <c r="J338" s="5">
        <v>5.324074074074074E-6</v>
      </c>
    </row>
    <row r="339" spans="1:10" x14ac:dyDescent="0.25">
      <c r="A339">
        <f ca="1">IF(_157721372917[[#This Row],[instance]]&lt;OFFSET(_157721372917[[#This Row],[instance]],-1,0), OFFSET(_157721372917[[#This Row],[model]],-1,0)+1, OFFSET(_157721372917[[#This Row],[model]],-1,0))</f>
        <v>4</v>
      </c>
      <c r="B339">
        <v>7</v>
      </c>
      <c r="C339" s="5">
        <v>1.0300925925925926E-5</v>
      </c>
      <c r="D339">
        <v>0</v>
      </c>
      <c r="E339">
        <v>0</v>
      </c>
      <c r="F339">
        <v>0</v>
      </c>
      <c r="G339" s="5">
        <v>5.324074074074074E-6</v>
      </c>
      <c r="H339" s="5">
        <v>6.94537037037037E-3</v>
      </c>
      <c r="I339" s="5">
        <v>6.94537037037037E-3</v>
      </c>
      <c r="J339" s="5">
        <v>5.324074074074074E-6</v>
      </c>
    </row>
    <row r="340" spans="1:10" x14ac:dyDescent="0.25">
      <c r="A340">
        <f ca="1">IF(_157721372917[[#This Row],[instance]]&lt;OFFSET(_157721372917[[#This Row],[instance]],-1,0), OFFSET(_157721372917[[#This Row],[model]],-1,0)+1, OFFSET(_157721372917[[#This Row],[model]],-1,0))</f>
        <v>4</v>
      </c>
      <c r="B340">
        <v>7</v>
      </c>
      <c r="C340" s="5">
        <v>9.7800925925925917E-5</v>
      </c>
      <c r="D340">
        <v>1.5</v>
      </c>
      <c r="E340">
        <v>1</v>
      </c>
      <c r="F340">
        <v>1</v>
      </c>
      <c r="G340" s="5">
        <v>5.324074074074074E-6</v>
      </c>
      <c r="H340" s="5">
        <v>6.94537037037037E-3</v>
      </c>
      <c r="I340" s="5">
        <v>6.94537037037037E-3</v>
      </c>
      <c r="J340" s="5">
        <v>5.324074074074074E-6</v>
      </c>
    </row>
    <row r="341" spans="1:10" x14ac:dyDescent="0.25">
      <c r="A341">
        <f ca="1">IF(_157721372917[[#This Row],[instance]]&lt;OFFSET(_157721372917[[#This Row],[instance]],-1,0), OFFSET(_157721372917[[#This Row],[model]],-1,0)+1, OFFSET(_157721372917[[#This Row],[model]],-1,0))</f>
        <v>4</v>
      </c>
      <c r="B341">
        <v>7</v>
      </c>
      <c r="C341" s="5">
        <v>9.8379629629629631E-5</v>
      </c>
      <c r="D341">
        <v>1.875</v>
      </c>
      <c r="E341">
        <v>3</v>
      </c>
      <c r="F341">
        <v>1</v>
      </c>
      <c r="G341" s="5">
        <v>5.324074074074074E-6</v>
      </c>
      <c r="H341" s="5">
        <v>6.94537037037037E-3</v>
      </c>
      <c r="I341" s="5">
        <v>6.94537037037037E-3</v>
      </c>
      <c r="J341" s="5">
        <v>5.324074074074074E-6</v>
      </c>
    </row>
    <row r="342" spans="1:10" x14ac:dyDescent="0.25">
      <c r="A342">
        <f ca="1">IF(_157721372917[[#This Row],[instance]]&lt;OFFSET(_157721372917[[#This Row],[instance]],-1,0), OFFSET(_157721372917[[#This Row],[model]],-1,0)+1, OFFSET(_157721372917[[#This Row],[model]],-1,0))</f>
        <v>4</v>
      </c>
      <c r="B342">
        <v>7</v>
      </c>
      <c r="C342" s="5">
        <v>1.0138888888888889E-4</v>
      </c>
      <c r="D342">
        <v>2.25</v>
      </c>
      <c r="E342">
        <v>2</v>
      </c>
      <c r="F342">
        <v>1</v>
      </c>
      <c r="G342" s="5">
        <v>5.324074074074074E-6</v>
      </c>
      <c r="H342" s="5">
        <v>6.94537037037037E-3</v>
      </c>
      <c r="I342" s="5">
        <v>6.94537037037037E-3</v>
      </c>
      <c r="J342" s="5">
        <v>5.324074074074074E-6</v>
      </c>
    </row>
    <row r="343" spans="1:10" x14ac:dyDescent="0.25">
      <c r="A343">
        <f ca="1">IF(_157721372917[[#This Row],[instance]]&lt;OFFSET(_157721372917[[#This Row],[instance]],-1,0), OFFSET(_157721372917[[#This Row],[model]],-1,0)+1, OFFSET(_157721372917[[#This Row],[model]],-1,0))</f>
        <v>4</v>
      </c>
      <c r="B343">
        <v>7</v>
      </c>
      <c r="C343" s="5">
        <v>1.1481481481481481E-4</v>
      </c>
      <c r="D343">
        <v>2.5</v>
      </c>
      <c r="E343">
        <v>3</v>
      </c>
      <c r="F343">
        <v>1</v>
      </c>
      <c r="G343" s="5">
        <v>5.324074074074074E-6</v>
      </c>
      <c r="H343" s="5">
        <v>6.94537037037037E-3</v>
      </c>
      <c r="I343" s="5">
        <v>6.94537037037037E-3</v>
      </c>
      <c r="J343" s="5">
        <v>5.324074074074074E-6</v>
      </c>
    </row>
    <row r="344" spans="1:10" x14ac:dyDescent="0.25">
      <c r="A344">
        <f ca="1">IF(_157721372917[[#This Row],[instance]]&lt;OFFSET(_157721372917[[#This Row],[instance]],-1,0), OFFSET(_157721372917[[#This Row],[model]],-1,0)+1, OFFSET(_157721372917[[#This Row],[model]],-1,0))</f>
        <v>4</v>
      </c>
      <c r="B344">
        <v>7</v>
      </c>
      <c r="C344" s="5">
        <v>2.9606481481481481E-4</v>
      </c>
      <c r="D344">
        <v>2.875</v>
      </c>
      <c r="E344">
        <v>4</v>
      </c>
      <c r="F344">
        <v>1</v>
      </c>
      <c r="G344" s="5">
        <v>5.324074074074074E-6</v>
      </c>
      <c r="H344" s="5">
        <v>6.94537037037037E-3</v>
      </c>
      <c r="I344" s="5">
        <v>6.94537037037037E-3</v>
      </c>
      <c r="J344" s="5">
        <v>5.324074074074074E-6</v>
      </c>
    </row>
    <row r="345" spans="1:10" x14ac:dyDescent="0.25">
      <c r="A345">
        <f ca="1">IF(_157721372917[[#This Row],[instance]]&lt;OFFSET(_157721372917[[#This Row],[instance]],-1,0), OFFSET(_157721372917[[#This Row],[model]],-1,0)+1, OFFSET(_157721372917[[#This Row],[model]],-1,0))</f>
        <v>4</v>
      </c>
      <c r="B345">
        <v>7</v>
      </c>
      <c r="C345" s="5">
        <v>3.412037037037037E-4</v>
      </c>
      <c r="D345">
        <v>3</v>
      </c>
      <c r="E345">
        <v>3</v>
      </c>
      <c r="F345">
        <v>1</v>
      </c>
      <c r="G345" s="5">
        <v>5.324074074074074E-6</v>
      </c>
      <c r="H345" s="5">
        <v>6.94537037037037E-3</v>
      </c>
      <c r="I345" s="5">
        <v>6.94537037037037E-3</v>
      </c>
      <c r="J345" s="5">
        <v>5.324074074074074E-6</v>
      </c>
    </row>
    <row r="346" spans="1:10" x14ac:dyDescent="0.25">
      <c r="A346">
        <f ca="1">IF(_157721372917[[#This Row],[instance]]&lt;OFFSET(_157721372917[[#This Row],[instance]],-1,0), OFFSET(_157721372917[[#This Row],[model]],-1,0)+1, OFFSET(_157721372917[[#This Row],[model]],-1,0))</f>
        <v>4</v>
      </c>
      <c r="B346">
        <v>7</v>
      </c>
      <c r="C346" s="5">
        <v>4.060185185185185E-4</v>
      </c>
      <c r="D346">
        <v>3.25</v>
      </c>
      <c r="E346">
        <v>3</v>
      </c>
      <c r="F346">
        <v>1</v>
      </c>
      <c r="G346" s="5">
        <v>5.324074074074074E-6</v>
      </c>
      <c r="H346" s="5">
        <v>6.94537037037037E-3</v>
      </c>
      <c r="I346" s="5">
        <v>6.94537037037037E-3</v>
      </c>
      <c r="J346" s="5">
        <v>5.324074074074074E-6</v>
      </c>
    </row>
    <row r="347" spans="1:10" x14ac:dyDescent="0.25">
      <c r="A347">
        <f ca="1">IF(_157721372917[[#This Row],[instance]]&lt;OFFSET(_157721372917[[#This Row],[instance]],-1,0), OFFSET(_157721372917[[#This Row],[model]],-1,0)+1, OFFSET(_157721372917[[#This Row],[model]],-1,0))</f>
        <v>4</v>
      </c>
      <c r="B347">
        <v>7</v>
      </c>
      <c r="C347" s="5">
        <v>4.060185185185185E-4</v>
      </c>
      <c r="D347">
        <v>3.5</v>
      </c>
      <c r="E347">
        <v>4</v>
      </c>
      <c r="F347">
        <v>1</v>
      </c>
      <c r="G347" s="5">
        <v>5.324074074074074E-6</v>
      </c>
      <c r="H347" s="5">
        <v>6.94537037037037E-3</v>
      </c>
      <c r="I347" s="5">
        <v>6.94537037037037E-3</v>
      </c>
      <c r="J347" s="5">
        <v>5.324074074074074E-6</v>
      </c>
    </row>
    <row r="348" spans="1:10" x14ac:dyDescent="0.25">
      <c r="A348">
        <f ca="1">IF(_157721372917[[#This Row],[instance]]&lt;OFFSET(_157721372917[[#This Row],[instance]],-1,0), OFFSET(_157721372917[[#This Row],[model]],-1,0)+1, OFFSET(_157721372917[[#This Row],[model]],-1,0))</f>
        <v>4</v>
      </c>
      <c r="B348">
        <v>7</v>
      </c>
      <c r="C348" s="5">
        <v>5.7511574074074073E-4</v>
      </c>
      <c r="D348">
        <v>3.875</v>
      </c>
      <c r="E348">
        <v>5</v>
      </c>
      <c r="F348">
        <v>2</v>
      </c>
      <c r="G348" s="5">
        <v>5.324074074074074E-6</v>
      </c>
      <c r="H348" s="5">
        <v>6.94537037037037E-3</v>
      </c>
      <c r="I348" s="5">
        <v>6.94537037037037E-3</v>
      </c>
      <c r="J348" s="5">
        <v>5.324074074074074E-6</v>
      </c>
    </row>
    <row r="349" spans="1:10" x14ac:dyDescent="0.25">
      <c r="A349">
        <f ca="1">IF(_157721372917[[#This Row],[instance]]&lt;OFFSET(_157721372917[[#This Row],[instance]],-1,0), OFFSET(_157721372917[[#This Row],[model]],-1,0)+1, OFFSET(_157721372917[[#This Row],[model]],-1,0))</f>
        <v>4</v>
      </c>
      <c r="B349">
        <v>7</v>
      </c>
      <c r="C349" s="5">
        <v>1.0784722222222222E-3</v>
      </c>
      <c r="D349">
        <v>3.875</v>
      </c>
      <c r="E349">
        <v>4</v>
      </c>
      <c r="F349">
        <v>1</v>
      </c>
      <c r="G349" s="5">
        <v>5.324074074074074E-6</v>
      </c>
      <c r="H349" s="5">
        <v>6.94537037037037E-3</v>
      </c>
      <c r="I349" s="5">
        <v>6.94537037037037E-3</v>
      </c>
      <c r="J349" s="5">
        <v>5.324074074074074E-6</v>
      </c>
    </row>
    <row r="350" spans="1:10" x14ac:dyDescent="0.25">
      <c r="A350">
        <f ca="1">IF(_157721372917[[#This Row],[instance]]&lt;OFFSET(_157721372917[[#This Row],[instance]],-1,0), OFFSET(_157721372917[[#This Row],[model]],-1,0)+1, OFFSET(_157721372917[[#This Row],[model]],-1,0))</f>
        <v>4</v>
      </c>
      <c r="B350">
        <v>7</v>
      </c>
      <c r="C350" s="5">
        <v>1.2733796296296295E-3</v>
      </c>
      <c r="D350">
        <v>4</v>
      </c>
      <c r="E350">
        <v>4</v>
      </c>
      <c r="F350">
        <v>1</v>
      </c>
      <c r="G350" s="5">
        <v>5.324074074074074E-6</v>
      </c>
      <c r="H350" s="5">
        <v>6.94537037037037E-3</v>
      </c>
      <c r="I350" s="5">
        <v>6.94537037037037E-3</v>
      </c>
      <c r="J350" s="5">
        <v>5.324074074074074E-6</v>
      </c>
    </row>
    <row r="351" spans="1:10" x14ac:dyDescent="0.25">
      <c r="A351">
        <f ca="1">IF(_157721372917[[#This Row],[instance]]&lt;OFFSET(_157721372917[[#This Row],[instance]],-1,0), OFFSET(_157721372917[[#This Row],[model]],-1,0)+1, OFFSET(_157721372917[[#This Row],[model]],-1,0))</f>
        <v>4</v>
      </c>
      <c r="B351">
        <v>7</v>
      </c>
      <c r="C351" s="5">
        <v>1.6046296296296295E-3</v>
      </c>
      <c r="D351">
        <v>4.25</v>
      </c>
      <c r="E351">
        <v>4</v>
      </c>
      <c r="F351">
        <v>1</v>
      </c>
      <c r="G351" s="5">
        <v>5.324074074074074E-6</v>
      </c>
      <c r="H351" s="5">
        <v>6.94537037037037E-3</v>
      </c>
      <c r="I351" s="5">
        <v>6.94537037037037E-3</v>
      </c>
      <c r="J351" s="5">
        <v>5.324074074074074E-6</v>
      </c>
    </row>
    <row r="352" spans="1:10" x14ac:dyDescent="0.25">
      <c r="A352">
        <f ca="1">IF(_157721372917[[#This Row],[instance]]&lt;OFFSET(_157721372917[[#This Row],[instance]],-1,0), OFFSET(_157721372917[[#This Row],[model]],-1,0)+1, OFFSET(_157721372917[[#This Row],[model]],-1,0))</f>
        <v>4</v>
      </c>
      <c r="B352">
        <v>7</v>
      </c>
      <c r="C352" s="5">
        <v>3.48125E-3</v>
      </c>
      <c r="D352">
        <v>4.375</v>
      </c>
      <c r="E352">
        <v>5</v>
      </c>
      <c r="F352">
        <v>2</v>
      </c>
      <c r="G352" s="5">
        <v>5.324074074074074E-6</v>
      </c>
      <c r="H352" s="5">
        <v>6.94537037037037E-3</v>
      </c>
      <c r="I352" s="5">
        <v>6.94537037037037E-3</v>
      </c>
      <c r="J352" s="5">
        <v>5.324074074074074E-6</v>
      </c>
    </row>
    <row r="353" spans="1:10" x14ac:dyDescent="0.25">
      <c r="A353">
        <f ca="1">IF(_157721372917[[#This Row],[instance]]&lt;OFFSET(_157721372917[[#This Row],[instance]],-1,0), OFFSET(_157721372917[[#This Row],[model]],-1,0)+1, OFFSET(_157721372917[[#This Row],[model]],-1,0))</f>
        <v>4</v>
      </c>
      <c r="B353">
        <v>7</v>
      </c>
      <c r="C353" s="5">
        <v>6.651388888888889E-3</v>
      </c>
      <c r="D353">
        <v>4.625</v>
      </c>
      <c r="E353">
        <v>5</v>
      </c>
      <c r="F353">
        <v>2</v>
      </c>
      <c r="G353" s="5">
        <v>5.324074074074074E-6</v>
      </c>
      <c r="H353" s="5">
        <v>6.94537037037037E-3</v>
      </c>
      <c r="I353" s="5">
        <v>6.94537037037037E-3</v>
      </c>
      <c r="J353" s="5">
        <v>5.324074074074074E-6</v>
      </c>
    </row>
    <row r="354" spans="1:10" x14ac:dyDescent="0.25">
      <c r="A354">
        <f ca="1">IF(_157721372917[[#This Row],[instance]]&lt;OFFSET(_157721372917[[#This Row],[instance]],-1,0), OFFSET(_157721372917[[#This Row],[model]],-1,0)+1, OFFSET(_157721372917[[#This Row],[model]],-1,0))</f>
        <v>4</v>
      </c>
      <c r="B354">
        <v>8</v>
      </c>
      <c r="C354" s="5">
        <v>1.0069444444444445E-5</v>
      </c>
      <c r="D354">
        <v>0</v>
      </c>
      <c r="E354">
        <v>0</v>
      </c>
      <c r="F354">
        <v>0</v>
      </c>
      <c r="G354" s="5">
        <v>5.324074074074074E-6</v>
      </c>
      <c r="H354" s="5">
        <v>6.9451388888888887E-3</v>
      </c>
      <c r="I354" s="5">
        <v>6.94537037037037E-3</v>
      </c>
      <c r="J354" s="5">
        <v>5.324074074074074E-6</v>
      </c>
    </row>
    <row r="355" spans="1:10" x14ac:dyDescent="0.25">
      <c r="A355">
        <f ca="1">IF(_157721372917[[#This Row],[instance]]&lt;OFFSET(_157721372917[[#This Row],[instance]],-1,0), OFFSET(_157721372917[[#This Row],[model]],-1,0)+1, OFFSET(_157721372917[[#This Row],[model]],-1,0))</f>
        <v>4</v>
      </c>
      <c r="B355">
        <v>8</v>
      </c>
      <c r="C355" s="5">
        <v>1.099537037037037E-4</v>
      </c>
      <c r="D355">
        <v>1.5</v>
      </c>
      <c r="E355">
        <v>1</v>
      </c>
      <c r="F355">
        <v>1</v>
      </c>
      <c r="G355" s="5">
        <v>5.324074074074074E-6</v>
      </c>
      <c r="H355" s="5">
        <v>6.9451388888888887E-3</v>
      </c>
      <c r="I355" s="5">
        <v>6.94537037037037E-3</v>
      </c>
      <c r="J355" s="5">
        <v>5.324074074074074E-6</v>
      </c>
    </row>
    <row r="356" spans="1:10" x14ac:dyDescent="0.25">
      <c r="A356">
        <f ca="1">IF(_157721372917[[#This Row],[instance]]&lt;OFFSET(_157721372917[[#This Row],[instance]],-1,0), OFFSET(_157721372917[[#This Row],[model]],-1,0)+1, OFFSET(_157721372917[[#This Row],[model]],-1,0))</f>
        <v>4</v>
      </c>
      <c r="B356">
        <v>8</v>
      </c>
      <c r="C356" s="5">
        <v>1.1006944444444444E-4</v>
      </c>
      <c r="D356">
        <v>1.875</v>
      </c>
      <c r="E356">
        <v>4</v>
      </c>
      <c r="F356">
        <v>1</v>
      </c>
      <c r="G356" s="5">
        <v>5.324074074074074E-6</v>
      </c>
      <c r="H356" s="5">
        <v>6.9451388888888887E-3</v>
      </c>
      <c r="I356" s="5">
        <v>6.94537037037037E-3</v>
      </c>
      <c r="J356" s="5">
        <v>5.324074074074074E-6</v>
      </c>
    </row>
    <row r="357" spans="1:10" x14ac:dyDescent="0.25">
      <c r="A357">
        <f ca="1">IF(_157721372917[[#This Row],[instance]]&lt;OFFSET(_157721372917[[#This Row],[instance]],-1,0), OFFSET(_157721372917[[#This Row],[model]],-1,0)+1, OFFSET(_157721372917[[#This Row],[model]],-1,0))</f>
        <v>4</v>
      </c>
      <c r="B357">
        <v>8</v>
      </c>
      <c r="C357" s="5">
        <v>2.5347222222222221E-4</v>
      </c>
      <c r="D357">
        <v>2.25</v>
      </c>
      <c r="E357">
        <v>3</v>
      </c>
      <c r="F357">
        <v>1</v>
      </c>
      <c r="G357" s="5">
        <v>5.324074074074074E-6</v>
      </c>
      <c r="H357" s="5">
        <v>6.9451388888888887E-3</v>
      </c>
      <c r="I357" s="5">
        <v>6.94537037037037E-3</v>
      </c>
      <c r="J357" s="5">
        <v>5.324074074074074E-6</v>
      </c>
    </row>
    <row r="358" spans="1:10" x14ac:dyDescent="0.25">
      <c r="A358">
        <f ca="1">IF(_157721372917[[#This Row],[instance]]&lt;OFFSET(_157721372917[[#This Row],[instance]],-1,0), OFFSET(_157721372917[[#This Row],[model]],-1,0)+1, OFFSET(_157721372917[[#This Row],[model]],-1,0))</f>
        <v>4</v>
      </c>
      <c r="B358">
        <v>8</v>
      </c>
      <c r="C358" s="5">
        <v>2.5347222222222221E-4</v>
      </c>
      <c r="D358">
        <v>2.625</v>
      </c>
      <c r="E358">
        <v>5</v>
      </c>
      <c r="F358">
        <v>1</v>
      </c>
      <c r="G358" s="5">
        <v>5.324074074074074E-6</v>
      </c>
      <c r="H358" s="5">
        <v>6.9451388888888887E-3</v>
      </c>
      <c r="I358" s="5">
        <v>6.94537037037037E-3</v>
      </c>
      <c r="J358" s="5">
        <v>5.324074074074074E-6</v>
      </c>
    </row>
    <row r="359" spans="1:10" x14ac:dyDescent="0.25">
      <c r="A359">
        <f ca="1">IF(_157721372917[[#This Row],[instance]]&lt;OFFSET(_157721372917[[#This Row],[instance]],-1,0), OFFSET(_157721372917[[#This Row],[model]],-1,0)+1, OFFSET(_157721372917[[#This Row],[model]],-1,0))</f>
        <v>4</v>
      </c>
      <c r="B359">
        <v>8</v>
      </c>
      <c r="C359" s="5">
        <v>1.3865740740740739E-3</v>
      </c>
      <c r="D359">
        <v>3</v>
      </c>
      <c r="E359">
        <v>4</v>
      </c>
      <c r="F359">
        <v>1</v>
      </c>
      <c r="G359" s="5">
        <v>5.324074074074074E-6</v>
      </c>
      <c r="H359" s="5">
        <v>6.9451388888888887E-3</v>
      </c>
      <c r="I359" s="5">
        <v>6.94537037037037E-3</v>
      </c>
      <c r="J359" s="5">
        <v>5.324074074074074E-6</v>
      </c>
    </row>
    <row r="360" spans="1:10" x14ac:dyDescent="0.25">
      <c r="A360">
        <f ca="1">IF(_157721372917[[#This Row],[instance]]&lt;OFFSET(_157721372917[[#This Row],[instance]],-1,0), OFFSET(_157721372917[[#This Row],[model]],-1,0)+1, OFFSET(_157721372917[[#This Row],[model]],-1,0))</f>
        <v>4</v>
      </c>
      <c r="B360">
        <v>8</v>
      </c>
      <c r="C360" s="5">
        <v>1.3865740740740739E-3</v>
      </c>
      <c r="D360">
        <v>3.375</v>
      </c>
      <c r="E360">
        <v>6</v>
      </c>
      <c r="F360">
        <v>1</v>
      </c>
      <c r="G360" s="5">
        <v>5.324074074074074E-6</v>
      </c>
      <c r="H360" s="5">
        <v>6.9451388888888887E-3</v>
      </c>
      <c r="I360" s="5">
        <v>6.94537037037037E-3</v>
      </c>
      <c r="J360" s="5">
        <v>5.324074074074074E-6</v>
      </c>
    </row>
    <row r="361" spans="1:10" x14ac:dyDescent="0.25">
      <c r="A361">
        <f ca="1">IF(_157721372917[[#This Row],[instance]]&lt;OFFSET(_157721372917[[#This Row],[instance]],-1,0), OFFSET(_157721372917[[#This Row],[model]],-1,0)+1, OFFSET(_157721372917[[#This Row],[model]],-1,0))</f>
        <v>4</v>
      </c>
      <c r="B361">
        <v>9</v>
      </c>
      <c r="C361" s="5">
        <v>1.0648148148148148E-5</v>
      </c>
      <c r="D361">
        <v>0</v>
      </c>
      <c r="E361">
        <v>0</v>
      </c>
      <c r="F361">
        <v>0</v>
      </c>
      <c r="G361" s="5">
        <v>5.555555555555555E-6</v>
      </c>
      <c r="H361" s="5">
        <v>6.94537037037037E-3</v>
      </c>
      <c r="I361" s="5">
        <v>6.94537037037037E-3</v>
      </c>
      <c r="J361" s="5">
        <v>5.324074074074074E-6</v>
      </c>
    </row>
    <row r="362" spans="1:10" x14ac:dyDescent="0.25">
      <c r="A362">
        <f ca="1">IF(_157721372917[[#This Row],[instance]]&lt;OFFSET(_157721372917[[#This Row],[instance]],-1,0), OFFSET(_157721372917[[#This Row],[model]],-1,0)+1, OFFSET(_157721372917[[#This Row],[model]],-1,0))</f>
        <v>4</v>
      </c>
      <c r="B362">
        <v>10</v>
      </c>
      <c r="C362" s="5">
        <v>1.0185185185185185E-5</v>
      </c>
      <c r="D362">
        <v>0</v>
      </c>
      <c r="E362">
        <v>0</v>
      </c>
      <c r="F362">
        <v>0</v>
      </c>
      <c r="G362" s="5">
        <v>5.2083333333333332E-6</v>
      </c>
      <c r="H362" s="5">
        <v>6.94537037037037E-3</v>
      </c>
      <c r="I362" s="5">
        <v>6.94537037037037E-3</v>
      </c>
      <c r="J362" s="5">
        <v>5.324074074074074E-6</v>
      </c>
    </row>
    <row r="363" spans="1:10" x14ac:dyDescent="0.25">
      <c r="A363">
        <f ca="1">IF(_157721372917[[#This Row],[instance]]&lt;OFFSET(_157721372917[[#This Row],[instance]],-1,0), OFFSET(_157721372917[[#This Row],[model]],-1,0)+1, OFFSET(_157721372917[[#This Row],[model]],-1,0))</f>
        <v>4</v>
      </c>
      <c r="B363">
        <v>10</v>
      </c>
      <c r="C363" s="5">
        <v>1.0416666666666666E-5</v>
      </c>
      <c r="D363">
        <v>1.125</v>
      </c>
      <c r="E363">
        <v>3</v>
      </c>
      <c r="F363">
        <v>1</v>
      </c>
      <c r="G363" s="5">
        <v>5.2083333333333332E-6</v>
      </c>
      <c r="H363" s="5">
        <v>6.94537037037037E-3</v>
      </c>
      <c r="I363" s="5">
        <v>6.94537037037037E-3</v>
      </c>
      <c r="J363" s="5">
        <v>5.324074074074074E-6</v>
      </c>
    </row>
    <row r="364" spans="1:10" x14ac:dyDescent="0.25">
      <c r="A364">
        <f ca="1">IF(_157721372917[[#This Row],[instance]]&lt;OFFSET(_157721372917[[#This Row],[instance]],-1,0), OFFSET(_157721372917[[#This Row],[model]],-1,0)+1, OFFSET(_157721372917[[#This Row],[model]],-1,0))</f>
        <v>4</v>
      </c>
      <c r="B364">
        <v>10</v>
      </c>
      <c r="C364" s="5">
        <v>7.1643518518518519E-5</v>
      </c>
      <c r="D364">
        <v>1.5</v>
      </c>
      <c r="E364">
        <v>4</v>
      </c>
      <c r="F364">
        <v>1</v>
      </c>
      <c r="G364" s="5">
        <v>5.2083333333333332E-6</v>
      </c>
      <c r="H364" s="5">
        <v>6.94537037037037E-3</v>
      </c>
      <c r="I364" s="5">
        <v>6.94537037037037E-3</v>
      </c>
      <c r="J364" s="5">
        <v>5.324074074074074E-6</v>
      </c>
    </row>
    <row r="365" spans="1:10" x14ac:dyDescent="0.25">
      <c r="A365">
        <f ca="1">IF(_157721372917[[#This Row],[instance]]&lt;OFFSET(_157721372917[[#This Row],[instance]],-1,0), OFFSET(_157721372917[[#This Row],[model]],-1,0)+1, OFFSET(_157721372917[[#This Row],[model]],-1,0))</f>
        <v>4</v>
      </c>
      <c r="B365">
        <v>11</v>
      </c>
      <c r="C365" s="5">
        <v>9.9537037037037028E-6</v>
      </c>
      <c r="D365">
        <v>0</v>
      </c>
      <c r="E365">
        <v>0</v>
      </c>
      <c r="F365">
        <v>0</v>
      </c>
      <c r="G365" s="5">
        <v>5.324074074074074E-6</v>
      </c>
      <c r="H365" s="5">
        <v>6.9451388888888887E-3</v>
      </c>
      <c r="I365" s="5">
        <v>6.94537037037037E-3</v>
      </c>
      <c r="J365" s="5">
        <v>5.324074074074074E-6</v>
      </c>
    </row>
    <row r="366" spans="1:10" x14ac:dyDescent="0.25">
      <c r="A366">
        <f ca="1">IF(_157721372917[[#This Row],[instance]]&lt;OFFSET(_157721372917[[#This Row],[instance]],-1,0), OFFSET(_157721372917[[#This Row],[model]],-1,0)+1, OFFSET(_157721372917[[#This Row],[model]],-1,0))</f>
        <v>4</v>
      </c>
      <c r="B366">
        <v>11</v>
      </c>
      <c r="C366" s="5">
        <v>7.9166666666666662E-5</v>
      </c>
      <c r="D366">
        <v>1.5</v>
      </c>
      <c r="E366">
        <v>2</v>
      </c>
      <c r="F366">
        <v>1</v>
      </c>
      <c r="G366" s="5">
        <v>5.324074074074074E-6</v>
      </c>
      <c r="H366" s="5">
        <v>6.9451388888888887E-3</v>
      </c>
      <c r="I366" s="5">
        <v>6.94537037037037E-3</v>
      </c>
      <c r="J366" s="5">
        <v>5.324074074074074E-6</v>
      </c>
    </row>
    <row r="367" spans="1:10" x14ac:dyDescent="0.25">
      <c r="A367">
        <f ca="1">IF(_157721372917[[#This Row],[instance]]&lt;OFFSET(_157721372917[[#This Row],[instance]],-1,0), OFFSET(_157721372917[[#This Row],[model]],-1,0)+1, OFFSET(_157721372917[[#This Row],[model]],-1,0))</f>
        <v>4</v>
      </c>
      <c r="B367">
        <v>11</v>
      </c>
      <c r="C367" s="5">
        <v>8.0555555555555556E-5</v>
      </c>
      <c r="D367">
        <v>2.25</v>
      </c>
      <c r="E367">
        <v>3</v>
      </c>
      <c r="F367">
        <v>1</v>
      </c>
      <c r="G367" s="5">
        <v>5.324074074074074E-6</v>
      </c>
      <c r="H367" s="5">
        <v>6.9451388888888887E-3</v>
      </c>
      <c r="I367" s="5">
        <v>6.94537037037037E-3</v>
      </c>
      <c r="J367" s="5">
        <v>5.324074074074074E-6</v>
      </c>
    </row>
    <row r="368" spans="1:10" x14ac:dyDescent="0.25">
      <c r="A368">
        <f ca="1">IF(_157721372917[[#This Row],[instance]]&lt;OFFSET(_157721372917[[#This Row],[instance]],-1,0), OFFSET(_157721372917[[#This Row],[model]],-1,0)+1, OFFSET(_157721372917[[#This Row],[model]],-1,0))</f>
        <v>4</v>
      </c>
      <c r="B368">
        <v>11</v>
      </c>
      <c r="C368" s="5">
        <v>1.2326388888888887E-4</v>
      </c>
      <c r="D368">
        <v>2.5</v>
      </c>
      <c r="E368">
        <v>3</v>
      </c>
      <c r="F368">
        <v>1</v>
      </c>
      <c r="G368" s="5">
        <v>5.324074074074074E-6</v>
      </c>
      <c r="H368" s="5">
        <v>6.9451388888888887E-3</v>
      </c>
      <c r="I368" s="5">
        <v>6.94537037037037E-3</v>
      </c>
      <c r="J368" s="5">
        <v>5.324074074074074E-6</v>
      </c>
    </row>
    <row r="369" spans="1:10" x14ac:dyDescent="0.25">
      <c r="A369">
        <f ca="1">IF(_157721372917[[#This Row],[instance]]&lt;OFFSET(_157721372917[[#This Row],[instance]],-1,0), OFFSET(_157721372917[[#This Row],[model]],-1,0)+1, OFFSET(_157721372917[[#This Row],[model]],-1,0))</f>
        <v>4</v>
      </c>
      <c r="B369">
        <v>11</v>
      </c>
      <c r="C369" s="5">
        <v>1.4699074074074075E-4</v>
      </c>
      <c r="D369">
        <v>3.25</v>
      </c>
      <c r="E369">
        <v>4</v>
      </c>
      <c r="F369">
        <v>1</v>
      </c>
      <c r="G369" s="5">
        <v>5.324074074074074E-6</v>
      </c>
      <c r="H369" s="5">
        <v>6.9451388888888887E-3</v>
      </c>
      <c r="I369" s="5">
        <v>6.94537037037037E-3</v>
      </c>
      <c r="J369" s="5">
        <v>5.324074074074074E-6</v>
      </c>
    </row>
    <row r="370" spans="1:10" x14ac:dyDescent="0.25">
      <c r="A370">
        <f ca="1">IF(_157721372917[[#This Row],[instance]]&lt;OFFSET(_157721372917[[#This Row],[instance]],-1,0), OFFSET(_157721372917[[#This Row],[model]],-1,0)+1, OFFSET(_157721372917[[#This Row],[model]],-1,0))</f>
        <v>4</v>
      </c>
      <c r="B370">
        <v>11</v>
      </c>
      <c r="C370" s="5">
        <v>7.7476851851851849E-4</v>
      </c>
      <c r="D370">
        <v>3.5</v>
      </c>
      <c r="E370">
        <v>4</v>
      </c>
      <c r="F370">
        <v>1</v>
      </c>
      <c r="G370" s="5">
        <v>5.324074074074074E-6</v>
      </c>
      <c r="H370" s="5">
        <v>6.9451388888888887E-3</v>
      </c>
      <c r="I370" s="5">
        <v>6.94537037037037E-3</v>
      </c>
      <c r="J370" s="5">
        <v>5.324074074074074E-6</v>
      </c>
    </row>
    <row r="371" spans="1:10" x14ac:dyDescent="0.25">
      <c r="A371">
        <f ca="1">IF(_157721372917[[#This Row],[instance]]&lt;OFFSET(_157721372917[[#This Row],[instance]],-1,0), OFFSET(_157721372917[[#This Row],[model]],-1,0)+1, OFFSET(_157721372917[[#This Row],[model]],-1,0))</f>
        <v>4</v>
      </c>
      <c r="B371">
        <v>11</v>
      </c>
      <c r="C371" s="5">
        <v>1.8968749999999999E-3</v>
      </c>
      <c r="D371">
        <v>4.25</v>
      </c>
      <c r="E371">
        <v>5</v>
      </c>
      <c r="F371">
        <v>2</v>
      </c>
      <c r="G371" s="5">
        <v>5.324074074074074E-6</v>
      </c>
      <c r="H371" s="5">
        <v>6.9451388888888887E-3</v>
      </c>
      <c r="I371" s="5">
        <v>6.94537037037037E-3</v>
      </c>
      <c r="J371" s="5">
        <v>5.324074074074074E-6</v>
      </c>
    </row>
    <row r="372" spans="1:10" x14ac:dyDescent="0.25">
      <c r="A372">
        <f ca="1">IF(_157721372917[[#This Row],[instance]]&lt;OFFSET(_157721372917[[#This Row],[instance]],-1,0), OFFSET(_157721372917[[#This Row],[model]],-1,0)+1, OFFSET(_157721372917[[#This Row],[model]],-1,0))</f>
        <v>4</v>
      </c>
      <c r="B372">
        <v>12</v>
      </c>
      <c r="C372" s="5">
        <v>1.0416666666666666E-5</v>
      </c>
      <c r="D372">
        <v>0</v>
      </c>
      <c r="E372">
        <v>0</v>
      </c>
      <c r="F372">
        <v>0</v>
      </c>
      <c r="G372" s="5">
        <v>5.324074074074074E-6</v>
      </c>
      <c r="H372" s="5">
        <v>6.94537037037037E-3</v>
      </c>
      <c r="I372" s="5">
        <v>6.94537037037037E-3</v>
      </c>
      <c r="J372" s="5">
        <v>5.324074074074074E-6</v>
      </c>
    </row>
    <row r="373" spans="1:10" x14ac:dyDescent="0.25">
      <c r="A373">
        <f ca="1">IF(_157721372917[[#This Row],[instance]]&lt;OFFSET(_157721372917[[#This Row],[instance]],-1,0), OFFSET(_157721372917[[#This Row],[model]],-1,0)+1, OFFSET(_157721372917[[#This Row],[model]],-1,0))</f>
        <v>4</v>
      </c>
      <c r="B373">
        <v>12</v>
      </c>
      <c r="C373" s="5">
        <v>1.0416666666666666E-5</v>
      </c>
      <c r="D373">
        <v>1.125</v>
      </c>
      <c r="E373">
        <v>3</v>
      </c>
      <c r="F373">
        <v>1</v>
      </c>
      <c r="G373" s="5">
        <v>5.324074074074074E-6</v>
      </c>
      <c r="H373" s="5">
        <v>6.94537037037037E-3</v>
      </c>
      <c r="I373" s="5">
        <v>6.94537037037037E-3</v>
      </c>
      <c r="J373" s="5">
        <v>5.324074074074074E-6</v>
      </c>
    </row>
    <row r="374" spans="1:10" x14ac:dyDescent="0.25">
      <c r="A374">
        <f ca="1">IF(_157721372917[[#This Row],[instance]]&lt;OFFSET(_157721372917[[#This Row],[instance]],-1,0), OFFSET(_157721372917[[#This Row],[model]],-1,0)+1, OFFSET(_157721372917[[#This Row],[model]],-1,0))</f>
        <v>4</v>
      </c>
      <c r="B374">
        <v>12</v>
      </c>
      <c r="C374" s="5">
        <v>1.0532407407407406E-5</v>
      </c>
      <c r="D374">
        <v>1.5</v>
      </c>
      <c r="E374">
        <v>4</v>
      </c>
      <c r="F374">
        <v>1</v>
      </c>
      <c r="G374" s="5">
        <v>5.324074074074074E-6</v>
      </c>
      <c r="H374" s="5">
        <v>6.94537037037037E-3</v>
      </c>
      <c r="I374" s="5">
        <v>6.94537037037037E-3</v>
      </c>
      <c r="J374" s="5">
        <v>5.324074074074074E-6</v>
      </c>
    </row>
    <row r="375" spans="1:10" x14ac:dyDescent="0.25">
      <c r="A375">
        <f ca="1">IF(_157721372917[[#This Row],[instance]]&lt;OFFSET(_157721372917[[#This Row],[instance]],-1,0), OFFSET(_157721372917[[#This Row],[model]],-1,0)+1, OFFSET(_157721372917[[#This Row],[model]],-1,0))</f>
        <v>4</v>
      </c>
      <c r="B375">
        <v>13</v>
      </c>
      <c r="C375" s="5">
        <v>1.0300925925925926E-5</v>
      </c>
      <c r="D375">
        <v>0</v>
      </c>
      <c r="E375">
        <v>0</v>
      </c>
      <c r="F375">
        <v>0</v>
      </c>
      <c r="G375" s="5">
        <v>5.324074074074074E-6</v>
      </c>
      <c r="H375" s="5">
        <v>6.94537037037037E-3</v>
      </c>
      <c r="I375" s="5">
        <v>6.94537037037037E-3</v>
      </c>
      <c r="J375" s="5">
        <v>5.324074074074074E-6</v>
      </c>
    </row>
    <row r="376" spans="1:10" x14ac:dyDescent="0.25">
      <c r="A376">
        <f ca="1">IF(_157721372917[[#This Row],[instance]]&lt;OFFSET(_157721372917[[#This Row],[instance]],-1,0), OFFSET(_157721372917[[#This Row],[model]],-1,0)+1, OFFSET(_157721372917[[#This Row],[model]],-1,0))</f>
        <v>4</v>
      </c>
      <c r="B376">
        <v>13</v>
      </c>
      <c r="C376" s="5">
        <v>1.0300925925925926E-5</v>
      </c>
      <c r="D376">
        <v>1.125</v>
      </c>
      <c r="E376">
        <v>3</v>
      </c>
      <c r="F376">
        <v>1</v>
      </c>
      <c r="G376" s="5">
        <v>5.324074074074074E-6</v>
      </c>
      <c r="H376" s="5">
        <v>6.94537037037037E-3</v>
      </c>
      <c r="I376" s="5">
        <v>6.94537037037037E-3</v>
      </c>
      <c r="J376" s="5">
        <v>5.324074074074074E-6</v>
      </c>
    </row>
    <row r="377" spans="1:10" x14ac:dyDescent="0.25">
      <c r="A377">
        <f ca="1">IF(_157721372917[[#This Row],[instance]]&lt;OFFSET(_157721372917[[#This Row],[instance]],-1,0), OFFSET(_157721372917[[#This Row],[model]],-1,0)+1, OFFSET(_157721372917[[#This Row],[model]],-1,0))</f>
        <v>4</v>
      </c>
      <c r="B377">
        <v>14</v>
      </c>
      <c r="C377" s="5">
        <v>1.0300925925925926E-5</v>
      </c>
      <c r="D377">
        <v>0</v>
      </c>
      <c r="E377">
        <v>0</v>
      </c>
      <c r="F377">
        <v>0</v>
      </c>
      <c r="G377" s="5">
        <v>5.2083333333333332E-6</v>
      </c>
      <c r="H377" s="5">
        <v>6.94537037037037E-3</v>
      </c>
      <c r="I377" s="5">
        <v>6.94537037037037E-3</v>
      </c>
      <c r="J377" s="5">
        <v>5.324074074074074E-6</v>
      </c>
    </row>
    <row r="378" spans="1:10" x14ac:dyDescent="0.25">
      <c r="A378">
        <f ca="1">IF(_157721372917[[#This Row],[instance]]&lt;OFFSET(_157721372917[[#This Row],[instance]],-1,0), OFFSET(_157721372917[[#This Row],[model]],-1,0)+1, OFFSET(_157721372917[[#This Row],[model]],-1,0))</f>
        <v>4</v>
      </c>
      <c r="B378">
        <v>14</v>
      </c>
      <c r="C378" s="5">
        <v>1.0856481481481481E-4</v>
      </c>
      <c r="D378">
        <v>1.5</v>
      </c>
      <c r="E378">
        <v>1</v>
      </c>
      <c r="F378">
        <v>1</v>
      </c>
      <c r="G378" s="5">
        <v>5.2083333333333332E-6</v>
      </c>
      <c r="H378" s="5">
        <v>6.94537037037037E-3</v>
      </c>
      <c r="I378" s="5">
        <v>6.94537037037037E-3</v>
      </c>
      <c r="J378" s="5">
        <v>5.324074074074074E-6</v>
      </c>
    </row>
    <row r="379" spans="1:10" x14ac:dyDescent="0.25">
      <c r="A379">
        <f ca="1">IF(_157721372917[[#This Row],[instance]]&lt;OFFSET(_157721372917[[#This Row],[instance]],-1,0), OFFSET(_157721372917[[#This Row],[model]],-1,0)+1, OFFSET(_157721372917[[#This Row],[model]],-1,0))</f>
        <v>4</v>
      </c>
      <c r="B379">
        <v>14</v>
      </c>
      <c r="C379" s="5">
        <v>1.0856481481481481E-4</v>
      </c>
      <c r="D379">
        <v>3</v>
      </c>
      <c r="E379">
        <v>1</v>
      </c>
      <c r="F379">
        <v>1</v>
      </c>
      <c r="G379" s="5">
        <v>5.2083333333333332E-6</v>
      </c>
      <c r="H379" s="5">
        <v>6.94537037037037E-3</v>
      </c>
      <c r="I379" s="5">
        <v>6.94537037037037E-3</v>
      </c>
      <c r="J379" s="5">
        <v>5.324074074074074E-6</v>
      </c>
    </row>
    <row r="380" spans="1:10" x14ac:dyDescent="0.25">
      <c r="A380">
        <f ca="1">IF(_157721372917[[#This Row],[instance]]&lt;OFFSET(_157721372917[[#This Row],[instance]],-1,0), OFFSET(_157721372917[[#This Row],[model]],-1,0)+1, OFFSET(_157721372917[[#This Row],[model]],-1,0))</f>
        <v>4</v>
      </c>
      <c r="B380">
        <v>14</v>
      </c>
      <c r="C380" s="5">
        <v>3.2777777777777775E-4</v>
      </c>
      <c r="D380">
        <v>3.375</v>
      </c>
      <c r="E380">
        <v>3</v>
      </c>
      <c r="F380">
        <v>1</v>
      </c>
      <c r="G380" s="5">
        <v>5.2083333333333332E-6</v>
      </c>
      <c r="H380" s="5">
        <v>6.94537037037037E-3</v>
      </c>
      <c r="I380" s="5">
        <v>6.94537037037037E-3</v>
      </c>
      <c r="J380" s="5">
        <v>5.324074074074074E-6</v>
      </c>
    </row>
    <row r="381" spans="1:10" x14ac:dyDescent="0.25">
      <c r="A381">
        <f ca="1">IF(_157721372917[[#This Row],[instance]]&lt;OFFSET(_157721372917[[#This Row],[instance]],-1,0), OFFSET(_157721372917[[#This Row],[model]],-1,0)+1, OFFSET(_157721372917[[#This Row],[model]],-1,0))</f>
        <v>4</v>
      </c>
      <c r="B381">
        <v>14</v>
      </c>
      <c r="C381" s="5">
        <v>7.6504629629629622E-4</v>
      </c>
      <c r="D381">
        <v>4.5</v>
      </c>
      <c r="E381">
        <v>2</v>
      </c>
      <c r="F381">
        <v>2</v>
      </c>
      <c r="G381" s="5">
        <v>5.2083333333333332E-6</v>
      </c>
      <c r="H381" s="5">
        <v>6.94537037037037E-3</v>
      </c>
      <c r="I381" s="5">
        <v>6.94537037037037E-3</v>
      </c>
      <c r="J381" s="5">
        <v>5.324074074074074E-6</v>
      </c>
    </row>
    <row r="382" spans="1:10" x14ac:dyDescent="0.25">
      <c r="A382">
        <f ca="1">IF(_157721372917[[#This Row],[instance]]&lt;OFFSET(_157721372917[[#This Row],[instance]],-1,0), OFFSET(_157721372917[[#This Row],[model]],-1,0)+1, OFFSET(_157721372917[[#This Row],[model]],-1,0))</f>
        <v>4</v>
      </c>
      <c r="B382">
        <v>14</v>
      </c>
      <c r="C382" s="5">
        <v>8.6365740740740739E-4</v>
      </c>
      <c r="D382">
        <v>4.875</v>
      </c>
      <c r="E382">
        <v>3</v>
      </c>
      <c r="F382">
        <v>2</v>
      </c>
      <c r="G382" s="5">
        <v>5.2083333333333332E-6</v>
      </c>
      <c r="H382" s="5">
        <v>6.94537037037037E-3</v>
      </c>
      <c r="I382" s="5">
        <v>6.94537037037037E-3</v>
      </c>
      <c r="J382" s="5">
        <v>5.324074074074074E-6</v>
      </c>
    </row>
    <row r="383" spans="1:10" x14ac:dyDescent="0.25">
      <c r="A383">
        <f ca="1">IF(_157721372917[[#This Row],[instance]]&lt;OFFSET(_157721372917[[#This Row],[instance]],-1,0), OFFSET(_157721372917[[#This Row],[model]],-1,0)+1, OFFSET(_157721372917[[#This Row],[model]],-1,0))</f>
        <v>4</v>
      </c>
      <c r="B383">
        <v>14</v>
      </c>
      <c r="C383" s="5">
        <v>2.4574074074074073E-3</v>
      </c>
      <c r="D383">
        <v>5.25</v>
      </c>
      <c r="E383">
        <v>4</v>
      </c>
      <c r="F383">
        <v>2</v>
      </c>
      <c r="G383" s="5">
        <v>5.2083333333333332E-6</v>
      </c>
      <c r="H383" s="5">
        <v>6.94537037037037E-3</v>
      </c>
      <c r="I383" s="5">
        <v>6.94537037037037E-3</v>
      </c>
      <c r="J383" s="5">
        <v>5.324074074074074E-6</v>
      </c>
    </row>
    <row r="384" spans="1:10" x14ac:dyDescent="0.25">
      <c r="A384">
        <f ca="1">IF(_157721372917[[#This Row],[instance]]&lt;OFFSET(_157721372917[[#This Row],[instance]],-1,0), OFFSET(_157721372917[[#This Row],[model]],-1,0)+1, OFFSET(_157721372917[[#This Row],[model]],-1,0))</f>
        <v>4</v>
      </c>
      <c r="B384">
        <v>15</v>
      </c>
      <c r="C384" s="5">
        <v>1.0300925925925926E-5</v>
      </c>
      <c r="D384">
        <v>0</v>
      </c>
      <c r="E384">
        <v>0</v>
      </c>
      <c r="F384">
        <v>0</v>
      </c>
      <c r="G384" s="5">
        <v>5.324074074074074E-6</v>
      </c>
      <c r="H384" s="5">
        <v>6.94537037037037E-3</v>
      </c>
      <c r="I384" s="5">
        <v>6.94537037037037E-3</v>
      </c>
      <c r="J384" s="5">
        <v>5.324074074074074E-6</v>
      </c>
    </row>
    <row r="385" spans="1:10" x14ac:dyDescent="0.25">
      <c r="A385">
        <f ca="1">IF(_157721372917[[#This Row],[instance]]&lt;OFFSET(_157721372917[[#This Row],[instance]],-1,0), OFFSET(_157721372917[[#This Row],[model]],-1,0)+1, OFFSET(_157721372917[[#This Row],[model]],-1,0))</f>
        <v>4</v>
      </c>
      <c r="B385">
        <v>15</v>
      </c>
      <c r="C385" s="5">
        <v>8.6111111111111105E-5</v>
      </c>
      <c r="D385">
        <v>1.125</v>
      </c>
      <c r="E385">
        <v>3</v>
      </c>
      <c r="F385">
        <v>1</v>
      </c>
      <c r="G385" s="5">
        <v>5.324074074074074E-6</v>
      </c>
      <c r="H385" s="5">
        <v>6.94537037037037E-3</v>
      </c>
      <c r="I385" s="5">
        <v>6.94537037037037E-3</v>
      </c>
      <c r="J385" s="5">
        <v>5.324074074074074E-6</v>
      </c>
    </row>
    <row r="386" spans="1:10" x14ac:dyDescent="0.25">
      <c r="A386">
        <f ca="1">IF(_157721372917[[#This Row],[instance]]&lt;OFFSET(_157721372917[[#This Row],[instance]],-1,0), OFFSET(_157721372917[[#This Row],[model]],-1,0)+1, OFFSET(_157721372917[[#This Row],[model]],-1,0))</f>
        <v>4</v>
      </c>
      <c r="B386">
        <v>15</v>
      </c>
      <c r="C386" s="5">
        <v>8.6226851851851845E-5</v>
      </c>
      <c r="D386">
        <v>1.375</v>
      </c>
      <c r="E386">
        <v>2</v>
      </c>
      <c r="F386">
        <v>1</v>
      </c>
      <c r="G386" s="5">
        <v>5.324074074074074E-6</v>
      </c>
      <c r="H386" s="5">
        <v>6.94537037037037E-3</v>
      </c>
      <c r="I386" s="5">
        <v>6.94537037037037E-3</v>
      </c>
      <c r="J386" s="5">
        <v>5.324074074074074E-6</v>
      </c>
    </row>
    <row r="387" spans="1:10" x14ac:dyDescent="0.25">
      <c r="A387">
        <f ca="1">IF(_157721372917[[#This Row],[instance]]&lt;OFFSET(_157721372917[[#This Row],[instance]],-1,0), OFFSET(_157721372917[[#This Row],[model]],-1,0)+1, OFFSET(_157721372917[[#This Row],[model]],-1,0))</f>
        <v>4</v>
      </c>
      <c r="B387">
        <v>15</v>
      </c>
      <c r="C387" s="5">
        <v>9.1203703703703694E-5</v>
      </c>
      <c r="D387">
        <v>1.5</v>
      </c>
      <c r="E387">
        <v>4</v>
      </c>
      <c r="F387">
        <v>1</v>
      </c>
      <c r="G387" s="5">
        <v>5.324074074074074E-6</v>
      </c>
      <c r="H387" s="5">
        <v>6.94537037037037E-3</v>
      </c>
      <c r="I387" s="5">
        <v>6.94537037037037E-3</v>
      </c>
      <c r="J387" s="5">
        <v>5.324074074074074E-6</v>
      </c>
    </row>
    <row r="388" spans="1:10" x14ac:dyDescent="0.25">
      <c r="A388">
        <f ca="1">IF(_157721372917[[#This Row],[instance]]&lt;OFFSET(_157721372917[[#This Row],[instance]],-1,0), OFFSET(_157721372917[[#This Row],[model]],-1,0)+1, OFFSET(_157721372917[[#This Row],[model]],-1,0))</f>
        <v>4</v>
      </c>
      <c r="B388">
        <v>15</v>
      </c>
      <c r="C388" s="5">
        <v>1.1643518518518519E-4</v>
      </c>
      <c r="D388">
        <v>1.875</v>
      </c>
      <c r="E388">
        <v>5</v>
      </c>
      <c r="F388">
        <v>1</v>
      </c>
      <c r="G388" s="5">
        <v>5.324074074074074E-6</v>
      </c>
      <c r="H388" s="5">
        <v>6.94537037037037E-3</v>
      </c>
      <c r="I388" s="5">
        <v>6.94537037037037E-3</v>
      </c>
      <c r="J388" s="5">
        <v>5.324074074074074E-6</v>
      </c>
    </row>
    <row r="389" spans="1:10" x14ac:dyDescent="0.25">
      <c r="A389">
        <f ca="1">IF(_157721372917[[#This Row],[instance]]&lt;OFFSET(_157721372917[[#This Row],[instance]],-1,0), OFFSET(_157721372917[[#This Row],[model]],-1,0)+1, OFFSET(_157721372917[[#This Row],[model]],-1,0))</f>
        <v>4</v>
      </c>
      <c r="B389">
        <v>15</v>
      </c>
      <c r="C389" s="5">
        <v>8.4201388888888889E-4</v>
      </c>
      <c r="D389">
        <v>2</v>
      </c>
      <c r="E389">
        <v>2</v>
      </c>
      <c r="F389">
        <v>1</v>
      </c>
      <c r="G389" s="5">
        <v>5.324074074074074E-6</v>
      </c>
      <c r="H389" s="5">
        <v>6.94537037037037E-3</v>
      </c>
      <c r="I389" s="5">
        <v>6.94537037037037E-3</v>
      </c>
      <c r="J389" s="5">
        <v>5.324074074074074E-6</v>
      </c>
    </row>
    <row r="390" spans="1:10" x14ac:dyDescent="0.25">
      <c r="A390">
        <f ca="1">IF(_157721372917[[#This Row],[instance]]&lt;OFFSET(_157721372917[[#This Row],[instance]],-1,0), OFFSET(_157721372917[[#This Row],[model]],-1,0)+1, OFFSET(_157721372917[[#This Row],[model]],-1,0))</f>
        <v>4</v>
      </c>
      <c r="B390">
        <v>15</v>
      </c>
      <c r="C390" s="5">
        <v>1.1755787037037036E-3</v>
      </c>
      <c r="D390">
        <v>2.125</v>
      </c>
      <c r="E390">
        <v>4</v>
      </c>
      <c r="F390">
        <v>1</v>
      </c>
      <c r="G390" s="5">
        <v>5.324074074074074E-6</v>
      </c>
      <c r="H390" s="5">
        <v>6.94537037037037E-3</v>
      </c>
      <c r="I390" s="5">
        <v>6.94537037037037E-3</v>
      </c>
      <c r="J390" s="5">
        <v>5.324074074074074E-6</v>
      </c>
    </row>
    <row r="391" spans="1:10" x14ac:dyDescent="0.25">
      <c r="A391">
        <f ca="1">IF(_157721372917[[#This Row],[instance]]&lt;OFFSET(_157721372917[[#This Row],[instance]],-1,0), OFFSET(_157721372917[[#This Row],[model]],-1,0)+1, OFFSET(_157721372917[[#This Row],[model]],-1,0))</f>
        <v>4</v>
      </c>
      <c r="B391">
        <v>15</v>
      </c>
      <c r="C391" s="5">
        <v>4.6456018518518513E-3</v>
      </c>
      <c r="D391">
        <v>2.375</v>
      </c>
      <c r="E391">
        <v>3</v>
      </c>
      <c r="F391">
        <v>1</v>
      </c>
      <c r="G391" s="5">
        <v>5.324074074074074E-6</v>
      </c>
      <c r="H391" s="5">
        <v>6.94537037037037E-3</v>
      </c>
      <c r="I391" s="5">
        <v>6.94537037037037E-3</v>
      </c>
      <c r="J391" s="5">
        <v>5.324074074074074E-6</v>
      </c>
    </row>
    <row r="392" spans="1:10" x14ac:dyDescent="0.25">
      <c r="A392">
        <f ca="1">IF(_157721372917[[#This Row],[instance]]&lt;OFFSET(_157721372917[[#This Row],[instance]],-1,0), OFFSET(_157721372917[[#This Row],[model]],-1,0)+1, OFFSET(_157721372917[[#This Row],[model]],-1,0))</f>
        <v>4</v>
      </c>
      <c r="B392">
        <v>15</v>
      </c>
      <c r="C392" s="5">
        <v>6.3581018518518518E-3</v>
      </c>
      <c r="D392">
        <v>2.5</v>
      </c>
      <c r="E392">
        <v>5</v>
      </c>
      <c r="F392">
        <v>1</v>
      </c>
      <c r="G392" s="5">
        <v>5.324074074074074E-6</v>
      </c>
      <c r="H392" s="5">
        <v>6.94537037037037E-3</v>
      </c>
      <c r="I392" s="5">
        <v>6.94537037037037E-3</v>
      </c>
      <c r="J392" s="5">
        <v>5.324074074074074E-6</v>
      </c>
    </row>
    <row r="393" spans="1:10" x14ac:dyDescent="0.25">
      <c r="A393">
        <f ca="1">IF(_157721372917[[#This Row],[instance]]&lt;OFFSET(_157721372917[[#This Row],[instance]],-1,0), OFFSET(_157721372917[[#This Row],[model]],-1,0)+1, OFFSET(_157721372917[[#This Row],[model]],-1,0))</f>
        <v>4</v>
      </c>
      <c r="B393">
        <v>15</v>
      </c>
      <c r="C393" s="5">
        <v>6.3665509259259257E-3</v>
      </c>
      <c r="D393">
        <v>2.875</v>
      </c>
      <c r="E393">
        <v>6</v>
      </c>
      <c r="F393">
        <v>1</v>
      </c>
      <c r="G393" s="5">
        <v>5.324074074074074E-6</v>
      </c>
      <c r="H393" s="5">
        <v>6.94537037037037E-3</v>
      </c>
      <c r="I393" s="5">
        <v>6.94537037037037E-3</v>
      </c>
      <c r="J393" s="5">
        <v>5.324074074074074E-6</v>
      </c>
    </row>
    <row r="394" spans="1:10" x14ac:dyDescent="0.25">
      <c r="A394">
        <f ca="1">IF(_157721372917[[#This Row],[instance]]&lt;OFFSET(_157721372917[[#This Row],[instance]],-1,0), OFFSET(_157721372917[[#This Row],[model]],-1,0)+1, OFFSET(_157721372917[[#This Row],[model]],-1,0))</f>
        <v>5</v>
      </c>
      <c r="B394">
        <v>1</v>
      </c>
      <c r="C394" s="5">
        <v>7.1759259259259257E-6</v>
      </c>
      <c r="D394">
        <v>0</v>
      </c>
      <c r="E394">
        <v>0</v>
      </c>
      <c r="F394">
        <v>0</v>
      </c>
      <c r="G394" s="5">
        <v>3.472222222222222E-6</v>
      </c>
      <c r="H394" s="5">
        <v>6.944791666666666E-3</v>
      </c>
      <c r="I394" s="5">
        <v>4.2189814814814815E-3</v>
      </c>
      <c r="J394" s="5">
        <v>3.1249999999999997E-6</v>
      </c>
    </row>
    <row r="395" spans="1:10" x14ac:dyDescent="0.25">
      <c r="A395">
        <f ca="1">IF(_157721372917[[#This Row],[instance]]&lt;OFFSET(_157721372917[[#This Row],[instance]],-1,0), OFFSET(_157721372917[[#This Row],[model]],-1,0)+1, OFFSET(_157721372917[[#This Row],[model]],-1,0))</f>
        <v>5</v>
      </c>
      <c r="B395">
        <v>1</v>
      </c>
      <c r="C395" s="5">
        <v>7.2916666666666666E-6</v>
      </c>
      <c r="D395">
        <v>3</v>
      </c>
      <c r="E395">
        <v>1</v>
      </c>
      <c r="F395">
        <v>1</v>
      </c>
      <c r="G395" s="5">
        <v>3.472222222222222E-6</v>
      </c>
      <c r="H395" s="5">
        <v>6.944791666666666E-3</v>
      </c>
      <c r="I395" s="5">
        <v>4.2189814814814815E-3</v>
      </c>
      <c r="J395" s="5">
        <v>3.1249999999999997E-6</v>
      </c>
    </row>
    <row r="396" spans="1:10" x14ac:dyDescent="0.25">
      <c r="A396">
        <f ca="1">IF(_157721372917[[#This Row],[instance]]&lt;OFFSET(_157721372917[[#This Row],[instance]],-1,0), OFFSET(_157721372917[[#This Row],[model]],-1,0)+1, OFFSET(_157721372917[[#This Row],[model]],-1,0))</f>
        <v>5</v>
      </c>
      <c r="B396">
        <v>1</v>
      </c>
      <c r="C396" s="5">
        <v>7.4074074074074075E-6</v>
      </c>
      <c r="D396">
        <v>6</v>
      </c>
      <c r="E396">
        <v>2</v>
      </c>
      <c r="F396">
        <v>2</v>
      </c>
      <c r="G396" s="5">
        <v>3.472222222222222E-6</v>
      </c>
      <c r="H396" s="5">
        <v>6.944791666666666E-3</v>
      </c>
      <c r="I396" s="5">
        <v>4.2189814814814815E-3</v>
      </c>
      <c r="J396" s="5">
        <v>3.1249999999999997E-6</v>
      </c>
    </row>
    <row r="397" spans="1:10" x14ac:dyDescent="0.25">
      <c r="A397">
        <f ca="1">IF(_157721372917[[#This Row],[instance]]&lt;OFFSET(_157721372917[[#This Row],[instance]],-1,0), OFFSET(_157721372917[[#This Row],[model]],-1,0)+1, OFFSET(_157721372917[[#This Row],[model]],-1,0))</f>
        <v>5</v>
      </c>
      <c r="B397">
        <v>1</v>
      </c>
      <c r="C397" s="5">
        <v>7.4074074074074075E-6</v>
      </c>
      <c r="D397">
        <v>9</v>
      </c>
      <c r="E397">
        <v>3</v>
      </c>
      <c r="F397">
        <v>3</v>
      </c>
      <c r="G397" s="5">
        <v>3.472222222222222E-6</v>
      </c>
      <c r="H397" s="5">
        <v>6.944791666666666E-3</v>
      </c>
      <c r="I397" s="5">
        <v>4.2189814814814815E-3</v>
      </c>
      <c r="J397" s="5">
        <v>3.1249999999999997E-6</v>
      </c>
    </row>
    <row r="398" spans="1:10" x14ac:dyDescent="0.25">
      <c r="A398">
        <f ca="1">IF(_157721372917[[#This Row],[instance]]&lt;OFFSET(_157721372917[[#This Row],[instance]],-1,0), OFFSET(_157721372917[[#This Row],[model]],-1,0)+1, OFFSET(_157721372917[[#This Row],[model]],-1,0))</f>
        <v>5</v>
      </c>
      <c r="B398">
        <v>1</v>
      </c>
      <c r="C398" s="5">
        <v>7.4074074074074075E-6</v>
      </c>
      <c r="D398">
        <v>12</v>
      </c>
      <c r="E398">
        <v>4</v>
      </c>
      <c r="F398">
        <v>4</v>
      </c>
      <c r="G398" s="5">
        <v>3.472222222222222E-6</v>
      </c>
      <c r="H398" s="5">
        <v>6.944791666666666E-3</v>
      </c>
      <c r="I398" s="5">
        <v>4.2189814814814815E-3</v>
      </c>
      <c r="J398" s="5">
        <v>3.1249999999999997E-6</v>
      </c>
    </row>
    <row r="399" spans="1:10" x14ac:dyDescent="0.25">
      <c r="A399">
        <f ca="1">IF(_157721372917[[#This Row],[instance]]&lt;OFFSET(_157721372917[[#This Row],[instance]],-1,0), OFFSET(_157721372917[[#This Row],[model]],-1,0)+1, OFFSET(_157721372917[[#This Row],[model]],-1,0))</f>
        <v>5</v>
      </c>
      <c r="B399">
        <v>1</v>
      </c>
      <c r="C399" s="5">
        <v>7.5231481481481475E-6</v>
      </c>
      <c r="D399">
        <v>15</v>
      </c>
      <c r="E399">
        <v>5</v>
      </c>
      <c r="F399">
        <v>5</v>
      </c>
      <c r="G399" s="5">
        <v>3.472222222222222E-6</v>
      </c>
      <c r="H399" s="5">
        <v>6.944791666666666E-3</v>
      </c>
      <c r="I399" s="5">
        <v>4.2189814814814815E-3</v>
      </c>
      <c r="J399" s="5">
        <v>3.1249999999999997E-6</v>
      </c>
    </row>
    <row r="400" spans="1:10" x14ac:dyDescent="0.25">
      <c r="A400">
        <f ca="1">IF(_157721372917[[#This Row],[instance]]&lt;OFFSET(_157721372917[[#This Row],[instance]],-1,0), OFFSET(_157721372917[[#This Row],[model]],-1,0)+1, OFFSET(_157721372917[[#This Row],[model]],-1,0))</f>
        <v>5</v>
      </c>
      <c r="B400">
        <v>1</v>
      </c>
      <c r="C400" s="5">
        <v>7.7546296296296301E-6</v>
      </c>
      <c r="D400">
        <v>18</v>
      </c>
      <c r="E400">
        <v>6</v>
      </c>
      <c r="F400">
        <v>6</v>
      </c>
      <c r="G400" s="5">
        <v>3.472222222222222E-6</v>
      </c>
      <c r="H400" s="5">
        <v>6.944791666666666E-3</v>
      </c>
      <c r="I400" s="5">
        <v>4.2189814814814815E-3</v>
      </c>
      <c r="J400" s="5">
        <v>3.1249999999999997E-6</v>
      </c>
    </row>
    <row r="401" spans="1:10" x14ac:dyDescent="0.25">
      <c r="A401">
        <f ca="1">IF(_157721372917[[#This Row],[instance]]&lt;OFFSET(_157721372917[[#This Row],[instance]],-1,0), OFFSET(_157721372917[[#This Row],[model]],-1,0)+1, OFFSET(_157721372917[[#This Row],[model]],-1,0))</f>
        <v>5</v>
      </c>
      <c r="B401">
        <v>1</v>
      </c>
      <c r="C401" s="5">
        <v>1.1458333333333333E-5</v>
      </c>
      <c r="D401">
        <v>21</v>
      </c>
      <c r="E401">
        <v>10</v>
      </c>
      <c r="F401">
        <v>7</v>
      </c>
      <c r="G401" s="5">
        <v>3.472222222222222E-6</v>
      </c>
      <c r="H401" s="5">
        <v>6.944791666666666E-3</v>
      </c>
      <c r="I401" s="5">
        <v>4.2189814814814815E-3</v>
      </c>
      <c r="J401" s="5">
        <v>3.1249999999999997E-6</v>
      </c>
    </row>
    <row r="402" spans="1:10" x14ac:dyDescent="0.25">
      <c r="A402">
        <f ca="1">IF(_157721372917[[#This Row],[instance]]&lt;OFFSET(_157721372917[[#This Row],[instance]],-1,0), OFFSET(_157721372917[[#This Row],[model]],-1,0)+1, OFFSET(_157721372917[[#This Row],[model]],-1,0))</f>
        <v>5</v>
      </c>
      <c r="B402">
        <v>1</v>
      </c>
      <c r="C402" s="5">
        <v>1.2384259259259259E-5</v>
      </c>
      <c r="D402">
        <v>21.75</v>
      </c>
      <c r="E402">
        <v>11</v>
      </c>
      <c r="F402">
        <v>7</v>
      </c>
      <c r="G402" s="5">
        <v>3.472222222222222E-6</v>
      </c>
      <c r="H402" s="5">
        <v>6.944791666666666E-3</v>
      </c>
      <c r="I402" s="5">
        <v>4.2189814814814815E-3</v>
      </c>
      <c r="J402" s="5">
        <v>3.1249999999999997E-6</v>
      </c>
    </row>
    <row r="403" spans="1:10" x14ac:dyDescent="0.25">
      <c r="A403">
        <f ca="1">IF(_157721372917[[#This Row],[instance]]&lt;OFFSET(_157721372917[[#This Row],[instance]],-1,0), OFFSET(_157721372917[[#This Row],[model]],-1,0)+1, OFFSET(_157721372917[[#This Row],[model]],-1,0))</f>
        <v>5</v>
      </c>
      <c r="B403">
        <v>1</v>
      </c>
      <c r="C403" s="5">
        <v>1.2499999999999999E-5</v>
      </c>
      <c r="D403">
        <v>22.5</v>
      </c>
      <c r="E403">
        <v>12</v>
      </c>
      <c r="F403">
        <v>7</v>
      </c>
      <c r="G403" s="5">
        <v>3.472222222222222E-6</v>
      </c>
      <c r="H403" s="5">
        <v>6.944791666666666E-3</v>
      </c>
      <c r="I403" s="5">
        <v>4.2189814814814815E-3</v>
      </c>
      <c r="J403" s="5">
        <v>3.1249999999999997E-6</v>
      </c>
    </row>
    <row r="404" spans="1:10" x14ac:dyDescent="0.25">
      <c r="A404">
        <f ca="1">IF(_157721372917[[#This Row],[instance]]&lt;OFFSET(_157721372917[[#This Row],[instance]],-1,0), OFFSET(_157721372917[[#This Row],[model]],-1,0)+1, OFFSET(_157721372917[[#This Row],[model]],-1,0))</f>
        <v>5</v>
      </c>
      <c r="B404">
        <v>2</v>
      </c>
      <c r="C404" s="5">
        <v>6.828703703703703E-6</v>
      </c>
      <c r="D404">
        <v>0</v>
      </c>
      <c r="E404">
        <v>0</v>
      </c>
      <c r="F404">
        <v>0</v>
      </c>
      <c r="G404" s="5">
        <v>3.1249999999999997E-6</v>
      </c>
      <c r="H404" s="5">
        <v>6.944791666666666E-3</v>
      </c>
      <c r="I404" s="5">
        <v>4.2189814814814815E-3</v>
      </c>
      <c r="J404" s="5">
        <v>3.1249999999999997E-6</v>
      </c>
    </row>
    <row r="405" spans="1:10" x14ac:dyDescent="0.25">
      <c r="A405">
        <f ca="1">IF(_157721372917[[#This Row],[instance]]&lt;OFFSET(_157721372917[[#This Row],[instance]],-1,0), OFFSET(_157721372917[[#This Row],[model]],-1,0)+1, OFFSET(_157721372917[[#This Row],[model]],-1,0))</f>
        <v>5</v>
      </c>
      <c r="B405">
        <v>2</v>
      </c>
      <c r="C405" s="5">
        <v>6.9444444444444439E-6</v>
      </c>
      <c r="D405">
        <v>3</v>
      </c>
      <c r="E405">
        <v>1</v>
      </c>
      <c r="F405">
        <v>1</v>
      </c>
      <c r="G405" s="5">
        <v>3.1249999999999997E-6</v>
      </c>
      <c r="H405" s="5">
        <v>6.944791666666666E-3</v>
      </c>
      <c r="I405" s="5">
        <v>4.2189814814814815E-3</v>
      </c>
      <c r="J405" s="5">
        <v>3.1249999999999997E-6</v>
      </c>
    </row>
    <row r="406" spans="1:10" x14ac:dyDescent="0.25">
      <c r="A406">
        <f ca="1">IF(_157721372917[[#This Row],[instance]]&lt;OFFSET(_157721372917[[#This Row],[instance]],-1,0), OFFSET(_157721372917[[#This Row],[model]],-1,0)+1, OFFSET(_157721372917[[#This Row],[model]],-1,0))</f>
        <v>5</v>
      </c>
      <c r="B406">
        <v>2</v>
      </c>
      <c r="C406" s="5">
        <v>9.0277777777777774E-6</v>
      </c>
      <c r="D406">
        <v>4.125</v>
      </c>
      <c r="E406">
        <v>4</v>
      </c>
      <c r="F406">
        <v>2</v>
      </c>
      <c r="G406" s="5">
        <v>3.1249999999999997E-6</v>
      </c>
      <c r="H406" s="5">
        <v>6.944791666666666E-3</v>
      </c>
      <c r="I406" s="5">
        <v>4.2189814814814815E-3</v>
      </c>
      <c r="J406" s="5">
        <v>3.1249999999999997E-6</v>
      </c>
    </row>
    <row r="407" spans="1:10" x14ac:dyDescent="0.25">
      <c r="A407">
        <f ca="1">IF(_157721372917[[#This Row],[instance]]&lt;OFFSET(_157721372917[[#This Row],[instance]],-1,0), OFFSET(_157721372917[[#This Row],[model]],-1,0)+1, OFFSET(_157721372917[[#This Row],[model]],-1,0))</f>
        <v>5</v>
      </c>
      <c r="B407">
        <v>2</v>
      </c>
      <c r="C407" s="5">
        <v>9.0277777777777774E-6</v>
      </c>
      <c r="D407">
        <v>4.5</v>
      </c>
      <c r="E407">
        <v>5</v>
      </c>
      <c r="F407">
        <v>2</v>
      </c>
      <c r="G407" s="5">
        <v>3.1249999999999997E-6</v>
      </c>
      <c r="H407" s="5">
        <v>6.944791666666666E-3</v>
      </c>
      <c r="I407" s="5">
        <v>4.2189814814814815E-3</v>
      </c>
      <c r="J407" s="5">
        <v>3.1249999999999997E-6</v>
      </c>
    </row>
    <row r="408" spans="1:10" x14ac:dyDescent="0.25">
      <c r="A408">
        <f ca="1">IF(_157721372917[[#This Row],[instance]]&lt;OFFSET(_157721372917[[#This Row],[instance]],-1,0), OFFSET(_157721372917[[#This Row],[model]],-1,0)+1, OFFSET(_157721372917[[#This Row],[model]],-1,0))</f>
        <v>5</v>
      </c>
      <c r="B408">
        <v>2</v>
      </c>
      <c r="C408" s="5">
        <v>1.5393518518518517E-5</v>
      </c>
      <c r="D408">
        <v>5.625</v>
      </c>
      <c r="E408">
        <v>6</v>
      </c>
      <c r="F408">
        <v>2</v>
      </c>
      <c r="G408" s="5">
        <v>3.1249999999999997E-6</v>
      </c>
      <c r="H408" s="5">
        <v>6.944791666666666E-3</v>
      </c>
      <c r="I408" s="5">
        <v>4.2189814814814815E-3</v>
      </c>
      <c r="J408" s="5">
        <v>3.1249999999999997E-6</v>
      </c>
    </row>
    <row r="409" spans="1:10" x14ac:dyDescent="0.25">
      <c r="A409">
        <f ca="1">IF(_157721372917[[#This Row],[instance]]&lt;OFFSET(_157721372917[[#This Row],[instance]],-1,0), OFFSET(_157721372917[[#This Row],[model]],-1,0)+1, OFFSET(_157721372917[[#This Row],[model]],-1,0))</f>
        <v>5</v>
      </c>
      <c r="B409">
        <v>2</v>
      </c>
      <c r="C409" s="5">
        <v>1.550925925925926E-5</v>
      </c>
      <c r="D409">
        <v>6</v>
      </c>
      <c r="E409">
        <v>6</v>
      </c>
      <c r="F409">
        <v>2</v>
      </c>
      <c r="G409" s="5">
        <v>3.1249999999999997E-6</v>
      </c>
      <c r="H409" s="5">
        <v>6.944791666666666E-3</v>
      </c>
      <c r="I409" s="5">
        <v>4.2189814814814815E-3</v>
      </c>
      <c r="J409" s="5">
        <v>3.1249999999999997E-6</v>
      </c>
    </row>
    <row r="410" spans="1:10" x14ac:dyDescent="0.25">
      <c r="A410">
        <f ca="1">IF(_157721372917[[#This Row],[instance]]&lt;OFFSET(_157721372917[[#This Row],[instance]],-1,0), OFFSET(_157721372917[[#This Row],[model]],-1,0)+1, OFFSET(_157721372917[[#This Row],[model]],-1,0))</f>
        <v>5</v>
      </c>
      <c r="B410">
        <v>2</v>
      </c>
      <c r="C410" s="5">
        <v>1.550925925925926E-5</v>
      </c>
      <c r="D410">
        <v>6.75</v>
      </c>
      <c r="E410">
        <v>7</v>
      </c>
      <c r="F410">
        <v>2</v>
      </c>
      <c r="G410" s="5">
        <v>3.1249999999999997E-6</v>
      </c>
      <c r="H410" s="5">
        <v>6.944791666666666E-3</v>
      </c>
      <c r="I410" s="5">
        <v>4.2189814814814815E-3</v>
      </c>
      <c r="J410" s="5">
        <v>3.1249999999999997E-6</v>
      </c>
    </row>
    <row r="411" spans="1:10" x14ac:dyDescent="0.25">
      <c r="A411">
        <f ca="1">IF(_157721372917[[#This Row],[instance]]&lt;OFFSET(_157721372917[[#This Row],[instance]],-1,0), OFFSET(_157721372917[[#This Row],[model]],-1,0)+1, OFFSET(_157721372917[[#This Row],[model]],-1,0))</f>
        <v>5</v>
      </c>
      <c r="B411">
        <v>2</v>
      </c>
      <c r="C411" s="5">
        <v>1.6087962962962964E-5</v>
      </c>
      <c r="D411">
        <v>7.125</v>
      </c>
      <c r="E411">
        <v>8</v>
      </c>
      <c r="F411">
        <v>3</v>
      </c>
      <c r="G411" s="5">
        <v>3.1249999999999997E-6</v>
      </c>
      <c r="H411" s="5">
        <v>6.944791666666666E-3</v>
      </c>
      <c r="I411" s="5">
        <v>4.2189814814814815E-3</v>
      </c>
      <c r="J411" s="5">
        <v>3.1249999999999997E-6</v>
      </c>
    </row>
    <row r="412" spans="1:10" x14ac:dyDescent="0.25">
      <c r="A412">
        <f ca="1">IF(_157721372917[[#This Row],[instance]]&lt;OFFSET(_157721372917[[#This Row],[instance]],-1,0), OFFSET(_157721372917[[#This Row],[model]],-1,0)+1, OFFSET(_157721372917[[#This Row],[model]],-1,0))</f>
        <v>5</v>
      </c>
      <c r="B412">
        <v>2</v>
      </c>
      <c r="C412" s="5">
        <v>1.6898148148148148E-5</v>
      </c>
      <c r="D412">
        <v>7.875</v>
      </c>
      <c r="E412">
        <v>9</v>
      </c>
      <c r="F412">
        <v>3</v>
      </c>
      <c r="G412" s="5">
        <v>3.1249999999999997E-6</v>
      </c>
      <c r="H412" s="5">
        <v>6.944791666666666E-3</v>
      </c>
      <c r="I412" s="5">
        <v>4.2189814814814815E-3</v>
      </c>
      <c r="J412" s="5">
        <v>3.1249999999999997E-6</v>
      </c>
    </row>
    <row r="413" spans="1:10" x14ac:dyDescent="0.25">
      <c r="A413">
        <f ca="1">IF(_157721372917[[#This Row],[instance]]&lt;OFFSET(_157721372917[[#This Row],[instance]],-1,0), OFFSET(_157721372917[[#This Row],[model]],-1,0)+1, OFFSET(_157721372917[[#This Row],[model]],-1,0))</f>
        <v>5</v>
      </c>
      <c r="B413">
        <v>2</v>
      </c>
      <c r="C413" s="5">
        <v>1.8402777777777778E-5</v>
      </c>
      <c r="D413">
        <v>8.25</v>
      </c>
      <c r="E413">
        <v>10</v>
      </c>
      <c r="F413">
        <v>3</v>
      </c>
      <c r="G413" s="5">
        <v>3.1249999999999997E-6</v>
      </c>
      <c r="H413" s="5">
        <v>6.944791666666666E-3</v>
      </c>
      <c r="I413" s="5">
        <v>4.2189814814814815E-3</v>
      </c>
      <c r="J413" s="5">
        <v>3.1249999999999997E-6</v>
      </c>
    </row>
    <row r="414" spans="1:10" x14ac:dyDescent="0.25">
      <c r="A414">
        <f ca="1">IF(_157721372917[[#This Row],[instance]]&lt;OFFSET(_157721372917[[#This Row],[instance]],-1,0), OFFSET(_157721372917[[#This Row],[model]],-1,0)+1, OFFSET(_157721372917[[#This Row],[model]],-1,0))</f>
        <v>5</v>
      </c>
      <c r="B414">
        <v>2</v>
      </c>
      <c r="C414" s="5">
        <v>1.9212962962962962E-5</v>
      </c>
      <c r="D414">
        <v>8.25</v>
      </c>
      <c r="E414">
        <v>10</v>
      </c>
      <c r="F414">
        <v>3</v>
      </c>
      <c r="G414" s="5">
        <v>3.1249999999999997E-6</v>
      </c>
      <c r="H414" s="5">
        <v>6.944791666666666E-3</v>
      </c>
      <c r="I414" s="5">
        <v>4.2189814814814815E-3</v>
      </c>
      <c r="J414" s="5">
        <v>3.1249999999999997E-6</v>
      </c>
    </row>
    <row r="415" spans="1:10" x14ac:dyDescent="0.25">
      <c r="A415">
        <f ca="1">IF(_157721372917[[#This Row],[instance]]&lt;OFFSET(_157721372917[[#This Row],[instance]],-1,0), OFFSET(_157721372917[[#This Row],[model]],-1,0)+1, OFFSET(_157721372917[[#This Row],[model]],-1,0))</f>
        <v>5</v>
      </c>
      <c r="B415">
        <v>3</v>
      </c>
      <c r="C415" s="5">
        <v>6.828703703703703E-6</v>
      </c>
      <c r="D415">
        <v>0</v>
      </c>
      <c r="E415">
        <v>0</v>
      </c>
      <c r="F415">
        <v>0</v>
      </c>
      <c r="G415" s="5">
        <v>3.1249999999999997E-6</v>
      </c>
      <c r="H415" s="5">
        <v>7.1805555555555555E-4</v>
      </c>
      <c r="I415" s="5">
        <v>4.2189814814814815E-3</v>
      </c>
      <c r="J415" s="5">
        <v>3.1249999999999997E-6</v>
      </c>
    </row>
    <row r="416" spans="1:10" x14ac:dyDescent="0.25">
      <c r="A416">
        <f ca="1">IF(_157721372917[[#This Row],[instance]]&lt;OFFSET(_157721372917[[#This Row],[instance]],-1,0), OFFSET(_157721372917[[#This Row],[model]],-1,0)+1, OFFSET(_157721372917[[#This Row],[model]],-1,0))</f>
        <v>5</v>
      </c>
      <c r="B416">
        <v>3</v>
      </c>
      <c r="C416" s="5">
        <v>7.0601851851851848E-6</v>
      </c>
      <c r="D416">
        <v>1.75</v>
      </c>
      <c r="E416">
        <v>2</v>
      </c>
      <c r="F416">
        <v>1</v>
      </c>
      <c r="G416" s="5">
        <v>3.1249999999999997E-6</v>
      </c>
      <c r="H416" s="5">
        <v>7.1805555555555555E-4</v>
      </c>
      <c r="I416" s="5">
        <v>4.2189814814814815E-3</v>
      </c>
      <c r="J416" s="5">
        <v>3.1249999999999997E-6</v>
      </c>
    </row>
    <row r="417" spans="1:10" x14ac:dyDescent="0.25">
      <c r="A417">
        <f ca="1">IF(_157721372917[[#This Row],[instance]]&lt;OFFSET(_157721372917[[#This Row],[instance]],-1,0), OFFSET(_157721372917[[#This Row],[model]],-1,0)+1, OFFSET(_157721372917[[#This Row],[model]],-1,0))</f>
        <v>5</v>
      </c>
      <c r="B417">
        <v>3</v>
      </c>
      <c r="C417" s="5">
        <v>7.0601851851851848E-6</v>
      </c>
      <c r="D417">
        <v>2</v>
      </c>
      <c r="E417">
        <v>2</v>
      </c>
      <c r="F417">
        <v>1</v>
      </c>
      <c r="G417" s="5">
        <v>3.1249999999999997E-6</v>
      </c>
      <c r="H417" s="5">
        <v>7.1805555555555555E-4</v>
      </c>
      <c r="I417" s="5">
        <v>4.2189814814814815E-3</v>
      </c>
      <c r="J417" s="5">
        <v>3.1249999999999997E-6</v>
      </c>
    </row>
    <row r="418" spans="1:10" x14ac:dyDescent="0.25">
      <c r="A418">
        <f ca="1">IF(_157721372917[[#This Row],[instance]]&lt;OFFSET(_157721372917[[#This Row],[instance]],-1,0), OFFSET(_157721372917[[#This Row],[model]],-1,0)+1, OFFSET(_157721372917[[#This Row],[model]],-1,0))</f>
        <v>5</v>
      </c>
      <c r="B418">
        <v>3</v>
      </c>
      <c r="C418" s="5">
        <v>7.2916666666666666E-6</v>
      </c>
      <c r="D418">
        <v>2.75</v>
      </c>
      <c r="E418">
        <v>3</v>
      </c>
      <c r="F418">
        <v>1</v>
      </c>
      <c r="G418" s="5">
        <v>3.1249999999999997E-6</v>
      </c>
      <c r="H418" s="5">
        <v>7.1805555555555555E-4</v>
      </c>
      <c r="I418" s="5">
        <v>4.2189814814814815E-3</v>
      </c>
      <c r="J418" s="5">
        <v>3.1249999999999997E-6</v>
      </c>
    </row>
    <row r="419" spans="1:10" x14ac:dyDescent="0.25">
      <c r="A419">
        <f ca="1">IF(_157721372917[[#This Row],[instance]]&lt;OFFSET(_157721372917[[#This Row],[instance]],-1,0), OFFSET(_157721372917[[#This Row],[model]],-1,0)+1, OFFSET(_157721372917[[#This Row],[model]],-1,0))</f>
        <v>5</v>
      </c>
      <c r="B419">
        <v>3</v>
      </c>
      <c r="C419" s="5">
        <v>7.2916666666666666E-6</v>
      </c>
      <c r="D419">
        <v>3</v>
      </c>
      <c r="E419">
        <v>3</v>
      </c>
      <c r="F419">
        <v>1</v>
      </c>
      <c r="G419" s="5">
        <v>3.1249999999999997E-6</v>
      </c>
      <c r="H419" s="5">
        <v>7.1805555555555555E-4</v>
      </c>
      <c r="I419" s="5">
        <v>4.2189814814814815E-3</v>
      </c>
      <c r="J419" s="5">
        <v>3.1249999999999997E-6</v>
      </c>
    </row>
    <row r="420" spans="1:10" x14ac:dyDescent="0.25">
      <c r="A420">
        <f ca="1">IF(_157721372917[[#This Row],[instance]]&lt;OFFSET(_157721372917[[#This Row],[instance]],-1,0), OFFSET(_157721372917[[#This Row],[model]],-1,0)+1, OFFSET(_157721372917[[#This Row],[model]],-1,0))</f>
        <v>5</v>
      </c>
      <c r="B420">
        <v>3</v>
      </c>
      <c r="C420" s="5">
        <v>7.2916666666666666E-6</v>
      </c>
      <c r="D420">
        <v>3.75</v>
      </c>
      <c r="E420">
        <v>4</v>
      </c>
      <c r="F420">
        <v>1</v>
      </c>
      <c r="G420" s="5">
        <v>3.1249999999999997E-6</v>
      </c>
      <c r="H420" s="5">
        <v>7.1805555555555555E-4</v>
      </c>
      <c r="I420" s="5">
        <v>4.2189814814814815E-3</v>
      </c>
      <c r="J420" s="5">
        <v>3.1249999999999997E-6</v>
      </c>
    </row>
    <row r="421" spans="1:10" x14ac:dyDescent="0.25">
      <c r="A421">
        <f ca="1">IF(_157721372917[[#This Row],[instance]]&lt;OFFSET(_157721372917[[#This Row],[instance]],-1,0), OFFSET(_157721372917[[#This Row],[model]],-1,0)+1, OFFSET(_157721372917[[#This Row],[model]],-1,0))</f>
        <v>5</v>
      </c>
      <c r="B421">
        <v>3</v>
      </c>
      <c r="C421" s="5">
        <v>7.4074074074074075E-6</v>
      </c>
      <c r="D421">
        <v>4</v>
      </c>
      <c r="E421">
        <v>4</v>
      </c>
      <c r="F421">
        <v>1</v>
      </c>
      <c r="G421" s="5">
        <v>3.1249999999999997E-6</v>
      </c>
      <c r="H421" s="5">
        <v>7.1805555555555555E-4</v>
      </c>
      <c r="I421" s="5">
        <v>4.2189814814814815E-3</v>
      </c>
      <c r="J421" s="5">
        <v>3.1249999999999997E-6</v>
      </c>
    </row>
    <row r="422" spans="1:10" x14ac:dyDescent="0.25">
      <c r="A422">
        <f ca="1">IF(_157721372917[[#This Row],[instance]]&lt;OFFSET(_157721372917[[#This Row],[instance]],-1,0), OFFSET(_157721372917[[#This Row],[model]],-1,0)+1, OFFSET(_157721372917[[#This Row],[model]],-1,0))</f>
        <v>5</v>
      </c>
      <c r="B422">
        <v>3</v>
      </c>
      <c r="C422" s="5">
        <v>7.5231481481481475E-6</v>
      </c>
      <c r="D422">
        <v>6.75</v>
      </c>
      <c r="E422">
        <v>5</v>
      </c>
      <c r="F422">
        <v>1</v>
      </c>
      <c r="G422" s="5">
        <v>3.1249999999999997E-6</v>
      </c>
      <c r="H422" s="5">
        <v>7.1805555555555555E-4</v>
      </c>
      <c r="I422" s="5">
        <v>4.2189814814814815E-3</v>
      </c>
      <c r="J422" s="5">
        <v>3.1249999999999997E-6</v>
      </c>
    </row>
    <row r="423" spans="1:10" x14ac:dyDescent="0.25">
      <c r="A423">
        <f ca="1">IF(_157721372917[[#This Row],[instance]]&lt;OFFSET(_157721372917[[#This Row],[instance]],-1,0), OFFSET(_157721372917[[#This Row],[model]],-1,0)+1, OFFSET(_157721372917[[#This Row],[model]],-1,0))</f>
        <v>5</v>
      </c>
      <c r="B423">
        <v>3</v>
      </c>
      <c r="C423" s="5">
        <v>7.5231481481481475E-6</v>
      </c>
      <c r="D423">
        <v>7.125</v>
      </c>
      <c r="E423">
        <v>6</v>
      </c>
      <c r="F423">
        <v>1</v>
      </c>
      <c r="G423" s="5">
        <v>3.1249999999999997E-6</v>
      </c>
      <c r="H423" s="5">
        <v>7.1805555555555555E-4</v>
      </c>
      <c r="I423" s="5">
        <v>4.2189814814814815E-3</v>
      </c>
      <c r="J423" s="5">
        <v>3.1249999999999997E-6</v>
      </c>
    </row>
    <row r="424" spans="1:10" x14ac:dyDescent="0.25">
      <c r="A424">
        <f ca="1">IF(_157721372917[[#This Row],[instance]]&lt;OFFSET(_157721372917[[#This Row],[instance]],-1,0), OFFSET(_157721372917[[#This Row],[model]],-1,0)+1, OFFSET(_157721372917[[#This Row],[model]],-1,0))</f>
        <v>5</v>
      </c>
      <c r="B424">
        <v>3</v>
      </c>
      <c r="C424" s="5">
        <v>7.5231481481481475E-6</v>
      </c>
      <c r="D424">
        <v>10.125</v>
      </c>
      <c r="E424">
        <v>7</v>
      </c>
      <c r="F424">
        <v>2</v>
      </c>
      <c r="G424" s="5">
        <v>3.1249999999999997E-6</v>
      </c>
      <c r="H424" s="5">
        <v>7.1805555555555555E-4</v>
      </c>
      <c r="I424" s="5">
        <v>4.2189814814814815E-3</v>
      </c>
      <c r="J424" s="5">
        <v>3.1249999999999997E-6</v>
      </c>
    </row>
    <row r="425" spans="1:10" x14ac:dyDescent="0.25">
      <c r="A425">
        <f ca="1">IF(_157721372917[[#This Row],[instance]]&lt;OFFSET(_157721372917[[#This Row],[instance]],-1,0), OFFSET(_157721372917[[#This Row],[model]],-1,0)+1, OFFSET(_157721372917[[#This Row],[model]],-1,0))</f>
        <v>5</v>
      </c>
      <c r="B425">
        <v>3</v>
      </c>
      <c r="C425" s="5">
        <v>7.6388888888888884E-6</v>
      </c>
      <c r="D425">
        <v>10.75</v>
      </c>
      <c r="E425">
        <v>5</v>
      </c>
      <c r="F425">
        <v>2</v>
      </c>
      <c r="G425" s="5">
        <v>3.1249999999999997E-6</v>
      </c>
      <c r="H425" s="5">
        <v>7.1805555555555555E-4</v>
      </c>
      <c r="I425" s="5">
        <v>4.2189814814814815E-3</v>
      </c>
      <c r="J425" s="5">
        <v>3.1249999999999997E-6</v>
      </c>
    </row>
    <row r="426" spans="1:10" x14ac:dyDescent="0.25">
      <c r="A426">
        <f ca="1">IF(_157721372917[[#This Row],[instance]]&lt;OFFSET(_157721372917[[#This Row],[instance]],-1,0), OFFSET(_157721372917[[#This Row],[model]],-1,0)+1, OFFSET(_157721372917[[#This Row],[model]],-1,0))</f>
        <v>5</v>
      </c>
      <c r="B426">
        <v>3</v>
      </c>
      <c r="C426" s="5">
        <v>7.6388888888888884E-6</v>
      </c>
      <c r="D426">
        <v>11.75</v>
      </c>
      <c r="E426">
        <v>6</v>
      </c>
      <c r="F426">
        <v>2</v>
      </c>
      <c r="G426" s="5">
        <v>3.1249999999999997E-6</v>
      </c>
      <c r="H426" s="5">
        <v>7.1805555555555555E-4</v>
      </c>
      <c r="I426" s="5">
        <v>4.2189814814814815E-3</v>
      </c>
      <c r="J426" s="5">
        <v>3.1249999999999997E-6</v>
      </c>
    </row>
    <row r="427" spans="1:10" x14ac:dyDescent="0.25">
      <c r="A427">
        <f ca="1">IF(_157721372917[[#This Row],[instance]]&lt;OFFSET(_157721372917[[#This Row],[instance]],-1,0), OFFSET(_157721372917[[#This Row],[model]],-1,0)+1, OFFSET(_157721372917[[#This Row],[model]],-1,0))</f>
        <v>5</v>
      </c>
      <c r="B427">
        <v>3</v>
      </c>
      <c r="C427" s="5">
        <v>7.9861111111111102E-6</v>
      </c>
      <c r="D427">
        <v>11.875</v>
      </c>
      <c r="E427">
        <v>7</v>
      </c>
      <c r="F427">
        <v>2</v>
      </c>
      <c r="G427" s="5">
        <v>3.1249999999999997E-6</v>
      </c>
      <c r="H427" s="5">
        <v>7.1805555555555555E-4</v>
      </c>
      <c r="I427" s="5">
        <v>4.2189814814814815E-3</v>
      </c>
      <c r="J427" s="5">
        <v>3.1249999999999997E-6</v>
      </c>
    </row>
    <row r="428" spans="1:10" x14ac:dyDescent="0.25">
      <c r="A428">
        <f ca="1">IF(_157721372917[[#This Row],[instance]]&lt;OFFSET(_157721372917[[#This Row],[instance]],-1,0), OFFSET(_157721372917[[#This Row],[model]],-1,0)+1, OFFSET(_157721372917[[#This Row],[model]],-1,0))</f>
        <v>5</v>
      </c>
      <c r="B428">
        <v>3</v>
      </c>
      <c r="C428" s="5">
        <v>8.5648148148148138E-6</v>
      </c>
      <c r="D428">
        <v>14.125</v>
      </c>
      <c r="E428">
        <v>7</v>
      </c>
      <c r="F428">
        <v>2</v>
      </c>
      <c r="G428" s="5">
        <v>3.1249999999999997E-6</v>
      </c>
      <c r="H428" s="5">
        <v>7.1805555555555555E-4</v>
      </c>
      <c r="I428" s="5">
        <v>4.2189814814814815E-3</v>
      </c>
      <c r="J428" s="5">
        <v>3.1249999999999997E-6</v>
      </c>
    </row>
    <row r="429" spans="1:10" x14ac:dyDescent="0.25">
      <c r="A429">
        <f ca="1">IF(_157721372917[[#This Row],[instance]]&lt;OFFSET(_157721372917[[#This Row],[instance]],-1,0), OFFSET(_157721372917[[#This Row],[model]],-1,0)+1, OFFSET(_157721372917[[#This Row],[model]],-1,0))</f>
        <v>5</v>
      </c>
      <c r="B429">
        <v>3</v>
      </c>
      <c r="C429" s="5">
        <v>8.6805555555555555E-6</v>
      </c>
      <c r="D429">
        <v>15.125</v>
      </c>
      <c r="E429">
        <v>8</v>
      </c>
      <c r="F429">
        <v>3</v>
      </c>
      <c r="G429" s="5">
        <v>3.1249999999999997E-6</v>
      </c>
      <c r="H429" s="5">
        <v>7.1805555555555555E-4</v>
      </c>
      <c r="I429" s="5">
        <v>4.2189814814814815E-3</v>
      </c>
      <c r="J429" s="5">
        <v>3.1249999999999997E-6</v>
      </c>
    </row>
    <row r="430" spans="1:10" x14ac:dyDescent="0.25">
      <c r="A430">
        <f ca="1">IF(_157721372917[[#This Row],[instance]]&lt;OFFSET(_157721372917[[#This Row],[instance]],-1,0), OFFSET(_157721372917[[#This Row],[model]],-1,0)+1, OFFSET(_157721372917[[#This Row],[model]],-1,0))</f>
        <v>5</v>
      </c>
      <c r="B430">
        <v>3</v>
      </c>
      <c r="C430" s="5">
        <v>8.6805555555555555E-6</v>
      </c>
      <c r="D430">
        <v>15.5</v>
      </c>
      <c r="E430">
        <v>9</v>
      </c>
      <c r="F430">
        <v>3</v>
      </c>
      <c r="G430" s="5">
        <v>3.1249999999999997E-6</v>
      </c>
      <c r="H430" s="5">
        <v>7.1805555555555555E-4</v>
      </c>
      <c r="I430" s="5">
        <v>4.2189814814814815E-3</v>
      </c>
      <c r="J430" s="5">
        <v>3.1249999999999997E-6</v>
      </c>
    </row>
    <row r="431" spans="1:10" x14ac:dyDescent="0.25">
      <c r="A431">
        <f ca="1">IF(_157721372917[[#This Row],[instance]]&lt;OFFSET(_157721372917[[#This Row],[instance]],-1,0), OFFSET(_157721372917[[#This Row],[model]],-1,0)+1, OFFSET(_157721372917[[#This Row],[model]],-1,0))</f>
        <v>5</v>
      </c>
      <c r="B431">
        <v>3</v>
      </c>
      <c r="C431" s="5">
        <v>8.7962962962962956E-6</v>
      </c>
      <c r="D431">
        <v>16.125</v>
      </c>
      <c r="E431">
        <v>9</v>
      </c>
      <c r="F431">
        <v>3</v>
      </c>
      <c r="G431" s="5">
        <v>3.1249999999999997E-6</v>
      </c>
      <c r="H431" s="5">
        <v>7.1805555555555555E-4</v>
      </c>
      <c r="I431" s="5">
        <v>4.2189814814814815E-3</v>
      </c>
      <c r="J431" s="5">
        <v>3.1249999999999997E-6</v>
      </c>
    </row>
    <row r="432" spans="1:10" x14ac:dyDescent="0.25">
      <c r="A432">
        <f ca="1">IF(_157721372917[[#This Row],[instance]]&lt;OFFSET(_157721372917[[#This Row],[instance]],-1,0), OFFSET(_157721372917[[#This Row],[model]],-1,0)+1, OFFSET(_157721372917[[#This Row],[model]],-1,0))</f>
        <v>5</v>
      </c>
      <c r="B432">
        <v>3</v>
      </c>
      <c r="C432" s="5">
        <v>8.7962962962962956E-6</v>
      </c>
      <c r="D432">
        <v>16.5</v>
      </c>
      <c r="E432">
        <v>9</v>
      </c>
      <c r="F432">
        <v>3</v>
      </c>
      <c r="G432" s="5">
        <v>3.1249999999999997E-6</v>
      </c>
      <c r="H432" s="5">
        <v>7.1805555555555555E-4</v>
      </c>
      <c r="I432" s="5">
        <v>4.2189814814814815E-3</v>
      </c>
      <c r="J432" s="5">
        <v>3.1249999999999997E-6</v>
      </c>
    </row>
    <row r="433" spans="1:10" x14ac:dyDescent="0.25">
      <c r="A433">
        <f ca="1">IF(_157721372917[[#This Row],[instance]]&lt;OFFSET(_157721372917[[#This Row],[instance]],-1,0), OFFSET(_157721372917[[#This Row],[model]],-1,0)+1, OFFSET(_157721372917[[#This Row],[model]],-1,0))</f>
        <v>5</v>
      </c>
      <c r="B433">
        <v>3</v>
      </c>
      <c r="C433" s="5">
        <v>8.7962962962962956E-6</v>
      </c>
      <c r="D433">
        <v>16.875</v>
      </c>
      <c r="E433">
        <v>10</v>
      </c>
      <c r="F433">
        <v>4</v>
      </c>
      <c r="G433" s="5">
        <v>3.1249999999999997E-6</v>
      </c>
      <c r="H433" s="5">
        <v>7.1805555555555555E-4</v>
      </c>
      <c r="I433" s="5">
        <v>4.2189814814814815E-3</v>
      </c>
      <c r="J433" s="5">
        <v>3.1249999999999997E-6</v>
      </c>
    </row>
    <row r="434" spans="1:10" x14ac:dyDescent="0.25">
      <c r="A434">
        <f ca="1">IF(_157721372917[[#This Row],[instance]]&lt;OFFSET(_157721372917[[#This Row],[instance]],-1,0), OFFSET(_157721372917[[#This Row],[model]],-1,0)+1, OFFSET(_157721372917[[#This Row],[model]],-1,0))</f>
        <v>5</v>
      </c>
      <c r="B434">
        <v>3</v>
      </c>
      <c r="C434" s="5">
        <v>8.9120370370370373E-6</v>
      </c>
      <c r="D434">
        <v>17.625</v>
      </c>
      <c r="E434">
        <v>11</v>
      </c>
      <c r="F434">
        <v>4</v>
      </c>
      <c r="G434" s="5">
        <v>3.1249999999999997E-6</v>
      </c>
      <c r="H434" s="5">
        <v>7.1805555555555555E-4</v>
      </c>
      <c r="I434" s="5">
        <v>4.2189814814814815E-3</v>
      </c>
      <c r="J434" s="5">
        <v>3.1249999999999997E-6</v>
      </c>
    </row>
    <row r="435" spans="1:10" x14ac:dyDescent="0.25">
      <c r="A435">
        <f ca="1">IF(_157721372917[[#This Row],[instance]]&lt;OFFSET(_157721372917[[#This Row],[instance]],-1,0), OFFSET(_157721372917[[#This Row],[model]],-1,0)+1, OFFSET(_157721372917[[#This Row],[model]],-1,0))</f>
        <v>5</v>
      </c>
      <c r="B435">
        <v>3</v>
      </c>
      <c r="C435" s="5">
        <v>8.9120370370370373E-6</v>
      </c>
      <c r="D435">
        <v>18</v>
      </c>
      <c r="E435">
        <v>12</v>
      </c>
      <c r="F435">
        <v>4</v>
      </c>
      <c r="G435" s="5">
        <v>3.1249999999999997E-6</v>
      </c>
      <c r="H435" s="5">
        <v>7.1805555555555555E-4</v>
      </c>
      <c r="I435" s="5">
        <v>4.2189814814814815E-3</v>
      </c>
      <c r="J435" s="5">
        <v>3.1249999999999997E-6</v>
      </c>
    </row>
    <row r="436" spans="1:10" x14ac:dyDescent="0.25">
      <c r="A436">
        <f ca="1">IF(_157721372917[[#This Row],[instance]]&lt;OFFSET(_157721372917[[#This Row],[instance]],-1,0), OFFSET(_157721372917[[#This Row],[model]],-1,0)+1, OFFSET(_157721372917[[#This Row],[model]],-1,0))</f>
        <v>5</v>
      </c>
      <c r="B436">
        <v>3</v>
      </c>
      <c r="C436" s="5">
        <v>9.2592592592592591E-6</v>
      </c>
      <c r="D436">
        <v>18.25</v>
      </c>
      <c r="E436">
        <v>12</v>
      </c>
      <c r="F436">
        <v>4</v>
      </c>
      <c r="G436" s="5">
        <v>3.1249999999999997E-6</v>
      </c>
      <c r="H436" s="5">
        <v>7.1805555555555555E-4</v>
      </c>
      <c r="I436" s="5">
        <v>4.2189814814814815E-3</v>
      </c>
      <c r="J436" s="5">
        <v>3.1249999999999997E-6</v>
      </c>
    </row>
    <row r="437" spans="1:10" x14ac:dyDescent="0.25">
      <c r="A437">
        <f ca="1">IF(_157721372917[[#This Row],[instance]]&lt;OFFSET(_157721372917[[#This Row],[instance]],-1,0), OFFSET(_157721372917[[#This Row],[model]],-1,0)+1, OFFSET(_157721372917[[#This Row],[model]],-1,0))</f>
        <v>5</v>
      </c>
      <c r="B437">
        <v>3</v>
      </c>
      <c r="C437" s="5">
        <v>9.2592592592592591E-6</v>
      </c>
      <c r="D437">
        <v>18.625</v>
      </c>
      <c r="E437">
        <v>13</v>
      </c>
      <c r="F437">
        <v>5</v>
      </c>
      <c r="G437" s="5">
        <v>3.1249999999999997E-6</v>
      </c>
      <c r="H437" s="5">
        <v>7.1805555555555555E-4</v>
      </c>
      <c r="I437" s="5">
        <v>4.2189814814814815E-3</v>
      </c>
      <c r="J437" s="5">
        <v>3.1249999999999997E-6</v>
      </c>
    </row>
    <row r="438" spans="1:10" x14ac:dyDescent="0.25">
      <c r="A438">
        <f ca="1">IF(_157721372917[[#This Row],[instance]]&lt;OFFSET(_157721372917[[#This Row],[instance]],-1,0), OFFSET(_157721372917[[#This Row],[model]],-1,0)+1, OFFSET(_157721372917[[#This Row],[model]],-1,0))</f>
        <v>5</v>
      </c>
      <c r="B438">
        <v>3</v>
      </c>
      <c r="C438" s="5">
        <v>9.2592592592592591E-6</v>
      </c>
      <c r="D438">
        <v>18.875</v>
      </c>
      <c r="E438">
        <v>13</v>
      </c>
      <c r="F438">
        <v>5</v>
      </c>
      <c r="G438" s="5">
        <v>3.1249999999999997E-6</v>
      </c>
      <c r="H438" s="5">
        <v>7.1805555555555555E-4</v>
      </c>
      <c r="I438" s="5">
        <v>4.2189814814814815E-3</v>
      </c>
      <c r="J438" s="5">
        <v>3.1249999999999997E-6</v>
      </c>
    </row>
    <row r="439" spans="1:10" x14ac:dyDescent="0.25">
      <c r="A439">
        <f ca="1">IF(_157721372917[[#This Row],[instance]]&lt;OFFSET(_157721372917[[#This Row],[instance]],-1,0), OFFSET(_157721372917[[#This Row],[model]],-1,0)+1, OFFSET(_157721372917[[#This Row],[model]],-1,0))</f>
        <v>5</v>
      </c>
      <c r="B439">
        <v>3</v>
      </c>
      <c r="C439" s="5">
        <v>9.2592592592592591E-6</v>
      </c>
      <c r="D439">
        <v>19.625</v>
      </c>
      <c r="E439">
        <v>14</v>
      </c>
      <c r="F439">
        <v>5</v>
      </c>
      <c r="G439" s="5">
        <v>3.1249999999999997E-6</v>
      </c>
      <c r="H439" s="5">
        <v>7.1805555555555555E-4</v>
      </c>
      <c r="I439" s="5">
        <v>4.2189814814814815E-3</v>
      </c>
      <c r="J439" s="5">
        <v>3.1249999999999997E-6</v>
      </c>
    </row>
    <row r="440" spans="1:10" x14ac:dyDescent="0.25">
      <c r="A440">
        <f ca="1">IF(_157721372917[[#This Row],[instance]]&lt;OFFSET(_157721372917[[#This Row],[instance]],-1,0), OFFSET(_157721372917[[#This Row],[model]],-1,0)+1, OFFSET(_157721372917[[#This Row],[model]],-1,0))</f>
        <v>5</v>
      </c>
      <c r="B440">
        <v>3</v>
      </c>
      <c r="C440" s="5">
        <v>9.3749999999999992E-6</v>
      </c>
      <c r="D440">
        <v>20</v>
      </c>
      <c r="E440">
        <v>14</v>
      </c>
      <c r="F440">
        <v>5</v>
      </c>
      <c r="G440" s="5">
        <v>3.1249999999999997E-6</v>
      </c>
      <c r="H440" s="5">
        <v>7.1805555555555555E-4</v>
      </c>
      <c r="I440" s="5">
        <v>4.2189814814814815E-3</v>
      </c>
      <c r="J440" s="5">
        <v>3.1249999999999997E-6</v>
      </c>
    </row>
    <row r="441" spans="1:10" x14ac:dyDescent="0.25">
      <c r="A441">
        <f ca="1">IF(_157721372917[[#This Row],[instance]]&lt;OFFSET(_157721372917[[#This Row],[instance]],-1,0), OFFSET(_157721372917[[#This Row],[model]],-1,0)+1, OFFSET(_157721372917[[#This Row],[model]],-1,0))</f>
        <v>5</v>
      </c>
      <c r="B441">
        <v>3</v>
      </c>
      <c r="C441" s="5">
        <v>9.722222222222221E-6</v>
      </c>
      <c r="D441">
        <v>20.375</v>
      </c>
      <c r="E441">
        <v>15</v>
      </c>
      <c r="F441">
        <v>6</v>
      </c>
      <c r="G441" s="5">
        <v>3.1249999999999997E-6</v>
      </c>
      <c r="H441" s="5">
        <v>7.1805555555555555E-4</v>
      </c>
      <c r="I441" s="5">
        <v>4.2189814814814815E-3</v>
      </c>
      <c r="J441" s="5">
        <v>3.1249999999999997E-6</v>
      </c>
    </row>
    <row r="442" spans="1:10" x14ac:dyDescent="0.25">
      <c r="A442">
        <f ca="1">IF(_157721372917[[#This Row],[instance]]&lt;OFFSET(_157721372917[[#This Row],[instance]],-1,0), OFFSET(_157721372917[[#This Row],[model]],-1,0)+1, OFFSET(_157721372917[[#This Row],[model]],-1,0))</f>
        <v>5</v>
      </c>
      <c r="B442">
        <v>3</v>
      </c>
      <c r="C442" s="5">
        <v>1.0185185185185185E-5</v>
      </c>
      <c r="D442">
        <v>21.125</v>
      </c>
      <c r="E442">
        <v>16</v>
      </c>
      <c r="F442">
        <v>6</v>
      </c>
      <c r="G442" s="5">
        <v>3.1249999999999997E-6</v>
      </c>
      <c r="H442" s="5">
        <v>7.1805555555555555E-4</v>
      </c>
      <c r="I442" s="5">
        <v>4.2189814814814815E-3</v>
      </c>
      <c r="J442" s="5">
        <v>3.1249999999999997E-6</v>
      </c>
    </row>
    <row r="443" spans="1:10" x14ac:dyDescent="0.25">
      <c r="A443">
        <f ca="1">IF(_157721372917[[#This Row],[instance]]&lt;OFFSET(_157721372917[[#This Row],[instance]],-1,0), OFFSET(_157721372917[[#This Row],[model]],-1,0)+1, OFFSET(_157721372917[[#This Row],[model]],-1,0))</f>
        <v>5</v>
      </c>
      <c r="B443">
        <v>3</v>
      </c>
      <c r="C443" s="5">
        <v>7.2118055555555553E-4</v>
      </c>
      <c r="D443">
        <v>21.125</v>
      </c>
      <c r="E443">
        <v>16</v>
      </c>
      <c r="F443">
        <v>3</v>
      </c>
      <c r="G443" s="5">
        <v>3.1249999999999997E-6</v>
      </c>
      <c r="H443" s="5">
        <v>7.1805555555555555E-4</v>
      </c>
      <c r="I443" s="5">
        <v>4.2189814814814815E-3</v>
      </c>
      <c r="J443" s="5">
        <v>3.1249999999999997E-6</v>
      </c>
    </row>
    <row r="444" spans="1:10" x14ac:dyDescent="0.25">
      <c r="A444">
        <f ca="1">IF(_157721372917[[#This Row],[instance]]&lt;OFFSET(_157721372917[[#This Row],[instance]],-1,0), OFFSET(_157721372917[[#This Row],[model]],-1,0)+1, OFFSET(_157721372917[[#This Row],[model]],-1,0))</f>
        <v>5</v>
      </c>
      <c r="B444">
        <v>4</v>
      </c>
      <c r="C444" s="5">
        <v>6.712962962962963E-6</v>
      </c>
      <c r="D444">
        <v>0</v>
      </c>
      <c r="E444">
        <v>0</v>
      </c>
      <c r="F444">
        <v>0</v>
      </c>
      <c r="G444" s="5">
        <v>3.1249999999999997E-6</v>
      </c>
      <c r="H444" s="5">
        <v>2.6273148148148148E-5</v>
      </c>
      <c r="I444" s="5">
        <v>4.2189814814814815E-3</v>
      </c>
      <c r="J444" s="5">
        <v>3.1249999999999997E-6</v>
      </c>
    </row>
    <row r="445" spans="1:10" x14ac:dyDescent="0.25">
      <c r="A445">
        <f ca="1">IF(_157721372917[[#This Row],[instance]]&lt;OFFSET(_157721372917[[#This Row],[instance]],-1,0), OFFSET(_157721372917[[#This Row],[model]],-1,0)+1, OFFSET(_157721372917[[#This Row],[model]],-1,0))</f>
        <v>5</v>
      </c>
      <c r="B445">
        <v>4</v>
      </c>
      <c r="C445" s="5">
        <v>6.828703703703703E-6</v>
      </c>
      <c r="D445">
        <v>3</v>
      </c>
      <c r="E445">
        <v>1</v>
      </c>
      <c r="F445">
        <v>1</v>
      </c>
      <c r="G445" s="5">
        <v>3.1249999999999997E-6</v>
      </c>
      <c r="H445" s="5">
        <v>2.6273148148148148E-5</v>
      </c>
      <c r="I445" s="5">
        <v>4.2189814814814815E-3</v>
      </c>
      <c r="J445" s="5">
        <v>3.1249999999999997E-6</v>
      </c>
    </row>
    <row r="446" spans="1:10" x14ac:dyDescent="0.25">
      <c r="A446">
        <f ca="1">IF(_157721372917[[#This Row],[instance]]&lt;OFFSET(_157721372917[[#This Row],[instance]],-1,0), OFFSET(_157721372917[[#This Row],[model]],-1,0)+1, OFFSET(_157721372917[[#This Row],[model]],-1,0))</f>
        <v>5</v>
      </c>
      <c r="B446">
        <v>4</v>
      </c>
      <c r="C446" s="5">
        <v>6.9444444444444439E-6</v>
      </c>
      <c r="D446">
        <v>6</v>
      </c>
      <c r="E446">
        <v>2</v>
      </c>
      <c r="F446">
        <v>2</v>
      </c>
      <c r="G446" s="5">
        <v>3.1249999999999997E-6</v>
      </c>
      <c r="H446" s="5">
        <v>2.6273148148148148E-5</v>
      </c>
      <c r="I446" s="5">
        <v>4.2189814814814815E-3</v>
      </c>
      <c r="J446" s="5">
        <v>3.1249999999999997E-6</v>
      </c>
    </row>
    <row r="447" spans="1:10" x14ac:dyDescent="0.25">
      <c r="A447">
        <f ca="1">IF(_157721372917[[#This Row],[instance]]&lt;OFFSET(_157721372917[[#This Row],[instance]],-1,0), OFFSET(_157721372917[[#This Row],[model]],-1,0)+1, OFFSET(_157721372917[[#This Row],[model]],-1,0))</f>
        <v>5</v>
      </c>
      <c r="B447">
        <v>4</v>
      </c>
      <c r="C447" s="5">
        <v>6.9444444444444439E-6</v>
      </c>
      <c r="D447">
        <v>9</v>
      </c>
      <c r="E447">
        <v>3</v>
      </c>
      <c r="F447">
        <v>3</v>
      </c>
      <c r="G447" s="5">
        <v>3.1249999999999997E-6</v>
      </c>
      <c r="H447" s="5">
        <v>2.6273148148148148E-5</v>
      </c>
      <c r="I447" s="5">
        <v>4.2189814814814815E-3</v>
      </c>
      <c r="J447" s="5">
        <v>3.1249999999999997E-6</v>
      </c>
    </row>
    <row r="448" spans="1:10" x14ac:dyDescent="0.25">
      <c r="A448">
        <f ca="1">IF(_157721372917[[#This Row],[instance]]&lt;OFFSET(_157721372917[[#This Row],[instance]],-1,0), OFFSET(_157721372917[[#This Row],[model]],-1,0)+1, OFFSET(_157721372917[[#This Row],[model]],-1,0))</f>
        <v>5</v>
      </c>
      <c r="B448">
        <v>4</v>
      </c>
      <c r="C448" s="5">
        <v>7.0601851851851848E-6</v>
      </c>
      <c r="D448">
        <v>12</v>
      </c>
      <c r="E448">
        <v>4</v>
      </c>
      <c r="F448">
        <v>4</v>
      </c>
      <c r="G448" s="5">
        <v>3.1249999999999997E-6</v>
      </c>
      <c r="H448" s="5">
        <v>2.6273148148148148E-5</v>
      </c>
      <c r="I448" s="5">
        <v>4.2189814814814815E-3</v>
      </c>
      <c r="J448" s="5">
        <v>3.1249999999999997E-6</v>
      </c>
    </row>
    <row r="449" spans="1:10" x14ac:dyDescent="0.25">
      <c r="A449">
        <f ca="1">IF(_157721372917[[#This Row],[instance]]&lt;OFFSET(_157721372917[[#This Row],[instance]],-1,0), OFFSET(_157721372917[[#This Row],[model]],-1,0)+1, OFFSET(_157721372917[[#This Row],[model]],-1,0))</f>
        <v>5</v>
      </c>
      <c r="B449">
        <v>4</v>
      </c>
      <c r="C449" s="5">
        <v>7.0601851851851848E-6</v>
      </c>
      <c r="D449">
        <v>13</v>
      </c>
      <c r="E449">
        <v>5</v>
      </c>
      <c r="F449">
        <v>3</v>
      </c>
      <c r="G449" s="5">
        <v>3.1249999999999997E-6</v>
      </c>
      <c r="H449" s="5">
        <v>2.6273148148148148E-5</v>
      </c>
      <c r="I449" s="5">
        <v>4.2189814814814815E-3</v>
      </c>
      <c r="J449" s="5">
        <v>3.1249999999999997E-6</v>
      </c>
    </row>
    <row r="450" spans="1:10" x14ac:dyDescent="0.25">
      <c r="A450">
        <f ca="1">IF(_157721372917[[#This Row],[instance]]&lt;OFFSET(_157721372917[[#This Row],[instance]],-1,0), OFFSET(_157721372917[[#This Row],[model]],-1,0)+1, OFFSET(_157721372917[[#This Row],[model]],-1,0))</f>
        <v>5</v>
      </c>
      <c r="B450">
        <v>4</v>
      </c>
      <c r="C450" s="5">
        <v>7.1759259259259257E-6</v>
      </c>
      <c r="D450">
        <v>13.375</v>
      </c>
      <c r="E450">
        <v>6</v>
      </c>
      <c r="F450">
        <v>3</v>
      </c>
      <c r="G450" s="5">
        <v>3.1249999999999997E-6</v>
      </c>
      <c r="H450" s="5">
        <v>2.6273148148148148E-5</v>
      </c>
      <c r="I450" s="5">
        <v>4.2189814814814815E-3</v>
      </c>
      <c r="J450" s="5">
        <v>3.1249999999999997E-6</v>
      </c>
    </row>
    <row r="451" spans="1:10" x14ac:dyDescent="0.25">
      <c r="A451">
        <f ca="1">IF(_157721372917[[#This Row],[instance]]&lt;OFFSET(_157721372917[[#This Row],[instance]],-1,0), OFFSET(_157721372917[[#This Row],[model]],-1,0)+1, OFFSET(_157721372917[[#This Row],[model]],-1,0))</f>
        <v>5</v>
      </c>
      <c r="B451">
        <v>4</v>
      </c>
      <c r="C451" s="5">
        <v>7.2916666666666666E-6</v>
      </c>
      <c r="D451">
        <v>16</v>
      </c>
      <c r="E451">
        <v>6</v>
      </c>
      <c r="F451">
        <v>3</v>
      </c>
      <c r="G451" s="5">
        <v>3.1249999999999997E-6</v>
      </c>
      <c r="H451" s="5">
        <v>2.6273148148148148E-5</v>
      </c>
      <c r="I451" s="5">
        <v>4.2189814814814815E-3</v>
      </c>
      <c r="J451" s="5">
        <v>3.1249999999999997E-6</v>
      </c>
    </row>
    <row r="452" spans="1:10" x14ac:dyDescent="0.25">
      <c r="A452">
        <f ca="1">IF(_157721372917[[#This Row],[instance]]&lt;OFFSET(_157721372917[[#This Row],[instance]],-1,0), OFFSET(_157721372917[[#This Row],[model]],-1,0)+1, OFFSET(_157721372917[[#This Row],[model]],-1,0))</f>
        <v>5</v>
      </c>
      <c r="B452">
        <v>4</v>
      </c>
      <c r="C452" s="5">
        <v>7.2916666666666666E-6</v>
      </c>
      <c r="D452">
        <v>17</v>
      </c>
      <c r="E452">
        <v>7</v>
      </c>
      <c r="F452">
        <v>3</v>
      </c>
      <c r="G452" s="5">
        <v>3.1249999999999997E-6</v>
      </c>
      <c r="H452" s="5">
        <v>2.6273148148148148E-5</v>
      </c>
      <c r="I452" s="5">
        <v>4.2189814814814815E-3</v>
      </c>
      <c r="J452" s="5">
        <v>3.1249999999999997E-6</v>
      </c>
    </row>
    <row r="453" spans="1:10" x14ac:dyDescent="0.25">
      <c r="A453">
        <f ca="1">IF(_157721372917[[#This Row],[instance]]&lt;OFFSET(_157721372917[[#This Row],[instance]],-1,0), OFFSET(_157721372917[[#This Row],[model]],-1,0)+1, OFFSET(_157721372917[[#This Row],[model]],-1,0))</f>
        <v>5</v>
      </c>
      <c r="B453">
        <v>4</v>
      </c>
      <c r="C453" s="5">
        <v>7.4074074074074075E-6</v>
      </c>
      <c r="D453">
        <v>17</v>
      </c>
      <c r="E453">
        <v>7</v>
      </c>
      <c r="F453">
        <v>2</v>
      </c>
      <c r="G453" s="5">
        <v>3.1249999999999997E-6</v>
      </c>
      <c r="H453" s="5">
        <v>2.6273148148148148E-5</v>
      </c>
      <c r="I453" s="5">
        <v>4.2189814814814815E-3</v>
      </c>
      <c r="J453" s="5">
        <v>3.1249999999999997E-6</v>
      </c>
    </row>
    <row r="454" spans="1:10" x14ac:dyDescent="0.25">
      <c r="A454">
        <f ca="1">IF(_157721372917[[#This Row],[instance]]&lt;OFFSET(_157721372917[[#This Row],[instance]],-1,0), OFFSET(_157721372917[[#This Row],[model]],-1,0)+1, OFFSET(_157721372917[[#This Row],[model]],-1,0))</f>
        <v>5</v>
      </c>
      <c r="B454">
        <v>4</v>
      </c>
      <c r="C454" s="5">
        <v>7.4074074074074075E-6</v>
      </c>
      <c r="D454">
        <v>17.375</v>
      </c>
      <c r="E454">
        <v>8</v>
      </c>
      <c r="F454">
        <v>2</v>
      </c>
      <c r="G454" s="5">
        <v>3.1249999999999997E-6</v>
      </c>
      <c r="H454" s="5">
        <v>2.6273148148148148E-5</v>
      </c>
      <c r="I454" s="5">
        <v>4.2189814814814815E-3</v>
      </c>
      <c r="J454" s="5">
        <v>3.1249999999999997E-6</v>
      </c>
    </row>
    <row r="455" spans="1:10" x14ac:dyDescent="0.25">
      <c r="A455">
        <f ca="1">IF(_157721372917[[#This Row],[instance]]&lt;OFFSET(_157721372917[[#This Row],[instance]],-1,0), OFFSET(_157721372917[[#This Row],[model]],-1,0)+1, OFFSET(_157721372917[[#This Row],[model]],-1,0))</f>
        <v>5</v>
      </c>
      <c r="B455">
        <v>4</v>
      </c>
      <c r="C455" s="5">
        <v>7.8703703703703702E-6</v>
      </c>
      <c r="D455">
        <v>18.125</v>
      </c>
      <c r="E455">
        <v>9</v>
      </c>
      <c r="F455">
        <v>2</v>
      </c>
      <c r="G455" s="5">
        <v>3.1249999999999997E-6</v>
      </c>
      <c r="H455" s="5">
        <v>2.6273148148148148E-5</v>
      </c>
      <c r="I455" s="5">
        <v>4.2189814814814815E-3</v>
      </c>
      <c r="J455" s="5">
        <v>3.1249999999999997E-6</v>
      </c>
    </row>
    <row r="456" spans="1:10" x14ac:dyDescent="0.25">
      <c r="A456">
        <f ca="1">IF(_157721372917[[#This Row],[instance]]&lt;OFFSET(_157721372917[[#This Row],[instance]],-1,0), OFFSET(_157721372917[[#This Row],[model]],-1,0)+1, OFFSET(_157721372917[[#This Row],[model]],-1,0))</f>
        <v>5</v>
      </c>
      <c r="B456">
        <v>4</v>
      </c>
      <c r="C456" s="5">
        <v>8.217592592592592E-6</v>
      </c>
      <c r="D456">
        <v>18.5</v>
      </c>
      <c r="E456">
        <v>10</v>
      </c>
      <c r="F456">
        <v>3</v>
      </c>
      <c r="G456" s="5">
        <v>3.1249999999999997E-6</v>
      </c>
      <c r="H456" s="5">
        <v>2.6273148148148148E-5</v>
      </c>
      <c r="I456" s="5">
        <v>4.2189814814814815E-3</v>
      </c>
      <c r="J456" s="5">
        <v>3.1249999999999997E-6</v>
      </c>
    </row>
    <row r="457" spans="1:10" x14ac:dyDescent="0.25">
      <c r="A457">
        <f ca="1">IF(_157721372917[[#This Row],[instance]]&lt;OFFSET(_157721372917[[#This Row],[instance]],-1,0), OFFSET(_157721372917[[#This Row],[model]],-1,0)+1, OFFSET(_157721372917[[#This Row],[model]],-1,0))</f>
        <v>5</v>
      </c>
      <c r="B457">
        <v>4</v>
      </c>
      <c r="C457" s="5">
        <v>8.3333333333333337E-6</v>
      </c>
      <c r="D457">
        <v>19.5</v>
      </c>
      <c r="E457">
        <v>11</v>
      </c>
      <c r="F457">
        <v>4</v>
      </c>
      <c r="G457" s="5">
        <v>3.1249999999999997E-6</v>
      </c>
      <c r="H457" s="5">
        <v>2.6273148148148148E-5</v>
      </c>
      <c r="I457" s="5">
        <v>4.2189814814814815E-3</v>
      </c>
      <c r="J457" s="5">
        <v>3.1249999999999997E-6</v>
      </c>
    </row>
    <row r="458" spans="1:10" x14ac:dyDescent="0.25">
      <c r="A458">
        <f ca="1">IF(_157721372917[[#This Row],[instance]]&lt;OFFSET(_157721372917[[#This Row],[instance]],-1,0), OFFSET(_157721372917[[#This Row],[model]],-1,0)+1, OFFSET(_157721372917[[#This Row],[model]],-1,0))</f>
        <v>5</v>
      </c>
      <c r="B458">
        <v>4</v>
      </c>
      <c r="C458" s="5">
        <v>8.4490740740740738E-6</v>
      </c>
      <c r="D458">
        <v>20.25</v>
      </c>
      <c r="E458">
        <v>12</v>
      </c>
      <c r="F458">
        <v>4</v>
      </c>
      <c r="G458" s="5">
        <v>3.1249999999999997E-6</v>
      </c>
      <c r="H458" s="5">
        <v>2.6273148148148148E-5</v>
      </c>
      <c r="I458" s="5">
        <v>4.2189814814814815E-3</v>
      </c>
      <c r="J458" s="5">
        <v>3.1249999999999997E-6</v>
      </c>
    </row>
    <row r="459" spans="1:10" x14ac:dyDescent="0.25">
      <c r="A459">
        <f ca="1">IF(_157721372917[[#This Row],[instance]]&lt;OFFSET(_157721372917[[#This Row],[instance]],-1,0), OFFSET(_157721372917[[#This Row],[model]],-1,0)+1, OFFSET(_157721372917[[#This Row],[model]],-1,0))</f>
        <v>5</v>
      </c>
      <c r="B459">
        <v>4</v>
      </c>
      <c r="C459" s="5">
        <v>8.4490740740740738E-6</v>
      </c>
      <c r="D459">
        <v>20.5</v>
      </c>
      <c r="E459">
        <v>12</v>
      </c>
      <c r="F459">
        <v>4</v>
      </c>
      <c r="G459" s="5">
        <v>3.1249999999999997E-6</v>
      </c>
      <c r="H459" s="5">
        <v>2.6273148148148148E-5</v>
      </c>
      <c r="I459" s="5">
        <v>4.2189814814814815E-3</v>
      </c>
      <c r="J459" s="5">
        <v>3.1249999999999997E-6</v>
      </c>
    </row>
    <row r="460" spans="1:10" x14ac:dyDescent="0.25">
      <c r="A460">
        <f ca="1">IF(_157721372917[[#This Row],[instance]]&lt;OFFSET(_157721372917[[#This Row],[instance]],-1,0), OFFSET(_157721372917[[#This Row],[model]],-1,0)+1, OFFSET(_157721372917[[#This Row],[model]],-1,0))</f>
        <v>5</v>
      </c>
      <c r="B460">
        <v>4</v>
      </c>
      <c r="C460" s="5">
        <v>9.0277777777777774E-6</v>
      </c>
      <c r="D460">
        <v>21.25</v>
      </c>
      <c r="E460">
        <v>13</v>
      </c>
      <c r="F460">
        <v>4</v>
      </c>
      <c r="G460" s="5">
        <v>3.1249999999999997E-6</v>
      </c>
      <c r="H460" s="5">
        <v>2.6273148148148148E-5</v>
      </c>
      <c r="I460" s="5">
        <v>4.2189814814814815E-3</v>
      </c>
      <c r="J460" s="5">
        <v>3.1249999999999997E-6</v>
      </c>
    </row>
    <row r="461" spans="1:10" x14ac:dyDescent="0.25">
      <c r="A461">
        <f ca="1">IF(_157721372917[[#This Row],[instance]]&lt;OFFSET(_157721372917[[#This Row],[instance]],-1,0), OFFSET(_157721372917[[#This Row],[model]],-1,0)+1, OFFSET(_157721372917[[#This Row],[model]],-1,0))</f>
        <v>5</v>
      </c>
      <c r="B461">
        <v>4</v>
      </c>
      <c r="C461" s="5">
        <v>9.1435185185185174E-6</v>
      </c>
      <c r="D461">
        <v>21.25</v>
      </c>
      <c r="E461">
        <v>13</v>
      </c>
      <c r="F461">
        <v>3</v>
      </c>
      <c r="G461" s="5">
        <v>3.1249999999999997E-6</v>
      </c>
      <c r="H461" s="5">
        <v>2.6273148148148148E-5</v>
      </c>
      <c r="I461" s="5">
        <v>4.2189814814814815E-3</v>
      </c>
      <c r="J461" s="5">
        <v>3.1249999999999997E-6</v>
      </c>
    </row>
    <row r="462" spans="1:10" x14ac:dyDescent="0.25">
      <c r="A462">
        <f ca="1">IF(_157721372917[[#This Row],[instance]]&lt;OFFSET(_157721372917[[#This Row],[instance]],-1,0), OFFSET(_157721372917[[#This Row],[model]],-1,0)+1, OFFSET(_157721372917[[#This Row],[model]],-1,0))</f>
        <v>5</v>
      </c>
      <c r="B462">
        <v>4</v>
      </c>
      <c r="C462" s="5">
        <v>9.606481481481481E-6</v>
      </c>
      <c r="D462">
        <v>21.25</v>
      </c>
      <c r="E462">
        <v>13</v>
      </c>
      <c r="F462">
        <v>3</v>
      </c>
      <c r="G462" s="5">
        <v>3.1249999999999997E-6</v>
      </c>
      <c r="H462" s="5">
        <v>2.6273148148148148E-5</v>
      </c>
      <c r="I462" s="5">
        <v>4.2189814814814815E-3</v>
      </c>
      <c r="J462" s="5">
        <v>3.1249999999999997E-6</v>
      </c>
    </row>
    <row r="463" spans="1:10" x14ac:dyDescent="0.25">
      <c r="A463">
        <f ca="1">IF(_157721372917[[#This Row],[instance]]&lt;OFFSET(_157721372917[[#This Row],[instance]],-1,0), OFFSET(_157721372917[[#This Row],[model]],-1,0)+1, OFFSET(_157721372917[[#This Row],[model]],-1,0))</f>
        <v>5</v>
      </c>
      <c r="B463">
        <v>4</v>
      </c>
      <c r="C463" s="5">
        <v>9.606481481481481E-6</v>
      </c>
      <c r="D463">
        <v>21.625</v>
      </c>
      <c r="E463">
        <v>13</v>
      </c>
      <c r="F463">
        <v>3</v>
      </c>
      <c r="G463" s="5">
        <v>3.1249999999999997E-6</v>
      </c>
      <c r="H463" s="5">
        <v>2.6273148148148148E-5</v>
      </c>
      <c r="I463" s="5">
        <v>4.2189814814814815E-3</v>
      </c>
      <c r="J463" s="5">
        <v>3.1249999999999997E-6</v>
      </c>
    </row>
    <row r="464" spans="1:10" x14ac:dyDescent="0.25">
      <c r="A464">
        <f ca="1">IF(_157721372917[[#This Row],[instance]]&lt;OFFSET(_157721372917[[#This Row],[instance]],-1,0), OFFSET(_157721372917[[#This Row],[model]],-1,0)+1, OFFSET(_157721372917[[#This Row],[model]],-1,0))</f>
        <v>5</v>
      </c>
      <c r="B464">
        <v>4</v>
      </c>
      <c r="C464" s="5">
        <v>1.0648148148148148E-5</v>
      </c>
      <c r="D464">
        <v>21.875</v>
      </c>
      <c r="E464">
        <v>13</v>
      </c>
      <c r="F464">
        <v>3</v>
      </c>
      <c r="G464" s="5">
        <v>3.1249999999999997E-6</v>
      </c>
      <c r="H464" s="5">
        <v>2.6273148148148148E-5</v>
      </c>
      <c r="I464" s="5">
        <v>4.2189814814814815E-3</v>
      </c>
      <c r="J464" s="5">
        <v>3.1249999999999997E-6</v>
      </c>
    </row>
    <row r="465" spans="1:10" x14ac:dyDescent="0.25">
      <c r="A465">
        <f ca="1">IF(_157721372917[[#This Row],[instance]]&lt;OFFSET(_157721372917[[#This Row],[instance]],-1,0), OFFSET(_157721372917[[#This Row],[model]],-1,0)+1, OFFSET(_157721372917[[#This Row],[model]],-1,0))</f>
        <v>5</v>
      </c>
      <c r="B465">
        <v>4</v>
      </c>
      <c r="C465" s="5">
        <v>1.2847222222222222E-5</v>
      </c>
      <c r="D465">
        <v>22.875</v>
      </c>
      <c r="E465">
        <v>14</v>
      </c>
      <c r="F465">
        <v>4</v>
      </c>
      <c r="G465" s="5">
        <v>3.1249999999999997E-6</v>
      </c>
      <c r="H465" s="5">
        <v>2.6273148148148148E-5</v>
      </c>
      <c r="I465" s="5">
        <v>4.2189814814814815E-3</v>
      </c>
      <c r="J465" s="5">
        <v>3.1249999999999997E-6</v>
      </c>
    </row>
    <row r="466" spans="1:10" x14ac:dyDescent="0.25">
      <c r="A466">
        <f ca="1">IF(_157721372917[[#This Row],[instance]]&lt;OFFSET(_157721372917[[#This Row],[instance]],-1,0), OFFSET(_157721372917[[#This Row],[model]],-1,0)+1, OFFSET(_157721372917[[#This Row],[model]],-1,0))</f>
        <v>5</v>
      </c>
      <c r="B466">
        <v>4</v>
      </c>
      <c r="C466" s="5">
        <v>1.7939814814814815E-5</v>
      </c>
      <c r="D466">
        <v>22.875</v>
      </c>
      <c r="E466">
        <v>14</v>
      </c>
      <c r="F466">
        <v>3</v>
      </c>
      <c r="G466" s="5">
        <v>3.1249999999999997E-6</v>
      </c>
      <c r="H466" s="5">
        <v>2.6273148148148148E-5</v>
      </c>
      <c r="I466" s="5">
        <v>4.2189814814814815E-3</v>
      </c>
      <c r="J466" s="5">
        <v>3.1249999999999997E-6</v>
      </c>
    </row>
    <row r="467" spans="1:10" x14ac:dyDescent="0.25">
      <c r="A467">
        <f ca="1">IF(_157721372917[[#This Row],[instance]]&lt;OFFSET(_157721372917[[#This Row],[instance]],-1,0), OFFSET(_157721372917[[#This Row],[model]],-1,0)+1, OFFSET(_157721372917[[#This Row],[model]],-1,0))</f>
        <v>5</v>
      </c>
      <c r="B467">
        <v>4</v>
      </c>
      <c r="C467" s="5">
        <v>1.8865740740740738E-5</v>
      </c>
      <c r="D467">
        <v>22.875</v>
      </c>
      <c r="E467">
        <v>14</v>
      </c>
      <c r="F467">
        <v>3</v>
      </c>
      <c r="G467" s="5">
        <v>3.1249999999999997E-6</v>
      </c>
      <c r="H467" s="5">
        <v>2.6273148148148148E-5</v>
      </c>
      <c r="I467" s="5">
        <v>4.2189814814814815E-3</v>
      </c>
      <c r="J467" s="5">
        <v>3.1249999999999997E-6</v>
      </c>
    </row>
    <row r="468" spans="1:10" x14ac:dyDescent="0.25">
      <c r="A468">
        <f ca="1">IF(_157721372917[[#This Row],[instance]]&lt;OFFSET(_157721372917[[#This Row],[instance]],-1,0), OFFSET(_157721372917[[#This Row],[model]],-1,0)+1, OFFSET(_157721372917[[#This Row],[model]],-1,0))</f>
        <v>5</v>
      </c>
      <c r="B468">
        <v>4</v>
      </c>
      <c r="C468" s="5">
        <v>1.9907407407407406E-5</v>
      </c>
      <c r="D468">
        <v>23.625</v>
      </c>
      <c r="E468">
        <v>15</v>
      </c>
      <c r="F468">
        <v>4</v>
      </c>
      <c r="G468" s="5">
        <v>3.1249999999999997E-6</v>
      </c>
      <c r="H468" s="5">
        <v>2.6273148148148148E-5</v>
      </c>
      <c r="I468" s="5">
        <v>4.2189814814814815E-3</v>
      </c>
      <c r="J468" s="5">
        <v>3.1249999999999997E-6</v>
      </c>
    </row>
    <row r="469" spans="1:10" x14ac:dyDescent="0.25">
      <c r="A469">
        <f ca="1">IF(_157721372917[[#This Row],[instance]]&lt;OFFSET(_157721372917[[#This Row],[instance]],-1,0), OFFSET(_157721372917[[#This Row],[model]],-1,0)+1, OFFSET(_157721372917[[#This Row],[model]],-1,0))</f>
        <v>5</v>
      </c>
      <c r="B469">
        <v>4</v>
      </c>
      <c r="C469" s="5">
        <v>2.3032407407407407E-5</v>
      </c>
      <c r="D469">
        <v>24</v>
      </c>
      <c r="E469">
        <v>16</v>
      </c>
      <c r="F469">
        <v>4</v>
      </c>
      <c r="G469" s="5">
        <v>3.1249999999999997E-6</v>
      </c>
      <c r="H469" s="5">
        <v>2.6273148148148148E-5</v>
      </c>
      <c r="I469" s="5">
        <v>4.2189814814814815E-3</v>
      </c>
      <c r="J469" s="5">
        <v>3.1249999999999997E-6</v>
      </c>
    </row>
    <row r="470" spans="1:10" x14ac:dyDescent="0.25">
      <c r="A470">
        <f ca="1">IF(_157721372917[[#This Row],[instance]]&lt;OFFSET(_157721372917[[#This Row],[instance]],-1,0), OFFSET(_157721372917[[#This Row],[model]],-1,0)+1, OFFSET(_157721372917[[#This Row],[model]],-1,0))</f>
        <v>5</v>
      </c>
      <c r="B470">
        <v>4</v>
      </c>
      <c r="C470" s="5">
        <v>2.8124999999999999E-5</v>
      </c>
      <c r="D470">
        <v>24</v>
      </c>
      <c r="E470">
        <v>16</v>
      </c>
      <c r="F470">
        <v>4</v>
      </c>
      <c r="G470" s="5">
        <v>3.1249999999999997E-6</v>
      </c>
      <c r="H470" s="5">
        <v>2.6273148148148148E-5</v>
      </c>
      <c r="I470" s="5">
        <v>4.2189814814814815E-3</v>
      </c>
      <c r="J470" s="5">
        <v>3.1249999999999997E-6</v>
      </c>
    </row>
    <row r="471" spans="1:10" x14ac:dyDescent="0.25">
      <c r="A471">
        <f ca="1">IF(_157721372917[[#This Row],[instance]]&lt;OFFSET(_157721372917[[#This Row],[instance]],-1,0), OFFSET(_157721372917[[#This Row],[model]],-1,0)+1, OFFSET(_157721372917[[#This Row],[model]],-1,0))</f>
        <v>5</v>
      </c>
      <c r="B471">
        <v>4</v>
      </c>
      <c r="C471" s="5">
        <v>2.9282407407407406E-5</v>
      </c>
      <c r="D471">
        <v>24</v>
      </c>
      <c r="E471">
        <v>16</v>
      </c>
      <c r="F471">
        <v>3</v>
      </c>
      <c r="G471" s="5">
        <v>3.1249999999999997E-6</v>
      </c>
      <c r="H471" s="5">
        <v>2.6273148148148148E-5</v>
      </c>
      <c r="I471" s="5">
        <v>4.2189814814814815E-3</v>
      </c>
      <c r="J471" s="5">
        <v>3.1249999999999997E-6</v>
      </c>
    </row>
    <row r="472" spans="1:10" x14ac:dyDescent="0.25">
      <c r="A472">
        <f ca="1">IF(_157721372917[[#This Row],[instance]]&lt;OFFSET(_157721372917[[#This Row],[instance]],-1,0), OFFSET(_157721372917[[#This Row],[model]],-1,0)+1, OFFSET(_157721372917[[#This Row],[model]],-1,0))</f>
        <v>5</v>
      </c>
      <c r="B472">
        <v>5</v>
      </c>
      <c r="C472" s="5">
        <v>6.712962962962963E-6</v>
      </c>
      <c r="D472">
        <v>0</v>
      </c>
      <c r="E472">
        <v>0</v>
      </c>
      <c r="F472">
        <v>0</v>
      </c>
      <c r="G472" s="5">
        <v>3.1249999999999997E-6</v>
      </c>
      <c r="H472" s="5">
        <v>9.0277777777777774E-6</v>
      </c>
      <c r="I472" s="5">
        <v>4.2189814814814815E-3</v>
      </c>
      <c r="J472" s="5">
        <v>3.1249999999999997E-6</v>
      </c>
    </row>
    <row r="473" spans="1:10" x14ac:dyDescent="0.25">
      <c r="A473">
        <f ca="1">IF(_157721372917[[#This Row],[instance]]&lt;OFFSET(_157721372917[[#This Row],[instance]],-1,0), OFFSET(_157721372917[[#This Row],[model]],-1,0)+1, OFFSET(_157721372917[[#This Row],[model]],-1,0))</f>
        <v>5</v>
      </c>
      <c r="B473">
        <v>5</v>
      </c>
      <c r="C473" s="5">
        <v>8.7962962962962956E-6</v>
      </c>
      <c r="D473">
        <v>1.125</v>
      </c>
      <c r="E473">
        <v>3</v>
      </c>
      <c r="F473">
        <v>1</v>
      </c>
      <c r="G473" s="5">
        <v>3.1249999999999997E-6</v>
      </c>
      <c r="H473" s="5">
        <v>9.0277777777777774E-6</v>
      </c>
      <c r="I473" s="5">
        <v>4.2189814814814815E-3</v>
      </c>
      <c r="J473" s="5">
        <v>3.1249999999999997E-6</v>
      </c>
    </row>
    <row r="474" spans="1:10" x14ac:dyDescent="0.25">
      <c r="A474">
        <f ca="1">IF(_157721372917[[#This Row],[instance]]&lt;OFFSET(_157721372917[[#This Row],[instance]],-1,0), OFFSET(_157721372917[[#This Row],[model]],-1,0)+1, OFFSET(_157721372917[[#This Row],[model]],-1,0))</f>
        <v>5</v>
      </c>
      <c r="B474">
        <v>5</v>
      </c>
      <c r="C474" s="5">
        <v>8.7962962962962956E-6</v>
      </c>
      <c r="D474">
        <v>1.5</v>
      </c>
      <c r="E474">
        <v>4</v>
      </c>
      <c r="F474">
        <v>1</v>
      </c>
      <c r="G474" s="5">
        <v>3.1249999999999997E-6</v>
      </c>
      <c r="H474" s="5">
        <v>9.0277777777777774E-6</v>
      </c>
      <c r="I474" s="5">
        <v>4.2189814814814815E-3</v>
      </c>
      <c r="J474" s="5">
        <v>3.1249999999999997E-6</v>
      </c>
    </row>
    <row r="475" spans="1:10" x14ac:dyDescent="0.25">
      <c r="A475">
        <f ca="1">IF(_157721372917[[#This Row],[instance]]&lt;OFFSET(_157721372917[[#This Row],[instance]],-1,0), OFFSET(_157721372917[[#This Row],[model]],-1,0)+1, OFFSET(_157721372917[[#This Row],[model]],-1,0))</f>
        <v>5</v>
      </c>
      <c r="B475">
        <v>5</v>
      </c>
      <c r="C475" s="5">
        <v>1.0300925925925926E-5</v>
      </c>
      <c r="D475">
        <v>8.125</v>
      </c>
      <c r="E475">
        <v>8</v>
      </c>
      <c r="F475">
        <v>2</v>
      </c>
      <c r="G475" s="5">
        <v>3.1249999999999997E-6</v>
      </c>
      <c r="H475" s="5">
        <v>9.0277777777777774E-6</v>
      </c>
      <c r="I475" s="5">
        <v>4.2189814814814815E-3</v>
      </c>
      <c r="J475" s="5">
        <v>3.1249999999999997E-6</v>
      </c>
    </row>
    <row r="476" spans="1:10" x14ac:dyDescent="0.25">
      <c r="A476">
        <f ca="1">IF(_157721372917[[#This Row],[instance]]&lt;OFFSET(_157721372917[[#This Row],[instance]],-1,0), OFFSET(_157721372917[[#This Row],[model]],-1,0)+1, OFFSET(_157721372917[[#This Row],[model]],-1,0))</f>
        <v>5</v>
      </c>
      <c r="B476">
        <v>5</v>
      </c>
      <c r="C476" s="5">
        <v>1.0416666666666666E-5</v>
      </c>
      <c r="D476">
        <v>9.125</v>
      </c>
      <c r="E476">
        <v>9</v>
      </c>
      <c r="F476">
        <v>2</v>
      </c>
      <c r="G476" s="5">
        <v>3.1249999999999997E-6</v>
      </c>
      <c r="H476" s="5">
        <v>9.0277777777777774E-6</v>
      </c>
      <c r="I476" s="5">
        <v>4.2189814814814815E-3</v>
      </c>
      <c r="J476" s="5">
        <v>3.1249999999999997E-6</v>
      </c>
    </row>
    <row r="477" spans="1:10" x14ac:dyDescent="0.25">
      <c r="A477">
        <f ca="1">IF(_157721372917[[#This Row],[instance]]&lt;OFFSET(_157721372917[[#This Row],[instance]],-1,0), OFFSET(_157721372917[[#This Row],[model]],-1,0)+1, OFFSET(_157721372917[[#This Row],[model]],-1,0))</f>
        <v>5</v>
      </c>
      <c r="B477">
        <v>5</v>
      </c>
      <c r="C477" s="5">
        <v>1.0416666666666666E-5</v>
      </c>
      <c r="D477">
        <v>10.625</v>
      </c>
      <c r="E477">
        <v>10</v>
      </c>
      <c r="F477">
        <v>2</v>
      </c>
      <c r="G477" s="5">
        <v>3.1249999999999997E-6</v>
      </c>
      <c r="H477" s="5">
        <v>9.0277777777777774E-6</v>
      </c>
      <c r="I477" s="5">
        <v>4.2189814814814815E-3</v>
      </c>
      <c r="J477" s="5">
        <v>3.1249999999999997E-6</v>
      </c>
    </row>
    <row r="478" spans="1:10" x14ac:dyDescent="0.25">
      <c r="A478">
        <f ca="1">IF(_157721372917[[#This Row],[instance]]&lt;OFFSET(_157721372917[[#This Row],[instance]],-1,0), OFFSET(_157721372917[[#This Row],[model]],-1,0)+1, OFFSET(_157721372917[[#This Row],[model]],-1,0))</f>
        <v>5</v>
      </c>
      <c r="B478">
        <v>5</v>
      </c>
      <c r="C478" s="5">
        <v>1.0416666666666666E-5</v>
      </c>
      <c r="D478">
        <v>11.625</v>
      </c>
      <c r="E478">
        <v>11</v>
      </c>
      <c r="F478">
        <v>2</v>
      </c>
      <c r="G478" s="5">
        <v>3.1249999999999997E-6</v>
      </c>
      <c r="H478" s="5">
        <v>9.0277777777777774E-6</v>
      </c>
      <c r="I478" s="5">
        <v>4.2189814814814815E-3</v>
      </c>
      <c r="J478" s="5">
        <v>3.1249999999999997E-6</v>
      </c>
    </row>
    <row r="479" spans="1:10" x14ac:dyDescent="0.25">
      <c r="A479">
        <f ca="1">IF(_157721372917[[#This Row],[instance]]&lt;OFFSET(_157721372917[[#This Row],[instance]],-1,0), OFFSET(_157721372917[[#This Row],[model]],-1,0)+1, OFFSET(_157721372917[[#This Row],[model]],-1,0))</f>
        <v>5</v>
      </c>
      <c r="B479">
        <v>5</v>
      </c>
      <c r="C479" s="5">
        <v>1.0532407407407406E-5</v>
      </c>
      <c r="D479">
        <v>12</v>
      </c>
      <c r="E479">
        <v>12</v>
      </c>
      <c r="F479">
        <v>2</v>
      </c>
      <c r="G479" s="5">
        <v>3.1249999999999997E-6</v>
      </c>
      <c r="H479" s="5">
        <v>9.0277777777777774E-6</v>
      </c>
      <c r="I479" s="5">
        <v>4.2189814814814815E-3</v>
      </c>
      <c r="J479" s="5">
        <v>3.1249999999999997E-6</v>
      </c>
    </row>
    <row r="480" spans="1:10" x14ac:dyDescent="0.25">
      <c r="A480">
        <f ca="1">IF(_157721372917[[#This Row],[instance]]&lt;OFFSET(_157721372917[[#This Row],[instance]],-1,0), OFFSET(_157721372917[[#This Row],[model]],-1,0)+1, OFFSET(_157721372917[[#This Row],[model]],-1,0))</f>
        <v>5</v>
      </c>
      <c r="B480">
        <v>5</v>
      </c>
      <c r="C480" s="5">
        <v>1.1342592592592592E-5</v>
      </c>
      <c r="D480">
        <v>13.5</v>
      </c>
      <c r="E480">
        <v>13</v>
      </c>
      <c r="F480">
        <v>2</v>
      </c>
      <c r="G480" s="5">
        <v>3.1249999999999997E-6</v>
      </c>
      <c r="H480" s="5">
        <v>9.0277777777777774E-6</v>
      </c>
      <c r="I480" s="5">
        <v>4.2189814814814815E-3</v>
      </c>
      <c r="J480" s="5">
        <v>3.1249999999999997E-6</v>
      </c>
    </row>
    <row r="481" spans="1:10" x14ac:dyDescent="0.25">
      <c r="A481">
        <f ca="1">IF(_157721372917[[#This Row],[instance]]&lt;OFFSET(_157721372917[[#This Row],[instance]],-1,0), OFFSET(_157721372917[[#This Row],[model]],-1,0)+1, OFFSET(_157721372917[[#This Row],[model]],-1,0))</f>
        <v>5</v>
      </c>
      <c r="B481">
        <v>5</v>
      </c>
      <c r="C481" s="5">
        <v>1.1342592592592592E-5</v>
      </c>
      <c r="D481">
        <v>14.625</v>
      </c>
      <c r="E481">
        <v>13</v>
      </c>
      <c r="F481">
        <v>2</v>
      </c>
      <c r="G481" s="5">
        <v>3.1249999999999997E-6</v>
      </c>
      <c r="H481" s="5">
        <v>9.0277777777777774E-6</v>
      </c>
      <c r="I481" s="5">
        <v>4.2189814814814815E-3</v>
      </c>
      <c r="J481" s="5">
        <v>3.1249999999999997E-6</v>
      </c>
    </row>
    <row r="482" spans="1:10" x14ac:dyDescent="0.25">
      <c r="A482">
        <f ca="1">IF(_157721372917[[#This Row],[instance]]&lt;OFFSET(_157721372917[[#This Row],[instance]],-1,0), OFFSET(_157721372917[[#This Row],[model]],-1,0)+1, OFFSET(_157721372917[[#This Row],[model]],-1,0))</f>
        <v>5</v>
      </c>
      <c r="B482">
        <v>5</v>
      </c>
      <c r="C482" s="5">
        <v>1.1342592592592592E-5</v>
      </c>
      <c r="D482">
        <v>15</v>
      </c>
      <c r="E482">
        <v>14</v>
      </c>
      <c r="F482">
        <v>2</v>
      </c>
      <c r="G482" s="5">
        <v>3.1249999999999997E-6</v>
      </c>
      <c r="H482" s="5">
        <v>9.0277777777777774E-6</v>
      </c>
      <c r="I482" s="5">
        <v>4.2189814814814815E-3</v>
      </c>
      <c r="J482" s="5">
        <v>3.1249999999999997E-6</v>
      </c>
    </row>
    <row r="483" spans="1:10" x14ac:dyDescent="0.25">
      <c r="A483">
        <f ca="1">IF(_157721372917[[#This Row],[instance]]&lt;OFFSET(_157721372917[[#This Row],[instance]],-1,0), OFFSET(_157721372917[[#This Row],[model]],-1,0)+1, OFFSET(_157721372917[[#This Row],[model]],-1,0))</f>
        <v>5</v>
      </c>
      <c r="B483">
        <v>5</v>
      </c>
      <c r="C483" s="5">
        <v>1.1342592592592592E-5</v>
      </c>
      <c r="D483">
        <v>15.375</v>
      </c>
      <c r="E483">
        <v>15</v>
      </c>
      <c r="F483">
        <v>3</v>
      </c>
      <c r="G483" s="5">
        <v>3.1249999999999997E-6</v>
      </c>
      <c r="H483" s="5">
        <v>9.0277777777777774E-6</v>
      </c>
      <c r="I483" s="5">
        <v>4.2189814814814815E-3</v>
      </c>
      <c r="J483" s="5">
        <v>3.1249999999999997E-6</v>
      </c>
    </row>
    <row r="484" spans="1:10" x14ac:dyDescent="0.25">
      <c r="A484">
        <f ca="1">IF(_157721372917[[#This Row],[instance]]&lt;OFFSET(_157721372917[[#This Row],[instance]],-1,0), OFFSET(_157721372917[[#This Row],[model]],-1,0)+1, OFFSET(_157721372917[[#This Row],[model]],-1,0))</f>
        <v>5</v>
      </c>
      <c r="B484">
        <v>5</v>
      </c>
      <c r="C484" s="5">
        <v>1.1921296296296295E-5</v>
      </c>
      <c r="D484">
        <v>16.375</v>
      </c>
      <c r="E484">
        <v>16</v>
      </c>
      <c r="F484">
        <v>3</v>
      </c>
      <c r="G484" s="5">
        <v>3.1249999999999997E-6</v>
      </c>
      <c r="H484" s="5">
        <v>9.0277777777777774E-6</v>
      </c>
      <c r="I484" s="5">
        <v>4.2189814814814815E-3</v>
      </c>
      <c r="J484" s="5">
        <v>3.1249999999999997E-6</v>
      </c>
    </row>
    <row r="485" spans="1:10" x14ac:dyDescent="0.25">
      <c r="A485">
        <f ca="1">IF(_157721372917[[#This Row],[instance]]&lt;OFFSET(_157721372917[[#This Row],[instance]],-1,0), OFFSET(_157721372917[[#This Row],[model]],-1,0)+1, OFFSET(_157721372917[[#This Row],[model]],-1,0))</f>
        <v>5</v>
      </c>
      <c r="B485">
        <v>5</v>
      </c>
      <c r="C485" s="5">
        <v>1.2037037037037037E-5</v>
      </c>
      <c r="D485">
        <v>16.375</v>
      </c>
      <c r="E485">
        <v>16</v>
      </c>
      <c r="F485">
        <v>2</v>
      </c>
      <c r="G485" s="5">
        <v>3.1249999999999997E-6</v>
      </c>
      <c r="H485" s="5">
        <v>9.0277777777777774E-6</v>
      </c>
      <c r="I485" s="5">
        <v>4.2189814814814815E-3</v>
      </c>
      <c r="J485" s="5">
        <v>3.1249999999999997E-6</v>
      </c>
    </row>
    <row r="486" spans="1:10" x14ac:dyDescent="0.25">
      <c r="A486">
        <f ca="1">IF(_157721372917[[#This Row],[instance]]&lt;OFFSET(_157721372917[[#This Row],[instance]],-1,0), OFFSET(_157721372917[[#This Row],[model]],-1,0)+1, OFFSET(_157721372917[[#This Row],[model]],-1,0))</f>
        <v>5</v>
      </c>
      <c r="B486">
        <v>6</v>
      </c>
      <c r="C486" s="5">
        <v>6.828703703703703E-6</v>
      </c>
      <c r="D486">
        <v>0</v>
      </c>
      <c r="E486">
        <v>0</v>
      </c>
      <c r="F486">
        <v>0</v>
      </c>
      <c r="G486" s="5">
        <v>3.1249999999999997E-6</v>
      </c>
      <c r="H486" s="5">
        <v>6.944791666666666E-3</v>
      </c>
      <c r="I486" s="5">
        <v>4.2189814814814815E-3</v>
      </c>
      <c r="J486" s="5">
        <v>3.1249999999999997E-6</v>
      </c>
    </row>
    <row r="487" spans="1:10" x14ac:dyDescent="0.25">
      <c r="A487">
        <f ca="1">IF(_157721372917[[#This Row],[instance]]&lt;OFFSET(_157721372917[[#This Row],[instance]],-1,0), OFFSET(_157721372917[[#This Row],[model]],-1,0)+1, OFFSET(_157721372917[[#This Row],[model]],-1,0))</f>
        <v>5</v>
      </c>
      <c r="B487">
        <v>6</v>
      </c>
      <c r="C487" s="5">
        <v>6.9444444444444439E-6</v>
      </c>
      <c r="D487">
        <v>3</v>
      </c>
      <c r="E487">
        <v>1</v>
      </c>
      <c r="F487">
        <v>1</v>
      </c>
      <c r="G487" s="5">
        <v>3.1249999999999997E-6</v>
      </c>
      <c r="H487" s="5">
        <v>6.944791666666666E-3</v>
      </c>
      <c r="I487" s="5">
        <v>4.2189814814814815E-3</v>
      </c>
      <c r="J487" s="5">
        <v>3.1249999999999997E-6</v>
      </c>
    </row>
    <row r="488" spans="1:10" x14ac:dyDescent="0.25">
      <c r="A488">
        <f ca="1">IF(_157721372917[[#This Row],[instance]]&lt;OFFSET(_157721372917[[#This Row],[instance]],-1,0), OFFSET(_157721372917[[#This Row],[model]],-1,0)+1, OFFSET(_157721372917[[#This Row],[model]],-1,0))</f>
        <v>5</v>
      </c>
      <c r="B488">
        <v>6</v>
      </c>
      <c r="C488" s="5">
        <v>7.0601851851851848E-6</v>
      </c>
      <c r="D488">
        <v>6</v>
      </c>
      <c r="E488">
        <v>2</v>
      </c>
      <c r="F488">
        <v>2</v>
      </c>
      <c r="G488" s="5">
        <v>3.1249999999999997E-6</v>
      </c>
      <c r="H488" s="5">
        <v>6.944791666666666E-3</v>
      </c>
      <c r="I488" s="5">
        <v>4.2189814814814815E-3</v>
      </c>
      <c r="J488" s="5">
        <v>3.1249999999999997E-6</v>
      </c>
    </row>
    <row r="489" spans="1:10" x14ac:dyDescent="0.25">
      <c r="A489">
        <f ca="1">IF(_157721372917[[#This Row],[instance]]&lt;OFFSET(_157721372917[[#This Row],[instance]],-1,0), OFFSET(_157721372917[[#This Row],[model]],-1,0)+1, OFFSET(_157721372917[[#This Row],[model]],-1,0))</f>
        <v>5</v>
      </c>
      <c r="B489">
        <v>6</v>
      </c>
      <c r="C489" s="5">
        <v>1.8634259259259258E-5</v>
      </c>
      <c r="D489">
        <v>10.5</v>
      </c>
      <c r="E489">
        <v>7</v>
      </c>
      <c r="F489">
        <v>3</v>
      </c>
      <c r="G489" s="5">
        <v>3.1249999999999997E-6</v>
      </c>
      <c r="H489" s="5">
        <v>6.944791666666666E-3</v>
      </c>
      <c r="I489" s="5">
        <v>4.2189814814814815E-3</v>
      </c>
      <c r="J489" s="5">
        <v>3.1249999999999997E-6</v>
      </c>
    </row>
    <row r="490" spans="1:10" x14ac:dyDescent="0.25">
      <c r="A490">
        <f ca="1">IF(_157721372917[[#This Row],[instance]]&lt;OFFSET(_157721372917[[#This Row],[instance]],-1,0), OFFSET(_157721372917[[#This Row],[model]],-1,0)+1, OFFSET(_157721372917[[#This Row],[model]],-1,0))</f>
        <v>5</v>
      </c>
      <c r="B490">
        <v>6</v>
      </c>
      <c r="C490" s="5">
        <v>1.8634259259259258E-5</v>
      </c>
      <c r="D490">
        <v>10.875</v>
      </c>
      <c r="E490">
        <v>8</v>
      </c>
      <c r="F490">
        <v>3</v>
      </c>
      <c r="G490" s="5">
        <v>3.1249999999999997E-6</v>
      </c>
      <c r="H490" s="5">
        <v>6.944791666666666E-3</v>
      </c>
      <c r="I490" s="5">
        <v>4.2189814814814815E-3</v>
      </c>
      <c r="J490" s="5">
        <v>3.1249999999999997E-6</v>
      </c>
    </row>
    <row r="491" spans="1:10" x14ac:dyDescent="0.25">
      <c r="A491">
        <f ca="1">IF(_157721372917[[#This Row],[instance]]&lt;OFFSET(_157721372917[[#This Row],[instance]],-1,0), OFFSET(_157721372917[[#This Row],[model]],-1,0)+1, OFFSET(_157721372917[[#This Row],[model]],-1,0))</f>
        <v>5</v>
      </c>
      <c r="B491">
        <v>6</v>
      </c>
      <c r="C491" s="5">
        <v>1.8749999999999998E-5</v>
      </c>
      <c r="D491">
        <v>11.25</v>
      </c>
      <c r="E491">
        <v>9</v>
      </c>
      <c r="F491">
        <v>3</v>
      </c>
      <c r="G491" s="5">
        <v>3.1249999999999997E-6</v>
      </c>
      <c r="H491" s="5">
        <v>6.944791666666666E-3</v>
      </c>
      <c r="I491" s="5">
        <v>4.2189814814814815E-3</v>
      </c>
      <c r="J491" s="5">
        <v>3.1249999999999997E-6</v>
      </c>
    </row>
    <row r="492" spans="1:10" x14ac:dyDescent="0.25">
      <c r="A492">
        <f ca="1">IF(_157721372917[[#This Row],[instance]]&lt;OFFSET(_157721372917[[#This Row],[instance]],-1,0), OFFSET(_157721372917[[#This Row],[model]],-1,0)+1, OFFSET(_157721372917[[#This Row],[model]],-1,0))</f>
        <v>5</v>
      </c>
      <c r="B492">
        <v>6</v>
      </c>
      <c r="C492" s="5">
        <v>1.8749999999999998E-5</v>
      </c>
      <c r="D492">
        <v>11.875</v>
      </c>
      <c r="E492">
        <v>9</v>
      </c>
      <c r="F492">
        <v>3</v>
      </c>
      <c r="G492" s="5">
        <v>3.1249999999999997E-6</v>
      </c>
      <c r="H492" s="5">
        <v>6.944791666666666E-3</v>
      </c>
      <c r="I492" s="5">
        <v>4.2189814814814815E-3</v>
      </c>
      <c r="J492" s="5">
        <v>3.1249999999999997E-6</v>
      </c>
    </row>
    <row r="493" spans="1:10" x14ac:dyDescent="0.25">
      <c r="A493">
        <f ca="1">IF(_157721372917[[#This Row],[instance]]&lt;OFFSET(_157721372917[[#This Row],[instance]],-1,0), OFFSET(_157721372917[[#This Row],[model]],-1,0)+1, OFFSET(_157721372917[[#This Row],[model]],-1,0))</f>
        <v>5</v>
      </c>
      <c r="B493">
        <v>6</v>
      </c>
      <c r="C493" s="5">
        <v>1.8749999999999998E-5</v>
      </c>
      <c r="D493">
        <v>12.625</v>
      </c>
      <c r="E493">
        <v>10</v>
      </c>
      <c r="F493">
        <v>3</v>
      </c>
      <c r="G493" s="5">
        <v>3.1249999999999997E-6</v>
      </c>
      <c r="H493" s="5">
        <v>6.944791666666666E-3</v>
      </c>
      <c r="I493" s="5">
        <v>4.2189814814814815E-3</v>
      </c>
      <c r="J493" s="5">
        <v>3.1249999999999997E-6</v>
      </c>
    </row>
    <row r="494" spans="1:10" x14ac:dyDescent="0.25">
      <c r="A494">
        <f ca="1">IF(_157721372917[[#This Row],[instance]]&lt;OFFSET(_157721372917[[#This Row],[instance]],-1,0), OFFSET(_157721372917[[#This Row],[model]],-1,0)+1, OFFSET(_157721372917[[#This Row],[model]],-1,0))</f>
        <v>5</v>
      </c>
      <c r="B494">
        <v>6</v>
      </c>
      <c r="C494" s="5">
        <v>1.8981481481481482E-5</v>
      </c>
      <c r="D494">
        <v>13</v>
      </c>
      <c r="E494">
        <v>10</v>
      </c>
      <c r="F494">
        <v>3</v>
      </c>
      <c r="G494" s="5">
        <v>3.1249999999999997E-6</v>
      </c>
      <c r="H494" s="5">
        <v>6.944791666666666E-3</v>
      </c>
      <c r="I494" s="5">
        <v>4.2189814814814815E-3</v>
      </c>
      <c r="J494" s="5">
        <v>3.1249999999999997E-6</v>
      </c>
    </row>
    <row r="495" spans="1:10" x14ac:dyDescent="0.25">
      <c r="A495">
        <f ca="1">IF(_157721372917[[#This Row],[instance]]&lt;OFFSET(_157721372917[[#This Row],[instance]],-1,0), OFFSET(_157721372917[[#This Row],[model]],-1,0)+1, OFFSET(_157721372917[[#This Row],[model]],-1,0))</f>
        <v>5</v>
      </c>
      <c r="B495">
        <v>6</v>
      </c>
      <c r="C495" s="5">
        <v>1.9328703703703702E-5</v>
      </c>
      <c r="D495">
        <v>13.25</v>
      </c>
      <c r="E495">
        <v>10</v>
      </c>
      <c r="F495">
        <v>3</v>
      </c>
      <c r="G495" s="5">
        <v>3.1249999999999997E-6</v>
      </c>
      <c r="H495" s="5">
        <v>6.944791666666666E-3</v>
      </c>
      <c r="I495" s="5">
        <v>4.2189814814814815E-3</v>
      </c>
      <c r="J495" s="5">
        <v>3.1249999999999997E-6</v>
      </c>
    </row>
    <row r="496" spans="1:10" x14ac:dyDescent="0.25">
      <c r="A496">
        <f ca="1">IF(_157721372917[[#This Row],[instance]]&lt;OFFSET(_157721372917[[#This Row],[instance]],-1,0), OFFSET(_157721372917[[#This Row],[model]],-1,0)+1, OFFSET(_157721372917[[#This Row],[model]],-1,0))</f>
        <v>5</v>
      </c>
      <c r="B496">
        <v>6</v>
      </c>
      <c r="C496" s="5">
        <v>1.9328703703703702E-5</v>
      </c>
      <c r="D496">
        <v>13.625</v>
      </c>
      <c r="E496">
        <v>11</v>
      </c>
      <c r="F496">
        <v>3</v>
      </c>
      <c r="G496" s="5">
        <v>3.1249999999999997E-6</v>
      </c>
      <c r="H496" s="5">
        <v>6.944791666666666E-3</v>
      </c>
      <c r="I496" s="5">
        <v>4.2189814814814815E-3</v>
      </c>
      <c r="J496" s="5">
        <v>3.1249999999999997E-6</v>
      </c>
    </row>
    <row r="497" spans="1:10" x14ac:dyDescent="0.25">
      <c r="A497">
        <f ca="1">IF(_157721372917[[#This Row],[instance]]&lt;OFFSET(_157721372917[[#This Row],[instance]],-1,0), OFFSET(_157721372917[[#This Row],[model]],-1,0)+1, OFFSET(_157721372917[[#This Row],[model]],-1,0))</f>
        <v>5</v>
      </c>
      <c r="B497">
        <v>6</v>
      </c>
      <c r="C497" s="5">
        <v>2.0601851851851853E-5</v>
      </c>
      <c r="D497">
        <v>14</v>
      </c>
      <c r="E497">
        <v>11</v>
      </c>
      <c r="F497">
        <v>3</v>
      </c>
      <c r="G497" s="5">
        <v>3.1249999999999997E-6</v>
      </c>
      <c r="H497" s="5">
        <v>6.944791666666666E-3</v>
      </c>
      <c r="I497" s="5">
        <v>4.2189814814814815E-3</v>
      </c>
      <c r="J497" s="5">
        <v>3.1249999999999997E-6</v>
      </c>
    </row>
    <row r="498" spans="1:10" x14ac:dyDescent="0.25">
      <c r="A498">
        <f ca="1">IF(_157721372917[[#This Row],[instance]]&lt;OFFSET(_157721372917[[#This Row],[instance]],-1,0), OFFSET(_157721372917[[#This Row],[model]],-1,0)+1, OFFSET(_157721372917[[#This Row],[model]],-1,0))</f>
        <v>5</v>
      </c>
      <c r="B498">
        <v>6</v>
      </c>
      <c r="C498" s="5">
        <v>6.2615740740740741E-5</v>
      </c>
      <c r="D498">
        <v>14.125</v>
      </c>
      <c r="E498">
        <v>12</v>
      </c>
      <c r="F498">
        <v>4</v>
      </c>
      <c r="G498" s="5">
        <v>3.1249999999999997E-6</v>
      </c>
      <c r="H498" s="5">
        <v>6.944791666666666E-3</v>
      </c>
      <c r="I498" s="5">
        <v>4.2189814814814815E-3</v>
      </c>
      <c r="J498" s="5">
        <v>3.1249999999999997E-6</v>
      </c>
    </row>
    <row r="499" spans="1:10" x14ac:dyDescent="0.25">
      <c r="A499">
        <f ca="1">IF(_157721372917[[#This Row],[instance]]&lt;OFFSET(_157721372917[[#This Row],[instance]],-1,0), OFFSET(_157721372917[[#This Row],[model]],-1,0)+1, OFFSET(_157721372917[[#This Row],[model]],-1,0))</f>
        <v>5</v>
      </c>
      <c r="B499">
        <v>6</v>
      </c>
      <c r="C499" s="5">
        <v>6.3425925925925922E-5</v>
      </c>
      <c r="D499">
        <v>14.375</v>
      </c>
      <c r="E499">
        <v>12</v>
      </c>
      <c r="F499">
        <v>4</v>
      </c>
      <c r="G499" s="5">
        <v>3.1249999999999997E-6</v>
      </c>
      <c r="H499" s="5">
        <v>6.944791666666666E-3</v>
      </c>
      <c r="I499" s="5">
        <v>4.2189814814814815E-3</v>
      </c>
      <c r="J499" s="5">
        <v>3.1249999999999997E-6</v>
      </c>
    </row>
    <row r="500" spans="1:10" x14ac:dyDescent="0.25">
      <c r="A500">
        <f ca="1">IF(_157721372917[[#This Row],[instance]]&lt;OFFSET(_157721372917[[#This Row],[instance]],-1,0), OFFSET(_157721372917[[#This Row],[model]],-1,0)+1, OFFSET(_157721372917[[#This Row],[model]],-1,0))</f>
        <v>5</v>
      </c>
      <c r="B500">
        <v>6</v>
      </c>
      <c r="C500" s="5">
        <v>6.4467592592592596E-5</v>
      </c>
      <c r="D500">
        <v>14.75</v>
      </c>
      <c r="E500">
        <v>12</v>
      </c>
      <c r="F500">
        <v>4</v>
      </c>
      <c r="G500" s="5">
        <v>3.1249999999999997E-6</v>
      </c>
      <c r="H500" s="5">
        <v>6.944791666666666E-3</v>
      </c>
      <c r="I500" s="5">
        <v>4.2189814814814815E-3</v>
      </c>
      <c r="J500" s="5">
        <v>3.1249999999999997E-6</v>
      </c>
    </row>
    <row r="501" spans="1:10" x14ac:dyDescent="0.25">
      <c r="A501">
        <f ca="1">IF(_157721372917[[#This Row],[instance]]&lt;OFFSET(_157721372917[[#This Row],[instance]],-1,0), OFFSET(_157721372917[[#This Row],[model]],-1,0)+1, OFFSET(_157721372917[[#This Row],[model]],-1,0))</f>
        <v>5</v>
      </c>
      <c r="B501">
        <v>6</v>
      </c>
      <c r="C501" s="5">
        <v>6.4699074074074076E-5</v>
      </c>
      <c r="D501">
        <v>15.125</v>
      </c>
      <c r="E501">
        <v>13</v>
      </c>
      <c r="F501">
        <v>4</v>
      </c>
      <c r="G501" s="5">
        <v>3.1249999999999997E-6</v>
      </c>
      <c r="H501" s="5">
        <v>6.944791666666666E-3</v>
      </c>
      <c r="I501" s="5">
        <v>4.2189814814814815E-3</v>
      </c>
      <c r="J501" s="5">
        <v>3.1249999999999997E-6</v>
      </c>
    </row>
    <row r="502" spans="1:10" x14ac:dyDescent="0.25">
      <c r="A502">
        <f ca="1">IF(_157721372917[[#This Row],[instance]]&lt;OFFSET(_157721372917[[#This Row],[instance]],-1,0), OFFSET(_157721372917[[#This Row],[model]],-1,0)+1, OFFSET(_157721372917[[#This Row],[model]],-1,0))</f>
        <v>5</v>
      </c>
      <c r="B502">
        <v>6</v>
      </c>
      <c r="C502" s="5">
        <v>6.5046296296296296E-5</v>
      </c>
      <c r="D502">
        <v>15.125</v>
      </c>
      <c r="E502">
        <v>13</v>
      </c>
      <c r="F502">
        <v>4</v>
      </c>
      <c r="G502" s="5">
        <v>3.1249999999999997E-6</v>
      </c>
      <c r="H502" s="5">
        <v>6.944791666666666E-3</v>
      </c>
      <c r="I502" s="5">
        <v>4.2189814814814815E-3</v>
      </c>
      <c r="J502" s="5">
        <v>3.1249999999999997E-6</v>
      </c>
    </row>
    <row r="503" spans="1:10" x14ac:dyDescent="0.25">
      <c r="A503">
        <f ca="1">IF(_157721372917[[#This Row],[instance]]&lt;OFFSET(_157721372917[[#This Row],[instance]],-1,0), OFFSET(_157721372917[[#This Row],[model]],-1,0)+1, OFFSET(_157721372917[[#This Row],[model]],-1,0))</f>
        <v>5</v>
      </c>
      <c r="B503">
        <v>6</v>
      </c>
      <c r="C503" s="5">
        <v>6.5046296296296296E-5</v>
      </c>
      <c r="D503">
        <v>15.5</v>
      </c>
      <c r="E503">
        <v>14</v>
      </c>
      <c r="F503">
        <v>4</v>
      </c>
      <c r="G503" s="5">
        <v>3.1249999999999997E-6</v>
      </c>
      <c r="H503" s="5">
        <v>6.944791666666666E-3</v>
      </c>
      <c r="I503" s="5">
        <v>4.2189814814814815E-3</v>
      </c>
      <c r="J503" s="5">
        <v>3.1249999999999997E-6</v>
      </c>
    </row>
    <row r="504" spans="1:10" x14ac:dyDescent="0.25">
      <c r="A504">
        <f ca="1">IF(_157721372917[[#This Row],[instance]]&lt;OFFSET(_157721372917[[#This Row],[instance]],-1,0), OFFSET(_157721372917[[#This Row],[model]],-1,0)+1, OFFSET(_157721372917[[#This Row],[model]],-1,0))</f>
        <v>5</v>
      </c>
      <c r="B504">
        <v>6</v>
      </c>
      <c r="C504" s="5">
        <v>6.5509259259259256E-5</v>
      </c>
      <c r="D504">
        <v>15.875</v>
      </c>
      <c r="E504">
        <v>15</v>
      </c>
      <c r="F504">
        <v>4</v>
      </c>
      <c r="G504" s="5">
        <v>3.1249999999999997E-6</v>
      </c>
      <c r="H504" s="5">
        <v>6.944791666666666E-3</v>
      </c>
      <c r="I504" s="5">
        <v>4.2189814814814815E-3</v>
      </c>
      <c r="J504" s="5">
        <v>3.1249999999999997E-6</v>
      </c>
    </row>
    <row r="505" spans="1:10" x14ac:dyDescent="0.25">
      <c r="A505">
        <f ca="1">IF(_157721372917[[#This Row],[instance]]&lt;OFFSET(_157721372917[[#This Row],[instance]],-1,0), OFFSET(_157721372917[[#This Row],[model]],-1,0)+1, OFFSET(_157721372917[[#This Row],[model]],-1,0))</f>
        <v>5</v>
      </c>
      <c r="B505">
        <v>6</v>
      </c>
      <c r="C505" s="5">
        <v>6.6203703703703696E-5</v>
      </c>
      <c r="D505">
        <v>16.25</v>
      </c>
      <c r="E505">
        <v>16</v>
      </c>
      <c r="F505">
        <v>4</v>
      </c>
      <c r="G505" s="5">
        <v>3.1249999999999997E-6</v>
      </c>
      <c r="H505" s="5">
        <v>6.944791666666666E-3</v>
      </c>
      <c r="I505" s="5">
        <v>4.2189814814814815E-3</v>
      </c>
      <c r="J505" s="5">
        <v>3.1249999999999997E-6</v>
      </c>
    </row>
    <row r="506" spans="1:10" x14ac:dyDescent="0.25">
      <c r="A506">
        <f ca="1">IF(_157721372917[[#This Row],[instance]]&lt;OFFSET(_157721372917[[#This Row],[instance]],-1,0), OFFSET(_157721372917[[#This Row],[model]],-1,0)+1, OFFSET(_157721372917[[#This Row],[model]],-1,0))</f>
        <v>5</v>
      </c>
      <c r="B506">
        <v>7</v>
      </c>
      <c r="C506" s="5">
        <v>6.9444444444444439E-6</v>
      </c>
      <c r="D506">
        <v>0</v>
      </c>
      <c r="E506">
        <v>0</v>
      </c>
      <c r="F506">
        <v>0</v>
      </c>
      <c r="G506" s="5">
        <v>3.1249999999999997E-6</v>
      </c>
      <c r="H506" s="5">
        <v>6.94537037037037E-3</v>
      </c>
      <c r="I506" s="5">
        <v>4.2189814814814815E-3</v>
      </c>
      <c r="J506" s="5">
        <v>3.1249999999999997E-6</v>
      </c>
    </row>
    <row r="507" spans="1:10" x14ac:dyDescent="0.25">
      <c r="A507">
        <f ca="1">IF(_157721372917[[#This Row],[instance]]&lt;OFFSET(_157721372917[[#This Row],[instance]],-1,0), OFFSET(_157721372917[[#This Row],[model]],-1,0)+1, OFFSET(_157721372917[[#This Row],[model]],-1,0))</f>
        <v>5</v>
      </c>
      <c r="B507">
        <v>7</v>
      </c>
      <c r="C507" s="5">
        <v>7.1759259259259257E-6</v>
      </c>
      <c r="D507">
        <v>3</v>
      </c>
      <c r="E507">
        <v>1</v>
      </c>
      <c r="F507">
        <v>1</v>
      </c>
      <c r="G507" s="5">
        <v>3.1249999999999997E-6</v>
      </c>
      <c r="H507" s="5">
        <v>6.94537037037037E-3</v>
      </c>
      <c r="I507" s="5">
        <v>4.2189814814814815E-3</v>
      </c>
      <c r="J507" s="5">
        <v>3.1249999999999997E-6</v>
      </c>
    </row>
    <row r="508" spans="1:10" x14ac:dyDescent="0.25">
      <c r="A508">
        <f ca="1">IF(_157721372917[[#This Row],[instance]]&lt;OFFSET(_157721372917[[#This Row],[instance]],-1,0), OFFSET(_157721372917[[#This Row],[model]],-1,0)+1, OFFSET(_157721372917[[#This Row],[model]],-1,0))</f>
        <v>5</v>
      </c>
      <c r="B508">
        <v>7</v>
      </c>
      <c r="C508" s="5">
        <v>7.2916666666666666E-6</v>
      </c>
      <c r="D508">
        <v>6</v>
      </c>
      <c r="E508">
        <v>2</v>
      </c>
      <c r="F508">
        <v>2</v>
      </c>
      <c r="G508" s="5">
        <v>3.1249999999999997E-6</v>
      </c>
      <c r="H508" s="5">
        <v>6.94537037037037E-3</v>
      </c>
      <c r="I508" s="5">
        <v>4.2189814814814815E-3</v>
      </c>
      <c r="J508" s="5">
        <v>3.1249999999999997E-6</v>
      </c>
    </row>
    <row r="509" spans="1:10" x14ac:dyDescent="0.25">
      <c r="A509">
        <f ca="1">IF(_157721372917[[#This Row],[instance]]&lt;OFFSET(_157721372917[[#This Row],[instance]],-1,0), OFFSET(_157721372917[[#This Row],[model]],-1,0)+1, OFFSET(_157721372917[[#This Row],[model]],-1,0))</f>
        <v>5</v>
      </c>
      <c r="B509">
        <v>7</v>
      </c>
      <c r="C509" s="5">
        <v>7.2916666666666666E-6</v>
      </c>
      <c r="D509">
        <v>7.5</v>
      </c>
      <c r="E509">
        <v>3</v>
      </c>
      <c r="F509">
        <v>3</v>
      </c>
      <c r="G509" s="5">
        <v>3.1249999999999997E-6</v>
      </c>
      <c r="H509" s="5">
        <v>6.94537037037037E-3</v>
      </c>
      <c r="I509" s="5">
        <v>4.2189814814814815E-3</v>
      </c>
      <c r="J509" s="5">
        <v>3.1249999999999997E-6</v>
      </c>
    </row>
    <row r="510" spans="1:10" x14ac:dyDescent="0.25">
      <c r="A510">
        <f ca="1">IF(_157721372917[[#This Row],[instance]]&lt;OFFSET(_157721372917[[#This Row],[instance]],-1,0), OFFSET(_157721372917[[#This Row],[model]],-1,0)+1, OFFSET(_157721372917[[#This Row],[model]],-1,0))</f>
        <v>5</v>
      </c>
      <c r="B510">
        <v>7</v>
      </c>
      <c r="C510" s="5">
        <v>7.4074074074074075E-6</v>
      </c>
      <c r="D510">
        <v>10.5</v>
      </c>
      <c r="E510">
        <v>4</v>
      </c>
      <c r="F510">
        <v>4</v>
      </c>
      <c r="G510" s="5">
        <v>3.1249999999999997E-6</v>
      </c>
      <c r="H510" s="5">
        <v>6.94537037037037E-3</v>
      </c>
      <c r="I510" s="5">
        <v>4.2189814814814815E-3</v>
      </c>
      <c r="J510" s="5">
        <v>3.1249999999999997E-6</v>
      </c>
    </row>
    <row r="511" spans="1:10" x14ac:dyDescent="0.25">
      <c r="A511">
        <f ca="1">IF(_157721372917[[#This Row],[instance]]&lt;OFFSET(_157721372917[[#This Row],[instance]],-1,0), OFFSET(_157721372917[[#This Row],[model]],-1,0)+1, OFFSET(_157721372917[[#This Row],[model]],-1,0))</f>
        <v>5</v>
      </c>
      <c r="B511">
        <v>7</v>
      </c>
      <c r="C511" s="5">
        <v>7.4074074074074075E-6</v>
      </c>
      <c r="D511">
        <v>12</v>
      </c>
      <c r="E511">
        <v>5</v>
      </c>
      <c r="F511">
        <v>4</v>
      </c>
      <c r="G511" s="5">
        <v>3.1249999999999997E-6</v>
      </c>
      <c r="H511" s="5">
        <v>6.94537037037037E-3</v>
      </c>
      <c r="I511" s="5">
        <v>4.2189814814814815E-3</v>
      </c>
      <c r="J511" s="5">
        <v>3.1249999999999997E-6</v>
      </c>
    </row>
    <row r="512" spans="1:10" x14ac:dyDescent="0.25">
      <c r="A512">
        <f ca="1">IF(_157721372917[[#This Row],[instance]]&lt;OFFSET(_157721372917[[#This Row],[instance]],-1,0), OFFSET(_157721372917[[#This Row],[model]],-1,0)+1, OFFSET(_157721372917[[#This Row],[model]],-1,0))</f>
        <v>5</v>
      </c>
      <c r="B512">
        <v>7</v>
      </c>
      <c r="C512" s="5">
        <v>7.4074074074074075E-6</v>
      </c>
      <c r="D512">
        <v>12.75</v>
      </c>
      <c r="E512">
        <v>6</v>
      </c>
      <c r="F512">
        <v>4</v>
      </c>
      <c r="G512" s="5">
        <v>3.1249999999999997E-6</v>
      </c>
      <c r="H512" s="5">
        <v>6.94537037037037E-3</v>
      </c>
      <c r="I512" s="5">
        <v>4.2189814814814815E-3</v>
      </c>
      <c r="J512" s="5">
        <v>3.1249999999999997E-6</v>
      </c>
    </row>
    <row r="513" spans="1:10" x14ac:dyDescent="0.25">
      <c r="A513">
        <f ca="1">IF(_157721372917[[#This Row],[instance]]&lt;OFFSET(_157721372917[[#This Row],[instance]],-1,0), OFFSET(_157721372917[[#This Row],[model]],-1,0)+1, OFFSET(_157721372917[[#This Row],[model]],-1,0))</f>
        <v>5</v>
      </c>
      <c r="B513">
        <v>7</v>
      </c>
      <c r="C513" s="5">
        <v>7.4074074074074075E-6</v>
      </c>
      <c r="D513">
        <v>13.125</v>
      </c>
      <c r="E513">
        <v>7</v>
      </c>
      <c r="F513">
        <v>4</v>
      </c>
      <c r="G513" s="5">
        <v>3.1249999999999997E-6</v>
      </c>
      <c r="H513" s="5">
        <v>6.94537037037037E-3</v>
      </c>
      <c r="I513" s="5">
        <v>4.2189814814814815E-3</v>
      </c>
      <c r="J513" s="5">
        <v>3.1249999999999997E-6</v>
      </c>
    </row>
    <row r="514" spans="1:10" x14ac:dyDescent="0.25">
      <c r="A514">
        <f ca="1">IF(_157721372917[[#This Row],[instance]]&lt;OFFSET(_157721372917[[#This Row],[instance]],-1,0), OFFSET(_157721372917[[#This Row],[model]],-1,0)+1, OFFSET(_157721372917[[#This Row],[model]],-1,0))</f>
        <v>5</v>
      </c>
      <c r="B514">
        <v>7</v>
      </c>
      <c r="C514" s="5">
        <v>7.5231481481481475E-6</v>
      </c>
      <c r="D514">
        <v>14.625</v>
      </c>
      <c r="E514">
        <v>8</v>
      </c>
      <c r="F514">
        <v>5</v>
      </c>
      <c r="G514" s="5">
        <v>3.1249999999999997E-6</v>
      </c>
      <c r="H514" s="5">
        <v>6.94537037037037E-3</v>
      </c>
      <c r="I514" s="5">
        <v>4.2189814814814815E-3</v>
      </c>
      <c r="J514" s="5">
        <v>3.1249999999999997E-6</v>
      </c>
    </row>
    <row r="515" spans="1:10" x14ac:dyDescent="0.25">
      <c r="A515">
        <f ca="1">IF(_157721372917[[#This Row],[instance]]&lt;OFFSET(_157721372917[[#This Row],[instance]],-1,0), OFFSET(_157721372917[[#This Row],[model]],-1,0)+1, OFFSET(_157721372917[[#This Row],[model]],-1,0))</f>
        <v>5</v>
      </c>
      <c r="B515">
        <v>7</v>
      </c>
      <c r="C515" s="5">
        <v>7.6388888888888884E-6</v>
      </c>
      <c r="D515">
        <v>15.625</v>
      </c>
      <c r="E515">
        <v>9</v>
      </c>
      <c r="F515">
        <v>5</v>
      </c>
      <c r="G515" s="5">
        <v>3.1249999999999997E-6</v>
      </c>
      <c r="H515" s="5">
        <v>6.94537037037037E-3</v>
      </c>
      <c r="I515" s="5">
        <v>4.2189814814814815E-3</v>
      </c>
      <c r="J515" s="5">
        <v>3.1249999999999997E-6</v>
      </c>
    </row>
    <row r="516" spans="1:10" x14ac:dyDescent="0.25">
      <c r="A516">
        <f ca="1">IF(_157721372917[[#This Row],[instance]]&lt;OFFSET(_157721372917[[#This Row],[instance]],-1,0), OFFSET(_157721372917[[#This Row],[model]],-1,0)+1, OFFSET(_157721372917[[#This Row],[model]],-1,0))</f>
        <v>5</v>
      </c>
      <c r="B516">
        <v>7</v>
      </c>
      <c r="C516" s="5">
        <v>7.6388888888888884E-6</v>
      </c>
      <c r="D516">
        <v>16.75</v>
      </c>
      <c r="E516">
        <v>9</v>
      </c>
      <c r="F516">
        <v>5</v>
      </c>
      <c r="G516" s="5">
        <v>3.1249999999999997E-6</v>
      </c>
      <c r="H516" s="5">
        <v>6.94537037037037E-3</v>
      </c>
      <c r="I516" s="5">
        <v>4.2189814814814815E-3</v>
      </c>
      <c r="J516" s="5">
        <v>3.1249999999999997E-6</v>
      </c>
    </row>
    <row r="517" spans="1:10" x14ac:dyDescent="0.25">
      <c r="A517">
        <f ca="1">IF(_157721372917[[#This Row],[instance]]&lt;OFFSET(_157721372917[[#This Row],[instance]],-1,0), OFFSET(_157721372917[[#This Row],[model]],-1,0)+1, OFFSET(_157721372917[[#This Row],[model]],-1,0))</f>
        <v>5</v>
      </c>
      <c r="B517">
        <v>7</v>
      </c>
      <c r="C517" s="5">
        <v>7.6388888888888884E-6</v>
      </c>
      <c r="D517">
        <v>17.75</v>
      </c>
      <c r="E517">
        <v>10</v>
      </c>
      <c r="F517">
        <v>5</v>
      </c>
      <c r="G517" s="5">
        <v>3.1249999999999997E-6</v>
      </c>
      <c r="H517" s="5">
        <v>6.94537037037037E-3</v>
      </c>
      <c r="I517" s="5">
        <v>4.2189814814814815E-3</v>
      </c>
      <c r="J517" s="5">
        <v>3.1249999999999997E-6</v>
      </c>
    </row>
    <row r="518" spans="1:10" x14ac:dyDescent="0.25">
      <c r="A518">
        <f ca="1">IF(_157721372917[[#This Row],[instance]]&lt;OFFSET(_157721372917[[#This Row],[instance]],-1,0), OFFSET(_157721372917[[#This Row],[model]],-1,0)+1, OFFSET(_157721372917[[#This Row],[model]],-1,0))</f>
        <v>5</v>
      </c>
      <c r="B518">
        <v>7</v>
      </c>
      <c r="C518" s="5">
        <v>7.7546296296296301E-6</v>
      </c>
      <c r="D518">
        <v>18.5</v>
      </c>
      <c r="E518">
        <v>10</v>
      </c>
      <c r="F518">
        <v>6</v>
      </c>
      <c r="G518" s="5">
        <v>3.1249999999999997E-6</v>
      </c>
      <c r="H518" s="5">
        <v>6.94537037037037E-3</v>
      </c>
      <c r="I518" s="5">
        <v>4.2189814814814815E-3</v>
      </c>
      <c r="J518" s="5">
        <v>3.1249999999999997E-6</v>
      </c>
    </row>
    <row r="519" spans="1:10" x14ac:dyDescent="0.25">
      <c r="A519">
        <f ca="1">IF(_157721372917[[#This Row],[instance]]&lt;OFFSET(_157721372917[[#This Row],[instance]],-1,0), OFFSET(_157721372917[[#This Row],[model]],-1,0)+1, OFFSET(_157721372917[[#This Row],[model]],-1,0))</f>
        <v>5</v>
      </c>
      <c r="B519">
        <v>7</v>
      </c>
      <c r="C519" s="5">
        <v>8.9120370370370373E-6</v>
      </c>
      <c r="D519">
        <v>19.25</v>
      </c>
      <c r="E519">
        <v>11</v>
      </c>
      <c r="F519">
        <v>6</v>
      </c>
      <c r="G519" s="5">
        <v>3.1249999999999997E-6</v>
      </c>
      <c r="H519" s="5">
        <v>6.94537037037037E-3</v>
      </c>
      <c r="I519" s="5">
        <v>4.2189814814814815E-3</v>
      </c>
      <c r="J519" s="5">
        <v>3.1249999999999997E-6</v>
      </c>
    </row>
    <row r="520" spans="1:10" x14ac:dyDescent="0.25">
      <c r="A520">
        <f ca="1">IF(_157721372917[[#This Row],[instance]]&lt;OFFSET(_157721372917[[#This Row],[instance]],-1,0), OFFSET(_157721372917[[#This Row],[model]],-1,0)+1, OFFSET(_157721372917[[#This Row],[model]],-1,0))</f>
        <v>5</v>
      </c>
      <c r="B520">
        <v>7</v>
      </c>
      <c r="C520" s="5">
        <v>9.0277777777777774E-6</v>
      </c>
      <c r="D520">
        <v>20</v>
      </c>
      <c r="E520">
        <v>12</v>
      </c>
      <c r="F520">
        <v>7</v>
      </c>
      <c r="G520" s="5">
        <v>3.1249999999999997E-6</v>
      </c>
      <c r="H520" s="5">
        <v>6.94537037037037E-3</v>
      </c>
      <c r="I520" s="5">
        <v>4.2189814814814815E-3</v>
      </c>
      <c r="J520" s="5">
        <v>3.1249999999999997E-6</v>
      </c>
    </row>
    <row r="521" spans="1:10" x14ac:dyDescent="0.25">
      <c r="A521">
        <f ca="1">IF(_157721372917[[#This Row],[instance]]&lt;OFFSET(_157721372917[[#This Row],[instance]],-1,0), OFFSET(_157721372917[[#This Row],[model]],-1,0)+1, OFFSET(_157721372917[[#This Row],[model]],-1,0))</f>
        <v>5</v>
      </c>
      <c r="B521">
        <v>7</v>
      </c>
      <c r="C521" s="5">
        <v>1.0648148148148148E-5</v>
      </c>
      <c r="D521">
        <v>20.375</v>
      </c>
      <c r="E521">
        <v>13</v>
      </c>
      <c r="F521">
        <v>7</v>
      </c>
      <c r="G521" s="5">
        <v>3.1249999999999997E-6</v>
      </c>
      <c r="H521" s="5">
        <v>6.94537037037037E-3</v>
      </c>
      <c r="I521" s="5">
        <v>4.2189814814814815E-3</v>
      </c>
      <c r="J521" s="5">
        <v>3.1249999999999997E-6</v>
      </c>
    </row>
    <row r="522" spans="1:10" x14ac:dyDescent="0.25">
      <c r="A522">
        <f ca="1">IF(_157721372917[[#This Row],[instance]]&lt;OFFSET(_157721372917[[#This Row],[instance]],-1,0), OFFSET(_157721372917[[#This Row],[model]],-1,0)+1, OFFSET(_157721372917[[#This Row],[model]],-1,0))</f>
        <v>5</v>
      </c>
      <c r="B522">
        <v>7</v>
      </c>
      <c r="C522" s="5">
        <v>1.1574074074074073E-5</v>
      </c>
      <c r="D522">
        <v>21.875</v>
      </c>
      <c r="E522">
        <v>14</v>
      </c>
      <c r="F522">
        <v>8</v>
      </c>
      <c r="G522" s="5">
        <v>3.1249999999999997E-6</v>
      </c>
      <c r="H522" s="5">
        <v>6.94537037037037E-3</v>
      </c>
      <c r="I522" s="5">
        <v>4.2189814814814815E-3</v>
      </c>
      <c r="J522" s="5">
        <v>3.1249999999999997E-6</v>
      </c>
    </row>
    <row r="523" spans="1:10" x14ac:dyDescent="0.25">
      <c r="A523">
        <f ca="1">IF(_157721372917[[#This Row],[instance]]&lt;OFFSET(_157721372917[[#This Row],[instance]],-1,0), OFFSET(_157721372917[[#This Row],[model]],-1,0)+1, OFFSET(_157721372917[[#This Row],[model]],-1,0))</f>
        <v>5</v>
      </c>
      <c r="B523">
        <v>7</v>
      </c>
      <c r="C523" s="5">
        <v>1.2152777777777777E-5</v>
      </c>
      <c r="D523">
        <v>22.375</v>
      </c>
      <c r="E523">
        <v>14</v>
      </c>
      <c r="F523">
        <v>8</v>
      </c>
      <c r="G523" s="5">
        <v>3.1249999999999997E-6</v>
      </c>
      <c r="H523" s="5">
        <v>6.94537037037037E-3</v>
      </c>
      <c r="I523" s="5">
        <v>4.2189814814814815E-3</v>
      </c>
      <c r="J523" s="5">
        <v>3.1249999999999997E-6</v>
      </c>
    </row>
    <row r="524" spans="1:10" x14ac:dyDescent="0.25">
      <c r="A524">
        <f ca="1">IF(_157721372917[[#This Row],[instance]]&lt;OFFSET(_157721372917[[#This Row],[instance]],-1,0), OFFSET(_157721372917[[#This Row],[model]],-1,0)+1, OFFSET(_157721372917[[#This Row],[model]],-1,0))</f>
        <v>5</v>
      </c>
      <c r="B524">
        <v>7</v>
      </c>
      <c r="C524" s="5">
        <v>1.7013888888888888E-5</v>
      </c>
      <c r="D524">
        <v>23</v>
      </c>
      <c r="E524">
        <v>14</v>
      </c>
      <c r="F524">
        <v>8</v>
      </c>
      <c r="G524" s="5">
        <v>3.1249999999999997E-6</v>
      </c>
      <c r="H524" s="5">
        <v>6.94537037037037E-3</v>
      </c>
      <c r="I524" s="5">
        <v>4.2189814814814815E-3</v>
      </c>
      <c r="J524" s="5">
        <v>3.1249999999999997E-6</v>
      </c>
    </row>
    <row r="525" spans="1:10" x14ac:dyDescent="0.25">
      <c r="A525">
        <f ca="1">IF(_157721372917[[#This Row],[instance]]&lt;OFFSET(_157721372917[[#This Row],[instance]],-1,0), OFFSET(_157721372917[[#This Row],[model]],-1,0)+1, OFFSET(_157721372917[[#This Row],[model]],-1,0))</f>
        <v>5</v>
      </c>
      <c r="B525">
        <v>7</v>
      </c>
      <c r="C525" s="5">
        <v>2.1527777777777776E-5</v>
      </c>
      <c r="D525">
        <v>23.375</v>
      </c>
      <c r="E525">
        <v>15</v>
      </c>
      <c r="F525">
        <v>8</v>
      </c>
      <c r="G525" s="5">
        <v>3.1249999999999997E-6</v>
      </c>
      <c r="H525" s="5">
        <v>6.94537037037037E-3</v>
      </c>
      <c r="I525" s="5">
        <v>4.2189814814814815E-3</v>
      </c>
      <c r="J525" s="5">
        <v>3.1249999999999997E-6</v>
      </c>
    </row>
    <row r="526" spans="1:10" x14ac:dyDescent="0.25">
      <c r="A526">
        <f ca="1">IF(_157721372917[[#This Row],[instance]]&lt;OFFSET(_157721372917[[#This Row],[instance]],-1,0), OFFSET(_157721372917[[#This Row],[model]],-1,0)+1, OFFSET(_157721372917[[#This Row],[model]],-1,0))</f>
        <v>5</v>
      </c>
      <c r="B526">
        <v>7</v>
      </c>
      <c r="C526" s="5">
        <v>2.5462962962962961E-5</v>
      </c>
      <c r="D526">
        <v>23.75</v>
      </c>
      <c r="E526">
        <v>14</v>
      </c>
      <c r="F526">
        <v>9</v>
      </c>
      <c r="G526" s="5">
        <v>3.1249999999999997E-6</v>
      </c>
      <c r="H526" s="5">
        <v>6.94537037037037E-3</v>
      </c>
      <c r="I526" s="5">
        <v>4.2189814814814815E-3</v>
      </c>
      <c r="J526" s="5">
        <v>3.1249999999999997E-6</v>
      </c>
    </row>
    <row r="527" spans="1:10" x14ac:dyDescent="0.25">
      <c r="A527">
        <f ca="1">IF(_157721372917[[#This Row],[instance]]&lt;OFFSET(_157721372917[[#This Row],[instance]],-1,0), OFFSET(_157721372917[[#This Row],[model]],-1,0)+1, OFFSET(_157721372917[[#This Row],[model]],-1,0))</f>
        <v>5</v>
      </c>
      <c r="B527">
        <v>7</v>
      </c>
      <c r="C527" s="5">
        <v>2.6620370370370369E-5</v>
      </c>
      <c r="D527">
        <v>24.5</v>
      </c>
      <c r="E527">
        <v>15</v>
      </c>
      <c r="F527">
        <v>9</v>
      </c>
      <c r="G527" s="5">
        <v>3.1249999999999997E-6</v>
      </c>
      <c r="H527" s="5">
        <v>6.94537037037037E-3</v>
      </c>
      <c r="I527" s="5">
        <v>4.2189814814814815E-3</v>
      </c>
      <c r="J527" s="5">
        <v>3.1249999999999997E-6</v>
      </c>
    </row>
    <row r="528" spans="1:10" x14ac:dyDescent="0.25">
      <c r="A528">
        <f ca="1">IF(_157721372917[[#This Row],[instance]]&lt;OFFSET(_157721372917[[#This Row],[instance]],-1,0), OFFSET(_157721372917[[#This Row],[model]],-1,0)+1, OFFSET(_157721372917[[#This Row],[model]],-1,0))</f>
        <v>5</v>
      </c>
      <c r="B528">
        <v>7</v>
      </c>
      <c r="C528" s="5">
        <v>2.7314814814814812E-5</v>
      </c>
      <c r="D528">
        <v>24.875</v>
      </c>
      <c r="E528">
        <v>16</v>
      </c>
      <c r="F528">
        <v>9</v>
      </c>
      <c r="G528" s="5">
        <v>3.1249999999999997E-6</v>
      </c>
      <c r="H528" s="5">
        <v>6.94537037037037E-3</v>
      </c>
      <c r="I528" s="5">
        <v>4.2189814814814815E-3</v>
      </c>
      <c r="J528" s="5">
        <v>3.1249999999999997E-6</v>
      </c>
    </row>
    <row r="529" spans="1:10" x14ac:dyDescent="0.25">
      <c r="A529">
        <f ca="1">IF(_157721372917[[#This Row],[instance]]&lt;OFFSET(_157721372917[[#This Row],[instance]],-1,0), OFFSET(_157721372917[[#This Row],[model]],-1,0)+1, OFFSET(_157721372917[[#This Row],[model]],-1,0))</f>
        <v>5</v>
      </c>
      <c r="B529">
        <v>8</v>
      </c>
      <c r="C529" s="5">
        <v>6.828703703703703E-6</v>
      </c>
      <c r="D529">
        <v>0</v>
      </c>
      <c r="E529">
        <v>0</v>
      </c>
      <c r="F529">
        <v>0</v>
      </c>
      <c r="G529" s="5">
        <v>3.1249999999999997E-6</v>
      </c>
      <c r="H529" s="5">
        <v>5.324074074074074E-6</v>
      </c>
      <c r="I529" s="5">
        <v>4.2189814814814815E-3</v>
      </c>
      <c r="J529" s="5">
        <v>3.1249999999999997E-6</v>
      </c>
    </row>
    <row r="530" spans="1:10" x14ac:dyDescent="0.25">
      <c r="A530">
        <f ca="1">IF(_157721372917[[#This Row],[instance]]&lt;OFFSET(_157721372917[[#This Row],[instance]],-1,0), OFFSET(_157721372917[[#This Row],[model]],-1,0)+1, OFFSET(_157721372917[[#This Row],[model]],-1,0))</f>
        <v>5</v>
      </c>
      <c r="B530">
        <v>8</v>
      </c>
      <c r="C530" s="5">
        <v>6.9444444444444439E-6</v>
      </c>
      <c r="D530">
        <v>1.5</v>
      </c>
      <c r="E530">
        <v>1</v>
      </c>
      <c r="F530">
        <v>1</v>
      </c>
      <c r="G530" s="5">
        <v>3.1249999999999997E-6</v>
      </c>
      <c r="H530" s="5">
        <v>5.324074074074074E-6</v>
      </c>
      <c r="I530" s="5">
        <v>4.2189814814814815E-3</v>
      </c>
      <c r="J530" s="5">
        <v>3.1249999999999997E-6</v>
      </c>
    </row>
    <row r="531" spans="1:10" x14ac:dyDescent="0.25">
      <c r="A531">
        <f ca="1">IF(_157721372917[[#This Row],[instance]]&lt;OFFSET(_157721372917[[#This Row],[instance]],-1,0), OFFSET(_157721372917[[#This Row],[model]],-1,0)+1, OFFSET(_157721372917[[#This Row],[model]],-1,0))</f>
        <v>5</v>
      </c>
      <c r="B531">
        <v>8</v>
      </c>
      <c r="C531" s="5">
        <v>6.9444444444444439E-6</v>
      </c>
      <c r="D531">
        <v>2.25</v>
      </c>
      <c r="E531">
        <v>2</v>
      </c>
      <c r="F531">
        <v>1</v>
      </c>
      <c r="G531" s="5">
        <v>3.1249999999999997E-6</v>
      </c>
      <c r="H531" s="5">
        <v>5.324074074074074E-6</v>
      </c>
      <c r="I531" s="5">
        <v>4.2189814814814815E-3</v>
      </c>
      <c r="J531" s="5">
        <v>3.1249999999999997E-6</v>
      </c>
    </row>
    <row r="532" spans="1:10" x14ac:dyDescent="0.25">
      <c r="A532">
        <f ca="1">IF(_157721372917[[#This Row],[instance]]&lt;OFFSET(_157721372917[[#This Row],[instance]],-1,0), OFFSET(_157721372917[[#This Row],[model]],-1,0)+1, OFFSET(_157721372917[[#This Row],[model]],-1,0))</f>
        <v>5</v>
      </c>
      <c r="B532">
        <v>8</v>
      </c>
      <c r="C532" s="5">
        <v>6.9444444444444439E-6</v>
      </c>
      <c r="D532">
        <v>3</v>
      </c>
      <c r="E532">
        <v>2</v>
      </c>
      <c r="F532">
        <v>1</v>
      </c>
      <c r="G532" s="5">
        <v>3.1249999999999997E-6</v>
      </c>
      <c r="H532" s="5">
        <v>5.324074074074074E-6</v>
      </c>
      <c r="I532" s="5">
        <v>4.2189814814814815E-3</v>
      </c>
      <c r="J532" s="5">
        <v>3.1249999999999997E-6</v>
      </c>
    </row>
    <row r="533" spans="1:10" x14ac:dyDescent="0.25">
      <c r="A533">
        <f ca="1">IF(_157721372917[[#This Row],[instance]]&lt;OFFSET(_157721372917[[#This Row],[instance]],-1,0), OFFSET(_157721372917[[#This Row],[model]],-1,0)+1, OFFSET(_157721372917[[#This Row],[model]],-1,0))</f>
        <v>5</v>
      </c>
      <c r="B533">
        <v>8</v>
      </c>
      <c r="C533" s="5">
        <v>7.0601851851851848E-6</v>
      </c>
      <c r="D533">
        <v>3.75</v>
      </c>
      <c r="E533">
        <v>3</v>
      </c>
      <c r="F533">
        <v>1</v>
      </c>
      <c r="G533" s="5">
        <v>3.1249999999999997E-6</v>
      </c>
      <c r="H533" s="5">
        <v>5.324074074074074E-6</v>
      </c>
      <c r="I533" s="5">
        <v>4.2189814814814815E-3</v>
      </c>
      <c r="J533" s="5">
        <v>3.1249999999999997E-6</v>
      </c>
    </row>
    <row r="534" spans="1:10" x14ac:dyDescent="0.25">
      <c r="A534">
        <f ca="1">IF(_157721372917[[#This Row],[instance]]&lt;OFFSET(_157721372917[[#This Row],[instance]],-1,0), OFFSET(_157721372917[[#This Row],[model]],-1,0)+1, OFFSET(_157721372917[[#This Row],[model]],-1,0))</f>
        <v>5</v>
      </c>
      <c r="B534">
        <v>8</v>
      </c>
      <c r="C534" s="5">
        <v>7.0601851851851848E-6</v>
      </c>
      <c r="D534">
        <v>4.5</v>
      </c>
      <c r="E534">
        <v>3</v>
      </c>
      <c r="F534">
        <v>2</v>
      </c>
      <c r="G534" s="5">
        <v>3.1249999999999997E-6</v>
      </c>
      <c r="H534" s="5">
        <v>5.324074074074074E-6</v>
      </c>
      <c r="I534" s="5">
        <v>4.2189814814814815E-3</v>
      </c>
      <c r="J534" s="5">
        <v>3.1249999999999997E-6</v>
      </c>
    </row>
    <row r="535" spans="1:10" x14ac:dyDescent="0.25">
      <c r="A535">
        <f ca="1">IF(_157721372917[[#This Row],[instance]]&lt;OFFSET(_157721372917[[#This Row],[instance]],-1,0), OFFSET(_157721372917[[#This Row],[model]],-1,0)+1, OFFSET(_157721372917[[#This Row],[model]],-1,0))</f>
        <v>5</v>
      </c>
      <c r="B535">
        <v>8</v>
      </c>
      <c r="C535" s="5">
        <v>7.0601851851851848E-6</v>
      </c>
      <c r="D535">
        <v>4.875</v>
      </c>
      <c r="E535">
        <v>4</v>
      </c>
      <c r="F535">
        <v>2</v>
      </c>
      <c r="G535" s="5">
        <v>3.1249999999999997E-6</v>
      </c>
      <c r="H535" s="5">
        <v>5.324074074074074E-6</v>
      </c>
      <c r="I535" s="5">
        <v>4.2189814814814815E-3</v>
      </c>
      <c r="J535" s="5">
        <v>3.1249999999999997E-6</v>
      </c>
    </row>
    <row r="536" spans="1:10" x14ac:dyDescent="0.25">
      <c r="A536">
        <f ca="1">IF(_157721372917[[#This Row],[instance]]&lt;OFFSET(_157721372917[[#This Row],[instance]],-1,0), OFFSET(_157721372917[[#This Row],[model]],-1,0)+1, OFFSET(_157721372917[[#This Row],[model]],-1,0))</f>
        <v>5</v>
      </c>
      <c r="B536">
        <v>8</v>
      </c>
      <c r="C536" s="5">
        <v>7.1759259259259257E-6</v>
      </c>
      <c r="D536">
        <v>6</v>
      </c>
      <c r="E536">
        <v>4</v>
      </c>
      <c r="F536">
        <v>2</v>
      </c>
      <c r="G536" s="5">
        <v>3.1249999999999997E-6</v>
      </c>
      <c r="H536" s="5">
        <v>5.324074074074074E-6</v>
      </c>
      <c r="I536" s="5">
        <v>4.2189814814814815E-3</v>
      </c>
      <c r="J536" s="5">
        <v>3.1249999999999997E-6</v>
      </c>
    </row>
    <row r="537" spans="1:10" x14ac:dyDescent="0.25">
      <c r="A537">
        <f ca="1">IF(_157721372917[[#This Row],[instance]]&lt;OFFSET(_157721372917[[#This Row],[instance]],-1,0), OFFSET(_157721372917[[#This Row],[model]],-1,0)+1, OFFSET(_157721372917[[#This Row],[model]],-1,0))</f>
        <v>5</v>
      </c>
      <c r="B537">
        <v>8</v>
      </c>
      <c r="C537" s="5">
        <v>7.1759259259259257E-6</v>
      </c>
      <c r="D537">
        <v>6.375</v>
      </c>
      <c r="E537">
        <v>5</v>
      </c>
      <c r="F537">
        <v>2</v>
      </c>
      <c r="G537" s="5">
        <v>3.1249999999999997E-6</v>
      </c>
      <c r="H537" s="5">
        <v>5.324074074074074E-6</v>
      </c>
      <c r="I537" s="5">
        <v>4.2189814814814815E-3</v>
      </c>
      <c r="J537" s="5">
        <v>3.1249999999999997E-6</v>
      </c>
    </row>
    <row r="538" spans="1:10" x14ac:dyDescent="0.25">
      <c r="A538">
        <f ca="1">IF(_157721372917[[#This Row],[instance]]&lt;OFFSET(_157721372917[[#This Row],[instance]],-1,0), OFFSET(_157721372917[[#This Row],[model]],-1,0)+1, OFFSET(_157721372917[[#This Row],[model]],-1,0))</f>
        <v>5</v>
      </c>
      <c r="B538">
        <v>8</v>
      </c>
      <c r="C538" s="5">
        <v>7.1759259259259257E-6</v>
      </c>
      <c r="D538">
        <v>7.125</v>
      </c>
      <c r="E538">
        <v>6</v>
      </c>
      <c r="F538">
        <v>2</v>
      </c>
      <c r="G538" s="5">
        <v>3.1249999999999997E-6</v>
      </c>
      <c r="H538" s="5">
        <v>5.324074074074074E-6</v>
      </c>
      <c r="I538" s="5">
        <v>4.2189814814814815E-3</v>
      </c>
      <c r="J538" s="5">
        <v>3.1249999999999997E-6</v>
      </c>
    </row>
    <row r="539" spans="1:10" x14ac:dyDescent="0.25">
      <c r="A539">
        <f ca="1">IF(_157721372917[[#This Row],[instance]]&lt;OFFSET(_157721372917[[#This Row],[instance]],-1,0), OFFSET(_157721372917[[#This Row],[model]],-1,0)+1, OFFSET(_157721372917[[#This Row],[model]],-1,0))</f>
        <v>5</v>
      </c>
      <c r="B539">
        <v>8</v>
      </c>
      <c r="C539" s="5">
        <v>7.2916666666666666E-6</v>
      </c>
      <c r="D539">
        <v>8.25</v>
      </c>
      <c r="E539">
        <v>6</v>
      </c>
      <c r="F539">
        <v>3</v>
      </c>
      <c r="G539" s="5">
        <v>3.1249999999999997E-6</v>
      </c>
      <c r="H539" s="5">
        <v>5.324074074074074E-6</v>
      </c>
      <c r="I539" s="5">
        <v>4.2189814814814815E-3</v>
      </c>
      <c r="J539" s="5">
        <v>3.1249999999999997E-6</v>
      </c>
    </row>
    <row r="540" spans="1:10" x14ac:dyDescent="0.25">
      <c r="A540">
        <f ca="1">IF(_157721372917[[#This Row],[instance]]&lt;OFFSET(_157721372917[[#This Row],[instance]],-1,0), OFFSET(_157721372917[[#This Row],[model]],-1,0)+1, OFFSET(_157721372917[[#This Row],[model]],-1,0))</f>
        <v>5</v>
      </c>
      <c r="B540">
        <v>8</v>
      </c>
      <c r="C540" s="5">
        <v>7.2916666666666666E-6</v>
      </c>
      <c r="D540">
        <v>9</v>
      </c>
      <c r="E540">
        <v>7</v>
      </c>
      <c r="F540">
        <v>3</v>
      </c>
      <c r="G540" s="5">
        <v>3.1249999999999997E-6</v>
      </c>
      <c r="H540" s="5">
        <v>5.324074074074074E-6</v>
      </c>
      <c r="I540" s="5">
        <v>4.2189814814814815E-3</v>
      </c>
      <c r="J540" s="5">
        <v>3.1249999999999997E-6</v>
      </c>
    </row>
    <row r="541" spans="1:10" x14ac:dyDescent="0.25">
      <c r="A541">
        <f ca="1">IF(_157721372917[[#This Row],[instance]]&lt;OFFSET(_157721372917[[#This Row],[instance]],-1,0), OFFSET(_157721372917[[#This Row],[model]],-1,0)+1, OFFSET(_157721372917[[#This Row],[model]],-1,0))</f>
        <v>5</v>
      </c>
      <c r="B541">
        <v>8</v>
      </c>
      <c r="C541" s="5">
        <v>7.6388888888888884E-6</v>
      </c>
      <c r="D541">
        <v>9.75</v>
      </c>
      <c r="E541">
        <v>8</v>
      </c>
      <c r="F541">
        <v>3</v>
      </c>
      <c r="G541" s="5">
        <v>3.1249999999999997E-6</v>
      </c>
      <c r="H541" s="5">
        <v>5.324074074074074E-6</v>
      </c>
      <c r="I541" s="5">
        <v>4.2189814814814815E-3</v>
      </c>
      <c r="J541" s="5">
        <v>3.1249999999999997E-6</v>
      </c>
    </row>
    <row r="542" spans="1:10" x14ac:dyDescent="0.25">
      <c r="A542">
        <f ca="1">IF(_157721372917[[#This Row],[instance]]&lt;OFFSET(_157721372917[[#This Row],[instance]],-1,0), OFFSET(_157721372917[[#This Row],[model]],-1,0)+1, OFFSET(_157721372917[[#This Row],[model]],-1,0))</f>
        <v>5</v>
      </c>
      <c r="B542">
        <v>8</v>
      </c>
      <c r="C542" s="5">
        <v>7.8703703703703702E-6</v>
      </c>
      <c r="D542">
        <v>10.125</v>
      </c>
      <c r="E542">
        <v>9</v>
      </c>
      <c r="F542">
        <v>4</v>
      </c>
      <c r="G542" s="5">
        <v>3.1249999999999997E-6</v>
      </c>
      <c r="H542" s="5">
        <v>5.324074074074074E-6</v>
      </c>
      <c r="I542" s="5">
        <v>4.2189814814814815E-3</v>
      </c>
      <c r="J542" s="5">
        <v>3.1249999999999997E-6</v>
      </c>
    </row>
    <row r="543" spans="1:10" x14ac:dyDescent="0.25">
      <c r="A543">
        <f ca="1">IF(_157721372917[[#This Row],[instance]]&lt;OFFSET(_157721372917[[#This Row],[instance]],-1,0), OFFSET(_157721372917[[#This Row],[model]],-1,0)+1, OFFSET(_157721372917[[#This Row],[model]],-1,0))</f>
        <v>5</v>
      </c>
      <c r="B543">
        <v>8</v>
      </c>
      <c r="C543" s="5">
        <v>7.9861111111111102E-6</v>
      </c>
      <c r="D543">
        <v>10.5</v>
      </c>
      <c r="E543">
        <v>10</v>
      </c>
      <c r="F543">
        <v>4</v>
      </c>
      <c r="G543" s="5">
        <v>3.1249999999999997E-6</v>
      </c>
      <c r="H543" s="5">
        <v>5.324074074074074E-6</v>
      </c>
      <c r="I543" s="5">
        <v>4.2189814814814815E-3</v>
      </c>
      <c r="J543" s="5">
        <v>3.1249999999999997E-6</v>
      </c>
    </row>
    <row r="544" spans="1:10" x14ac:dyDescent="0.25">
      <c r="A544">
        <f ca="1">IF(_157721372917[[#This Row],[instance]]&lt;OFFSET(_157721372917[[#This Row],[instance]],-1,0), OFFSET(_157721372917[[#This Row],[model]],-1,0)+1, OFFSET(_157721372917[[#This Row],[model]],-1,0))</f>
        <v>5</v>
      </c>
      <c r="B544">
        <v>8</v>
      </c>
      <c r="C544" s="5">
        <v>7.9861111111111102E-6</v>
      </c>
      <c r="D544">
        <v>10.875</v>
      </c>
      <c r="E544">
        <v>9</v>
      </c>
      <c r="F544">
        <v>4</v>
      </c>
      <c r="G544" s="5">
        <v>3.1249999999999997E-6</v>
      </c>
      <c r="H544" s="5">
        <v>5.324074074074074E-6</v>
      </c>
      <c r="I544" s="5">
        <v>4.2189814814814815E-3</v>
      </c>
      <c r="J544" s="5">
        <v>3.1249999999999997E-6</v>
      </c>
    </row>
    <row r="545" spans="1:10" x14ac:dyDescent="0.25">
      <c r="A545">
        <f ca="1">IF(_157721372917[[#This Row],[instance]]&lt;OFFSET(_157721372917[[#This Row],[instance]],-1,0), OFFSET(_157721372917[[#This Row],[model]],-1,0)+1, OFFSET(_157721372917[[#This Row],[model]],-1,0))</f>
        <v>5</v>
      </c>
      <c r="B545">
        <v>8</v>
      </c>
      <c r="C545" s="5">
        <v>8.101851851851852E-6</v>
      </c>
      <c r="D545">
        <v>11.25</v>
      </c>
      <c r="E545">
        <v>10</v>
      </c>
      <c r="F545">
        <v>4</v>
      </c>
      <c r="G545" s="5">
        <v>3.1249999999999997E-6</v>
      </c>
      <c r="H545" s="5">
        <v>5.324074074074074E-6</v>
      </c>
      <c r="I545" s="5">
        <v>4.2189814814814815E-3</v>
      </c>
      <c r="J545" s="5">
        <v>3.1249999999999997E-6</v>
      </c>
    </row>
    <row r="546" spans="1:10" x14ac:dyDescent="0.25">
      <c r="A546">
        <f ca="1">IF(_157721372917[[#This Row],[instance]]&lt;OFFSET(_157721372917[[#This Row],[instance]],-1,0), OFFSET(_157721372917[[#This Row],[model]],-1,0)+1, OFFSET(_157721372917[[#This Row],[model]],-1,0))</f>
        <v>5</v>
      </c>
      <c r="B546">
        <v>8</v>
      </c>
      <c r="C546" s="5">
        <v>8.101851851851852E-6</v>
      </c>
      <c r="D546">
        <v>12</v>
      </c>
      <c r="E546">
        <v>10</v>
      </c>
      <c r="F546">
        <v>4</v>
      </c>
      <c r="G546" s="5">
        <v>3.1249999999999997E-6</v>
      </c>
      <c r="H546" s="5">
        <v>5.324074074074074E-6</v>
      </c>
      <c r="I546" s="5">
        <v>4.2189814814814815E-3</v>
      </c>
      <c r="J546" s="5">
        <v>3.1249999999999997E-6</v>
      </c>
    </row>
    <row r="547" spans="1:10" x14ac:dyDescent="0.25">
      <c r="A547">
        <f ca="1">IF(_157721372917[[#This Row],[instance]]&lt;OFFSET(_157721372917[[#This Row],[instance]],-1,0), OFFSET(_157721372917[[#This Row],[model]],-1,0)+1, OFFSET(_157721372917[[#This Row],[model]],-1,0))</f>
        <v>5</v>
      </c>
      <c r="B547">
        <v>8</v>
      </c>
      <c r="C547" s="5">
        <v>8.217592592592592E-6</v>
      </c>
      <c r="D547">
        <v>12.375</v>
      </c>
      <c r="E547">
        <v>11</v>
      </c>
      <c r="F547">
        <v>4</v>
      </c>
      <c r="G547" s="5">
        <v>3.1249999999999997E-6</v>
      </c>
      <c r="H547" s="5">
        <v>5.324074074074074E-6</v>
      </c>
      <c r="I547" s="5">
        <v>4.2189814814814815E-3</v>
      </c>
      <c r="J547" s="5">
        <v>3.1249999999999997E-6</v>
      </c>
    </row>
    <row r="548" spans="1:10" x14ac:dyDescent="0.25">
      <c r="A548">
        <f ca="1">IF(_157721372917[[#This Row],[instance]]&lt;OFFSET(_157721372917[[#This Row],[instance]],-1,0), OFFSET(_157721372917[[#This Row],[model]],-1,0)+1, OFFSET(_157721372917[[#This Row],[model]],-1,0))</f>
        <v>5</v>
      </c>
      <c r="B548">
        <v>8</v>
      </c>
      <c r="C548" s="5">
        <v>8.3333333333333337E-6</v>
      </c>
      <c r="D548">
        <v>13.125</v>
      </c>
      <c r="E548">
        <v>12</v>
      </c>
      <c r="F548">
        <v>4</v>
      </c>
      <c r="G548" s="5">
        <v>3.1249999999999997E-6</v>
      </c>
      <c r="H548" s="5">
        <v>5.324074074074074E-6</v>
      </c>
      <c r="I548" s="5">
        <v>4.2189814814814815E-3</v>
      </c>
      <c r="J548" s="5">
        <v>3.1249999999999997E-6</v>
      </c>
    </row>
    <row r="549" spans="1:10" x14ac:dyDescent="0.25">
      <c r="A549">
        <f ca="1">IF(_157721372917[[#This Row],[instance]]&lt;OFFSET(_157721372917[[#This Row],[instance]],-1,0), OFFSET(_157721372917[[#This Row],[model]],-1,0)+1, OFFSET(_157721372917[[#This Row],[model]],-1,0))</f>
        <v>5</v>
      </c>
      <c r="B549">
        <v>8</v>
      </c>
      <c r="C549" s="5">
        <v>8.4490740740740738E-6</v>
      </c>
      <c r="D549">
        <v>13.5</v>
      </c>
      <c r="E549">
        <v>12</v>
      </c>
      <c r="F549">
        <v>4</v>
      </c>
      <c r="G549" s="5">
        <v>3.1249999999999997E-6</v>
      </c>
      <c r="H549" s="5">
        <v>5.324074074074074E-6</v>
      </c>
      <c r="I549" s="5">
        <v>4.2189814814814815E-3</v>
      </c>
      <c r="J549" s="5">
        <v>3.1249999999999997E-6</v>
      </c>
    </row>
    <row r="550" spans="1:10" x14ac:dyDescent="0.25">
      <c r="A550">
        <f ca="1">IF(_157721372917[[#This Row],[instance]]&lt;OFFSET(_157721372917[[#This Row],[instance]],-1,0), OFFSET(_157721372917[[#This Row],[model]],-1,0)+1, OFFSET(_157721372917[[#This Row],[model]],-1,0))</f>
        <v>5</v>
      </c>
      <c r="B550">
        <v>8</v>
      </c>
      <c r="C550" s="5">
        <v>8.5648148148148138E-6</v>
      </c>
      <c r="D550">
        <v>13.875</v>
      </c>
      <c r="E550">
        <v>13</v>
      </c>
      <c r="F550">
        <v>4</v>
      </c>
      <c r="G550" s="5">
        <v>3.1249999999999997E-6</v>
      </c>
      <c r="H550" s="5">
        <v>5.324074074074074E-6</v>
      </c>
      <c r="I550" s="5">
        <v>4.2189814814814815E-3</v>
      </c>
      <c r="J550" s="5">
        <v>3.1249999999999997E-6</v>
      </c>
    </row>
    <row r="551" spans="1:10" x14ac:dyDescent="0.25">
      <c r="A551">
        <f ca="1">IF(_157721372917[[#This Row],[instance]]&lt;OFFSET(_157721372917[[#This Row],[instance]],-1,0), OFFSET(_157721372917[[#This Row],[model]],-1,0)+1, OFFSET(_157721372917[[#This Row],[model]],-1,0))</f>
        <v>5</v>
      </c>
      <c r="B551">
        <v>9</v>
      </c>
      <c r="C551" s="5">
        <v>6.828703703703703E-6</v>
      </c>
      <c r="D551">
        <v>0</v>
      </c>
      <c r="E551">
        <v>0</v>
      </c>
      <c r="F551">
        <v>0</v>
      </c>
      <c r="G551" s="5">
        <v>3.1249999999999997E-6</v>
      </c>
      <c r="H551" s="5">
        <v>1.5046296296296295E-5</v>
      </c>
      <c r="I551" s="5">
        <v>4.2189814814814815E-3</v>
      </c>
      <c r="J551" s="5">
        <v>3.1249999999999997E-6</v>
      </c>
    </row>
    <row r="552" spans="1:10" x14ac:dyDescent="0.25">
      <c r="A552">
        <f ca="1">IF(_157721372917[[#This Row],[instance]]&lt;OFFSET(_157721372917[[#This Row],[instance]],-1,0), OFFSET(_157721372917[[#This Row],[model]],-1,0)+1, OFFSET(_157721372917[[#This Row],[model]],-1,0))</f>
        <v>5</v>
      </c>
      <c r="B552">
        <v>9</v>
      </c>
      <c r="C552" s="5">
        <v>6.9444444444444439E-6</v>
      </c>
      <c r="D552">
        <v>3</v>
      </c>
      <c r="E552">
        <v>1</v>
      </c>
      <c r="F552">
        <v>1</v>
      </c>
      <c r="G552" s="5">
        <v>3.1249999999999997E-6</v>
      </c>
      <c r="H552" s="5">
        <v>1.5046296296296295E-5</v>
      </c>
      <c r="I552" s="5">
        <v>4.2189814814814815E-3</v>
      </c>
      <c r="J552" s="5">
        <v>3.1249999999999997E-6</v>
      </c>
    </row>
    <row r="553" spans="1:10" x14ac:dyDescent="0.25">
      <c r="A553">
        <f ca="1">IF(_157721372917[[#This Row],[instance]]&lt;OFFSET(_157721372917[[#This Row],[instance]],-1,0), OFFSET(_157721372917[[#This Row],[model]],-1,0)+1, OFFSET(_157721372917[[#This Row],[model]],-1,0))</f>
        <v>5</v>
      </c>
      <c r="B553">
        <v>9</v>
      </c>
      <c r="C553" s="5">
        <v>7.0601851851851848E-6</v>
      </c>
      <c r="D553">
        <v>6</v>
      </c>
      <c r="E553">
        <v>2</v>
      </c>
      <c r="F553">
        <v>2</v>
      </c>
      <c r="G553" s="5">
        <v>3.1249999999999997E-6</v>
      </c>
      <c r="H553" s="5">
        <v>1.5046296296296295E-5</v>
      </c>
      <c r="I553" s="5">
        <v>4.2189814814814815E-3</v>
      </c>
      <c r="J553" s="5">
        <v>3.1249999999999997E-6</v>
      </c>
    </row>
    <row r="554" spans="1:10" x14ac:dyDescent="0.25">
      <c r="A554">
        <f ca="1">IF(_157721372917[[#This Row],[instance]]&lt;OFFSET(_157721372917[[#This Row],[instance]],-1,0), OFFSET(_157721372917[[#This Row],[model]],-1,0)+1, OFFSET(_157721372917[[#This Row],[model]],-1,0))</f>
        <v>5</v>
      </c>
      <c r="B554">
        <v>9</v>
      </c>
      <c r="C554" s="5">
        <v>7.9861111111111102E-6</v>
      </c>
      <c r="D554">
        <v>7.5</v>
      </c>
      <c r="E554">
        <v>3</v>
      </c>
      <c r="F554">
        <v>1</v>
      </c>
      <c r="G554" s="5">
        <v>3.1249999999999997E-6</v>
      </c>
      <c r="H554" s="5">
        <v>1.5046296296296295E-5</v>
      </c>
      <c r="I554" s="5">
        <v>4.2189814814814815E-3</v>
      </c>
      <c r="J554" s="5">
        <v>3.1249999999999997E-6</v>
      </c>
    </row>
    <row r="555" spans="1:10" x14ac:dyDescent="0.25">
      <c r="A555">
        <f ca="1">IF(_157721372917[[#This Row],[instance]]&lt;OFFSET(_157721372917[[#This Row],[instance]],-1,0), OFFSET(_157721372917[[#This Row],[model]],-1,0)+1, OFFSET(_157721372917[[#This Row],[model]],-1,0))</f>
        <v>5</v>
      </c>
      <c r="B555">
        <v>9</v>
      </c>
      <c r="C555" s="5">
        <v>7.9861111111111102E-6</v>
      </c>
      <c r="D555">
        <v>8.25</v>
      </c>
      <c r="E555">
        <v>4</v>
      </c>
      <c r="F555">
        <v>1</v>
      </c>
      <c r="G555" s="5">
        <v>3.1249999999999997E-6</v>
      </c>
      <c r="H555" s="5">
        <v>1.5046296296296295E-5</v>
      </c>
      <c r="I555" s="5">
        <v>4.2189814814814815E-3</v>
      </c>
      <c r="J555" s="5">
        <v>3.1249999999999997E-6</v>
      </c>
    </row>
    <row r="556" spans="1:10" x14ac:dyDescent="0.25">
      <c r="A556">
        <f ca="1">IF(_157721372917[[#This Row],[instance]]&lt;OFFSET(_157721372917[[#This Row],[instance]],-1,0), OFFSET(_157721372917[[#This Row],[model]],-1,0)+1, OFFSET(_157721372917[[#This Row],[model]],-1,0))</f>
        <v>5</v>
      </c>
      <c r="B556">
        <v>9</v>
      </c>
      <c r="C556" s="5">
        <v>7.9861111111111102E-6</v>
      </c>
      <c r="D556">
        <v>9</v>
      </c>
      <c r="E556">
        <v>4</v>
      </c>
      <c r="F556">
        <v>1</v>
      </c>
      <c r="G556" s="5">
        <v>3.1249999999999997E-6</v>
      </c>
      <c r="H556" s="5">
        <v>1.5046296296296295E-5</v>
      </c>
      <c r="I556" s="5">
        <v>4.2189814814814815E-3</v>
      </c>
      <c r="J556" s="5">
        <v>3.1249999999999997E-6</v>
      </c>
    </row>
    <row r="557" spans="1:10" x14ac:dyDescent="0.25">
      <c r="A557">
        <f ca="1">IF(_157721372917[[#This Row],[instance]]&lt;OFFSET(_157721372917[[#This Row],[instance]],-1,0), OFFSET(_157721372917[[#This Row],[model]],-1,0)+1, OFFSET(_157721372917[[#This Row],[model]],-1,0))</f>
        <v>5</v>
      </c>
      <c r="B557">
        <v>9</v>
      </c>
      <c r="C557" s="5">
        <v>8.101851851851852E-6</v>
      </c>
      <c r="D557">
        <v>9.25</v>
      </c>
      <c r="E557">
        <v>5</v>
      </c>
      <c r="F557">
        <v>1</v>
      </c>
      <c r="G557" s="5">
        <v>3.1249999999999997E-6</v>
      </c>
      <c r="H557" s="5">
        <v>1.5046296296296295E-5</v>
      </c>
      <c r="I557" s="5">
        <v>4.2189814814814815E-3</v>
      </c>
      <c r="J557" s="5">
        <v>3.1249999999999997E-6</v>
      </c>
    </row>
    <row r="558" spans="1:10" x14ac:dyDescent="0.25">
      <c r="A558">
        <f ca="1">IF(_157721372917[[#This Row],[instance]]&lt;OFFSET(_157721372917[[#This Row],[instance]],-1,0), OFFSET(_157721372917[[#This Row],[model]],-1,0)+1, OFFSET(_157721372917[[#This Row],[model]],-1,0))</f>
        <v>5</v>
      </c>
      <c r="B558">
        <v>9</v>
      </c>
      <c r="C558" s="5">
        <v>8.101851851851852E-6</v>
      </c>
      <c r="D558">
        <v>9.75</v>
      </c>
      <c r="E558">
        <v>5</v>
      </c>
      <c r="F558">
        <v>1</v>
      </c>
      <c r="G558" s="5">
        <v>3.1249999999999997E-6</v>
      </c>
      <c r="H558" s="5">
        <v>1.5046296296296295E-5</v>
      </c>
      <c r="I558" s="5">
        <v>4.2189814814814815E-3</v>
      </c>
      <c r="J558" s="5">
        <v>3.1249999999999997E-6</v>
      </c>
    </row>
    <row r="559" spans="1:10" x14ac:dyDescent="0.25">
      <c r="A559">
        <f ca="1">IF(_157721372917[[#This Row],[instance]]&lt;OFFSET(_157721372917[[#This Row],[instance]],-1,0), OFFSET(_157721372917[[#This Row],[model]],-1,0)+1, OFFSET(_157721372917[[#This Row],[model]],-1,0))</f>
        <v>5</v>
      </c>
      <c r="B559">
        <v>9</v>
      </c>
      <c r="C559" s="5">
        <v>8.4490740740740738E-6</v>
      </c>
      <c r="D559">
        <v>10.75</v>
      </c>
      <c r="E559">
        <v>6</v>
      </c>
      <c r="F559">
        <v>2</v>
      </c>
      <c r="G559" s="5">
        <v>3.1249999999999997E-6</v>
      </c>
      <c r="H559" s="5">
        <v>1.5046296296296295E-5</v>
      </c>
      <c r="I559" s="5">
        <v>4.2189814814814815E-3</v>
      </c>
      <c r="J559" s="5">
        <v>3.1249999999999997E-6</v>
      </c>
    </row>
    <row r="560" spans="1:10" x14ac:dyDescent="0.25">
      <c r="A560">
        <f ca="1">IF(_157721372917[[#This Row],[instance]]&lt;OFFSET(_157721372917[[#This Row],[instance]],-1,0), OFFSET(_157721372917[[#This Row],[model]],-1,0)+1, OFFSET(_157721372917[[#This Row],[model]],-1,0))</f>
        <v>5</v>
      </c>
      <c r="B560">
        <v>9</v>
      </c>
      <c r="C560" s="5">
        <v>8.4490740740740738E-6</v>
      </c>
      <c r="D560">
        <v>11.25</v>
      </c>
      <c r="E560">
        <v>6</v>
      </c>
      <c r="F560">
        <v>2</v>
      </c>
      <c r="G560" s="5">
        <v>3.1249999999999997E-6</v>
      </c>
      <c r="H560" s="5">
        <v>1.5046296296296295E-5</v>
      </c>
      <c r="I560" s="5">
        <v>4.2189814814814815E-3</v>
      </c>
      <c r="J560" s="5">
        <v>3.1249999999999997E-6</v>
      </c>
    </row>
    <row r="561" spans="1:10" x14ac:dyDescent="0.25">
      <c r="A561">
        <f ca="1">IF(_157721372917[[#This Row],[instance]]&lt;OFFSET(_157721372917[[#This Row],[instance]],-1,0), OFFSET(_157721372917[[#This Row],[model]],-1,0)+1, OFFSET(_157721372917[[#This Row],[model]],-1,0))</f>
        <v>5</v>
      </c>
      <c r="B561">
        <v>9</v>
      </c>
      <c r="C561" s="5">
        <v>8.5648148148148138E-6</v>
      </c>
      <c r="D561">
        <v>12</v>
      </c>
      <c r="E561">
        <v>7</v>
      </c>
      <c r="F561">
        <v>2</v>
      </c>
      <c r="G561" s="5">
        <v>3.1249999999999997E-6</v>
      </c>
      <c r="H561" s="5">
        <v>1.5046296296296295E-5</v>
      </c>
      <c r="I561" s="5">
        <v>4.2189814814814815E-3</v>
      </c>
      <c r="J561" s="5">
        <v>3.1249999999999997E-6</v>
      </c>
    </row>
    <row r="562" spans="1:10" x14ac:dyDescent="0.25">
      <c r="A562">
        <f ca="1">IF(_157721372917[[#This Row],[instance]]&lt;OFFSET(_157721372917[[#This Row],[instance]],-1,0), OFFSET(_157721372917[[#This Row],[model]],-1,0)+1, OFFSET(_157721372917[[#This Row],[model]],-1,0))</f>
        <v>5</v>
      </c>
      <c r="B562">
        <v>9</v>
      </c>
      <c r="C562" s="5">
        <v>8.7962962962962956E-6</v>
      </c>
      <c r="D562">
        <v>12.75</v>
      </c>
      <c r="E562">
        <v>8</v>
      </c>
      <c r="F562">
        <v>3</v>
      </c>
      <c r="G562" s="5">
        <v>3.1249999999999997E-6</v>
      </c>
      <c r="H562" s="5">
        <v>1.5046296296296295E-5</v>
      </c>
      <c r="I562" s="5">
        <v>4.2189814814814815E-3</v>
      </c>
      <c r="J562" s="5">
        <v>3.1249999999999997E-6</v>
      </c>
    </row>
    <row r="563" spans="1:10" x14ac:dyDescent="0.25">
      <c r="A563">
        <f ca="1">IF(_157721372917[[#This Row],[instance]]&lt;OFFSET(_157721372917[[#This Row],[instance]],-1,0), OFFSET(_157721372917[[#This Row],[model]],-1,0)+1, OFFSET(_157721372917[[#This Row],[model]],-1,0))</f>
        <v>5</v>
      </c>
      <c r="B563">
        <v>9</v>
      </c>
      <c r="C563" s="5">
        <v>9.0277777777777774E-6</v>
      </c>
      <c r="D563">
        <v>13.25</v>
      </c>
      <c r="E563">
        <v>8</v>
      </c>
      <c r="F563">
        <v>3</v>
      </c>
      <c r="G563" s="5">
        <v>3.1249999999999997E-6</v>
      </c>
      <c r="H563" s="5">
        <v>1.5046296296296295E-5</v>
      </c>
      <c r="I563" s="5">
        <v>4.2189814814814815E-3</v>
      </c>
      <c r="J563" s="5">
        <v>3.1249999999999997E-6</v>
      </c>
    </row>
    <row r="564" spans="1:10" x14ac:dyDescent="0.25">
      <c r="A564">
        <f ca="1">IF(_157721372917[[#This Row],[instance]]&lt;OFFSET(_157721372917[[#This Row],[instance]],-1,0), OFFSET(_157721372917[[#This Row],[model]],-1,0)+1, OFFSET(_157721372917[[#This Row],[model]],-1,0))</f>
        <v>5</v>
      </c>
      <c r="B564">
        <v>9</v>
      </c>
      <c r="C564" s="5">
        <v>9.1435185185185174E-6</v>
      </c>
      <c r="D564">
        <v>14</v>
      </c>
      <c r="E564">
        <v>9</v>
      </c>
      <c r="F564">
        <v>3</v>
      </c>
      <c r="G564" s="5">
        <v>3.1249999999999997E-6</v>
      </c>
      <c r="H564" s="5">
        <v>1.5046296296296295E-5</v>
      </c>
      <c r="I564" s="5">
        <v>4.2189814814814815E-3</v>
      </c>
      <c r="J564" s="5">
        <v>3.1249999999999997E-6</v>
      </c>
    </row>
    <row r="565" spans="1:10" x14ac:dyDescent="0.25">
      <c r="A565">
        <f ca="1">IF(_157721372917[[#This Row],[instance]]&lt;OFFSET(_157721372917[[#This Row],[instance]],-1,0), OFFSET(_157721372917[[#This Row],[model]],-1,0)+1, OFFSET(_157721372917[[#This Row],[model]],-1,0))</f>
        <v>5</v>
      </c>
      <c r="B565">
        <v>9</v>
      </c>
      <c r="C565" s="5">
        <v>9.1435185185185174E-6</v>
      </c>
      <c r="D565">
        <v>14.5</v>
      </c>
      <c r="E565">
        <v>9</v>
      </c>
      <c r="F565">
        <v>3</v>
      </c>
      <c r="G565" s="5">
        <v>3.1249999999999997E-6</v>
      </c>
      <c r="H565" s="5">
        <v>1.5046296296296295E-5</v>
      </c>
      <c r="I565" s="5">
        <v>4.2189814814814815E-3</v>
      </c>
      <c r="J565" s="5">
        <v>3.1249999999999997E-6</v>
      </c>
    </row>
    <row r="566" spans="1:10" x14ac:dyDescent="0.25">
      <c r="A566">
        <f ca="1">IF(_157721372917[[#This Row],[instance]]&lt;OFFSET(_157721372917[[#This Row],[instance]],-1,0), OFFSET(_157721372917[[#This Row],[model]],-1,0)+1, OFFSET(_157721372917[[#This Row],[model]],-1,0))</f>
        <v>5</v>
      </c>
      <c r="B566">
        <v>9</v>
      </c>
      <c r="C566" s="5">
        <v>9.722222222222221E-6</v>
      </c>
      <c r="D566">
        <v>14.5</v>
      </c>
      <c r="E566">
        <v>9</v>
      </c>
      <c r="F566">
        <v>2</v>
      </c>
      <c r="G566" s="5">
        <v>3.1249999999999997E-6</v>
      </c>
      <c r="H566" s="5">
        <v>1.5046296296296295E-5</v>
      </c>
      <c r="I566" s="5">
        <v>4.2189814814814815E-3</v>
      </c>
      <c r="J566" s="5">
        <v>3.1249999999999997E-6</v>
      </c>
    </row>
    <row r="567" spans="1:10" x14ac:dyDescent="0.25">
      <c r="A567">
        <f ca="1">IF(_157721372917[[#This Row],[instance]]&lt;OFFSET(_157721372917[[#This Row],[instance]],-1,0), OFFSET(_157721372917[[#This Row],[model]],-1,0)+1, OFFSET(_157721372917[[#This Row],[model]],-1,0))</f>
        <v>5</v>
      </c>
      <c r="B567">
        <v>9</v>
      </c>
      <c r="C567" s="5">
        <v>9.722222222222221E-6</v>
      </c>
      <c r="D567">
        <v>15.25</v>
      </c>
      <c r="E567">
        <v>9</v>
      </c>
      <c r="F567">
        <v>2</v>
      </c>
      <c r="G567" s="5">
        <v>3.1249999999999997E-6</v>
      </c>
      <c r="H567" s="5">
        <v>1.5046296296296295E-5</v>
      </c>
      <c r="I567" s="5">
        <v>4.2189814814814815E-3</v>
      </c>
      <c r="J567" s="5">
        <v>3.1249999999999997E-6</v>
      </c>
    </row>
    <row r="568" spans="1:10" x14ac:dyDescent="0.25">
      <c r="A568">
        <f ca="1">IF(_157721372917[[#This Row],[instance]]&lt;OFFSET(_157721372917[[#This Row],[instance]],-1,0), OFFSET(_157721372917[[#This Row],[model]],-1,0)+1, OFFSET(_157721372917[[#This Row],[model]],-1,0))</f>
        <v>5</v>
      </c>
      <c r="B568">
        <v>9</v>
      </c>
      <c r="C568" s="5">
        <v>9.8379629629629627E-6</v>
      </c>
      <c r="D568">
        <v>16.25</v>
      </c>
      <c r="E568">
        <v>10</v>
      </c>
      <c r="F568">
        <v>2</v>
      </c>
      <c r="G568" s="5">
        <v>3.1249999999999997E-6</v>
      </c>
      <c r="H568" s="5">
        <v>1.5046296296296295E-5</v>
      </c>
      <c r="I568" s="5">
        <v>4.2189814814814815E-3</v>
      </c>
      <c r="J568" s="5">
        <v>3.1249999999999997E-6</v>
      </c>
    </row>
    <row r="569" spans="1:10" x14ac:dyDescent="0.25">
      <c r="A569">
        <f ca="1">IF(_157721372917[[#This Row],[instance]]&lt;OFFSET(_157721372917[[#This Row],[instance]],-1,0), OFFSET(_157721372917[[#This Row],[model]],-1,0)+1, OFFSET(_157721372917[[#This Row],[model]],-1,0))</f>
        <v>5</v>
      </c>
      <c r="B569">
        <v>9</v>
      </c>
      <c r="C569" s="5">
        <v>1.0300925925925926E-5</v>
      </c>
      <c r="D569">
        <v>16.75</v>
      </c>
      <c r="E569">
        <v>10</v>
      </c>
      <c r="F569">
        <v>3</v>
      </c>
      <c r="G569" s="5">
        <v>3.1249999999999997E-6</v>
      </c>
      <c r="H569" s="5">
        <v>1.5046296296296295E-5</v>
      </c>
      <c r="I569" s="5">
        <v>4.2189814814814815E-3</v>
      </c>
      <c r="J569" s="5">
        <v>3.1249999999999997E-6</v>
      </c>
    </row>
    <row r="570" spans="1:10" x14ac:dyDescent="0.25">
      <c r="A570">
        <f ca="1">IF(_157721372917[[#This Row],[instance]]&lt;OFFSET(_157721372917[[#This Row],[instance]],-1,0), OFFSET(_157721372917[[#This Row],[model]],-1,0)+1, OFFSET(_157721372917[[#This Row],[model]],-1,0))</f>
        <v>5</v>
      </c>
      <c r="B570">
        <v>9</v>
      </c>
      <c r="C570" s="5">
        <v>1.0300925925925926E-5</v>
      </c>
      <c r="D570">
        <v>16.75</v>
      </c>
      <c r="E570">
        <v>10</v>
      </c>
      <c r="F570">
        <v>2</v>
      </c>
      <c r="G570" s="5">
        <v>3.1249999999999997E-6</v>
      </c>
      <c r="H570" s="5">
        <v>1.5046296296296295E-5</v>
      </c>
      <c r="I570" s="5">
        <v>4.2189814814814815E-3</v>
      </c>
      <c r="J570" s="5">
        <v>3.1249999999999997E-6</v>
      </c>
    </row>
    <row r="571" spans="1:10" x14ac:dyDescent="0.25">
      <c r="A571">
        <f ca="1">IF(_157721372917[[#This Row],[instance]]&lt;OFFSET(_157721372917[[#This Row],[instance]],-1,0), OFFSET(_157721372917[[#This Row],[model]],-1,0)+1, OFFSET(_157721372917[[#This Row],[model]],-1,0))</f>
        <v>5</v>
      </c>
      <c r="B571">
        <v>9</v>
      </c>
      <c r="C571" s="5">
        <v>1.0532407407407406E-5</v>
      </c>
      <c r="D571">
        <v>17</v>
      </c>
      <c r="E571">
        <v>10</v>
      </c>
      <c r="F571">
        <v>3</v>
      </c>
      <c r="G571" s="5">
        <v>3.1249999999999997E-6</v>
      </c>
      <c r="H571" s="5">
        <v>1.5046296296296295E-5</v>
      </c>
      <c r="I571" s="5">
        <v>4.2189814814814815E-3</v>
      </c>
      <c r="J571" s="5">
        <v>3.1249999999999997E-6</v>
      </c>
    </row>
    <row r="572" spans="1:10" x14ac:dyDescent="0.25">
      <c r="A572">
        <f ca="1">IF(_157721372917[[#This Row],[instance]]&lt;OFFSET(_157721372917[[#This Row],[instance]],-1,0), OFFSET(_157721372917[[#This Row],[model]],-1,0)+1, OFFSET(_157721372917[[#This Row],[model]],-1,0))</f>
        <v>5</v>
      </c>
      <c r="B572">
        <v>9</v>
      </c>
      <c r="C572" s="5">
        <v>1.0763888888888888E-5</v>
      </c>
      <c r="D572">
        <v>17.5</v>
      </c>
      <c r="E572">
        <v>10</v>
      </c>
      <c r="F572">
        <v>3</v>
      </c>
      <c r="G572" s="5">
        <v>3.1249999999999997E-6</v>
      </c>
      <c r="H572" s="5">
        <v>1.5046296296296295E-5</v>
      </c>
      <c r="I572" s="5">
        <v>4.2189814814814815E-3</v>
      </c>
      <c r="J572" s="5">
        <v>3.1249999999999997E-6</v>
      </c>
    </row>
    <row r="573" spans="1:10" x14ac:dyDescent="0.25">
      <c r="A573">
        <f ca="1">IF(_157721372917[[#This Row],[instance]]&lt;OFFSET(_157721372917[[#This Row],[instance]],-1,0), OFFSET(_157721372917[[#This Row],[model]],-1,0)+1, OFFSET(_157721372917[[#This Row],[model]],-1,0))</f>
        <v>5</v>
      </c>
      <c r="B573">
        <v>9</v>
      </c>
      <c r="C573" s="5">
        <v>1.099537037037037E-5</v>
      </c>
      <c r="D573">
        <v>18.25</v>
      </c>
      <c r="E573">
        <v>12</v>
      </c>
      <c r="F573">
        <v>3</v>
      </c>
      <c r="G573" s="5">
        <v>3.1249999999999997E-6</v>
      </c>
      <c r="H573" s="5">
        <v>1.5046296296296295E-5</v>
      </c>
      <c r="I573" s="5">
        <v>4.2189814814814815E-3</v>
      </c>
      <c r="J573" s="5">
        <v>3.1249999999999997E-6</v>
      </c>
    </row>
    <row r="574" spans="1:10" x14ac:dyDescent="0.25">
      <c r="A574">
        <f ca="1">IF(_157721372917[[#This Row],[instance]]&lt;OFFSET(_157721372917[[#This Row],[instance]],-1,0), OFFSET(_157721372917[[#This Row],[model]],-1,0)+1, OFFSET(_157721372917[[#This Row],[model]],-1,0))</f>
        <v>5</v>
      </c>
      <c r="B574">
        <v>9</v>
      </c>
      <c r="C574" s="5">
        <v>1.1342592592592592E-5</v>
      </c>
      <c r="D574">
        <v>19</v>
      </c>
      <c r="E574">
        <v>13</v>
      </c>
      <c r="F574">
        <v>3</v>
      </c>
      <c r="G574" s="5">
        <v>3.1249999999999997E-6</v>
      </c>
      <c r="H574" s="5">
        <v>1.5046296296296295E-5</v>
      </c>
      <c r="I574" s="5">
        <v>4.2189814814814815E-3</v>
      </c>
      <c r="J574" s="5">
        <v>3.1249999999999997E-6</v>
      </c>
    </row>
    <row r="575" spans="1:10" x14ac:dyDescent="0.25">
      <c r="A575">
        <f ca="1">IF(_157721372917[[#This Row],[instance]]&lt;OFFSET(_157721372917[[#This Row],[instance]],-1,0), OFFSET(_157721372917[[#This Row],[model]],-1,0)+1, OFFSET(_157721372917[[#This Row],[model]],-1,0))</f>
        <v>5</v>
      </c>
      <c r="B575">
        <v>9</v>
      </c>
      <c r="C575" s="5">
        <v>1.6319444444444444E-5</v>
      </c>
      <c r="D575">
        <v>20.5</v>
      </c>
      <c r="E575">
        <v>14</v>
      </c>
      <c r="F575">
        <v>3</v>
      </c>
      <c r="G575" s="5">
        <v>3.1249999999999997E-6</v>
      </c>
      <c r="H575" s="5">
        <v>1.5046296296296295E-5</v>
      </c>
      <c r="I575" s="5">
        <v>4.2189814814814815E-3</v>
      </c>
      <c r="J575" s="5">
        <v>3.1249999999999997E-6</v>
      </c>
    </row>
    <row r="576" spans="1:10" x14ac:dyDescent="0.25">
      <c r="A576">
        <f ca="1">IF(_157721372917[[#This Row],[instance]]&lt;OFFSET(_157721372917[[#This Row],[instance]],-1,0), OFFSET(_157721372917[[#This Row],[model]],-1,0)+1, OFFSET(_157721372917[[#This Row],[model]],-1,0))</f>
        <v>5</v>
      </c>
      <c r="B576">
        <v>9</v>
      </c>
      <c r="C576" s="5">
        <v>1.7013888888888888E-5</v>
      </c>
      <c r="D576">
        <v>21.25</v>
      </c>
      <c r="E576">
        <v>15</v>
      </c>
      <c r="F576">
        <v>3</v>
      </c>
      <c r="G576" s="5">
        <v>3.1249999999999997E-6</v>
      </c>
      <c r="H576" s="5">
        <v>1.5046296296296295E-5</v>
      </c>
      <c r="I576" s="5">
        <v>4.2189814814814815E-3</v>
      </c>
      <c r="J576" s="5">
        <v>3.1249999999999997E-6</v>
      </c>
    </row>
    <row r="577" spans="1:10" x14ac:dyDescent="0.25">
      <c r="A577">
        <f ca="1">IF(_157721372917[[#This Row],[instance]]&lt;OFFSET(_157721372917[[#This Row],[instance]],-1,0), OFFSET(_157721372917[[#This Row],[model]],-1,0)+1, OFFSET(_157721372917[[#This Row],[model]],-1,0))</f>
        <v>5</v>
      </c>
      <c r="B577">
        <v>9</v>
      </c>
      <c r="C577" s="5">
        <v>1.7939814814814815E-5</v>
      </c>
      <c r="D577">
        <v>21.5</v>
      </c>
      <c r="E577">
        <v>15</v>
      </c>
      <c r="F577">
        <v>3</v>
      </c>
      <c r="G577" s="5">
        <v>3.1249999999999997E-6</v>
      </c>
      <c r="H577" s="5">
        <v>1.5046296296296295E-5</v>
      </c>
      <c r="I577" s="5">
        <v>4.2189814814814815E-3</v>
      </c>
      <c r="J577" s="5">
        <v>3.1249999999999997E-6</v>
      </c>
    </row>
    <row r="578" spans="1:10" x14ac:dyDescent="0.25">
      <c r="A578">
        <f ca="1">IF(_157721372917[[#This Row],[instance]]&lt;OFFSET(_157721372917[[#This Row],[instance]],-1,0), OFFSET(_157721372917[[#This Row],[model]],-1,0)+1, OFFSET(_157721372917[[#This Row],[model]],-1,0))</f>
        <v>5</v>
      </c>
      <c r="B578">
        <v>9</v>
      </c>
      <c r="C578" s="5">
        <v>1.8171296296296295E-5</v>
      </c>
      <c r="D578">
        <v>22.25</v>
      </c>
      <c r="E578">
        <v>16</v>
      </c>
      <c r="F578">
        <v>3</v>
      </c>
      <c r="G578" s="5">
        <v>3.1249999999999997E-6</v>
      </c>
      <c r="H578" s="5">
        <v>1.5046296296296295E-5</v>
      </c>
      <c r="I578" s="5">
        <v>4.2189814814814815E-3</v>
      </c>
      <c r="J578" s="5">
        <v>3.1249999999999997E-6</v>
      </c>
    </row>
    <row r="579" spans="1:10" x14ac:dyDescent="0.25">
      <c r="A579">
        <f ca="1">IF(_157721372917[[#This Row],[instance]]&lt;OFFSET(_157721372917[[#This Row],[instance]],-1,0), OFFSET(_157721372917[[#This Row],[model]],-1,0)+1, OFFSET(_157721372917[[#This Row],[model]],-1,0))</f>
        <v>5</v>
      </c>
      <c r="B579">
        <v>10</v>
      </c>
      <c r="C579" s="5">
        <v>6.828703703703703E-6</v>
      </c>
      <c r="D579">
        <v>0</v>
      </c>
      <c r="E579">
        <v>0</v>
      </c>
      <c r="F579">
        <v>0</v>
      </c>
      <c r="G579" s="5">
        <v>3.1249999999999997E-6</v>
      </c>
      <c r="H579" s="5">
        <v>6.944791666666666E-3</v>
      </c>
      <c r="I579" s="5">
        <v>4.2189814814814815E-3</v>
      </c>
      <c r="J579" s="5">
        <v>3.1249999999999997E-6</v>
      </c>
    </row>
    <row r="580" spans="1:10" x14ac:dyDescent="0.25">
      <c r="A580">
        <f ca="1">IF(_157721372917[[#This Row],[instance]]&lt;OFFSET(_157721372917[[#This Row],[instance]],-1,0), OFFSET(_157721372917[[#This Row],[model]],-1,0)+1, OFFSET(_157721372917[[#This Row],[model]],-1,0))</f>
        <v>5</v>
      </c>
      <c r="B580">
        <v>10</v>
      </c>
      <c r="C580" s="5">
        <v>7.0601851851851848E-6</v>
      </c>
      <c r="D580">
        <v>3</v>
      </c>
      <c r="E580">
        <v>1</v>
      </c>
      <c r="F580">
        <v>1</v>
      </c>
      <c r="G580" s="5">
        <v>3.1249999999999997E-6</v>
      </c>
      <c r="H580" s="5">
        <v>6.944791666666666E-3</v>
      </c>
      <c r="I580" s="5">
        <v>4.2189814814814815E-3</v>
      </c>
      <c r="J580" s="5">
        <v>3.1249999999999997E-6</v>
      </c>
    </row>
    <row r="581" spans="1:10" x14ac:dyDescent="0.25">
      <c r="A581">
        <f ca="1">IF(_157721372917[[#This Row],[instance]]&lt;OFFSET(_157721372917[[#This Row],[instance]],-1,0), OFFSET(_157721372917[[#This Row],[model]],-1,0)+1, OFFSET(_157721372917[[#This Row],[model]],-1,0))</f>
        <v>5</v>
      </c>
      <c r="B581">
        <v>10</v>
      </c>
      <c r="C581" s="5">
        <v>7.0601851851851848E-6</v>
      </c>
      <c r="D581">
        <v>6</v>
      </c>
      <c r="E581">
        <v>2</v>
      </c>
      <c r="F581">
        <v>2</v>
      </c>
      <c r="G581" s="5">
        <v>3.1249999999999997E-6</v>
      </c>
      <c r="H581" s="5">
        <v>6.944791666666666E-3</v>
      </c>
      <c r="I581" s="5">
        <v>4.2189814814814815E-3</v>
      </c>
      <c r="J581" s="5">
        <v>3.1249999999999997E-6</v>
      </c>
    </row>
    <row r="582" spans="1:10" x14ac:dyDescent="0.25">
      <c r="A582">
        <f ca="1">IF(_157721372917[[#This Row],[instance]]&lt;OFFSET(_157721372917[[#This Row],[instance]],-1,0), OFFSET(_157721372917[[#This Row],[model]],-1,0)+1, OFFSET(_157721372917[[#This Row],[model]],-1,0))</f>
        <v>5</v>
      </c>
      <c r="B582">
        <v>10</v>
      </c>
      <c r="C582" s="5">
        <v>7.0601851851851848E-6</v>
      </c>
      <c r="D582">
        <v>9</v>
      </c>
      <c r="E582">
        <v>3</v>
      </c>
      <c r="F582">
        <v>3</v>
      </c>
      <c r="G582" s="5">
        <v>3.1249999999999997E-6</v>
      </c>
      <c r="H582" s="5">
        <v>6.944791666666666E-3</v>
      </c>
      <c r="I582" s="5">
        <v>4.2189814814814815E-3</v>
      </c>
      <c r="J582" s="5">
        <v>3.1249999999999997E-6</v>
      </c>
    </row>
    <row r="583" spans="1:10" x14ac:dyDescent="0.25">
      <c r="A583">
        <f ca="1">IF(_157721372917[[#This Row],[instance]]&lt;OFFSET(_157721372917[[#This Row],[instance]],-1,0), OFFSET(_157721372917[[#This Row],[model]],-1,0)+1, OFFSET(_157721372917[[#This Row],[model]],-1,0))</f>
        <v>5</v>
      </c>
      <c r="B583">
        <v>10</v>
      </c>
      <c r="C583" s="5">
        <v>7.1759259259259257E-6</v>
      </c>
      <c r="D583">
        <v>12</v>
      </c>
      <c r="E583">
        <v>4</v>
      </c>
      <c r="F583">
        <v>4</v>
      </c>
      <c r="G583" s="5">
        <v>3.1249999999999997E-6</v>
      </c>
      <c r="H583" s="5">
        <v>6.944791666666666E-3</v>
      </c>
      <c r="I583" s="5">
        <v>4.2189814814814815E-3</v>
      </c>
      <c r="J583" s="5">
        <v>3.1249999999999997E-6</v>
      </c>
    </row>
    <row r="584" spans="1:10" x14ac:dyDescent="0.25">
      <c r="A584">
        <f ca="1">IF(_157721372917[[#This Row],[instance]]&lt;OFFSET(_157721372917[[#This Row],[instance]],-1,0), OFFSET(_157721372917[[#This Row],[model]],-1,0)+1, OFFSET(_157721372917[[#This Row],[model]],-1,0))</f>
        <v>5</v>
      </c>
      <c r="B584">
        <v>10</v>
      </c>
      <c r="C584" s="5">
        <v>8.6805555555555555E-6</v>
      </c>
      <c r="D584">
        <v>13.125</v>
      </c>
      <c r="E584">
        <v>7</v>
      </c>
      <c r="F584">
        <v>5</v>
      </c>
      <c r="G584" s="5">
        <v>3.1249999999999997E-6</v>
      </c>
      <c r="H584" s="5">
        <v>6.944791666666666E-3</v>
      </c>
      <c r="I584" s="5">
        <v>4.2189814814814815E-3</v>
      </c>
      <c r="J584" s="5">
        <v>3.1249999999999997E-6</v>
      </c>
    </row>
    <row r="585" spans="1:10" x14ac:dyDescent="0.25">
      <c r="A585">
        <f ca="1">IF(_157721372917[[#This Row],[instance]]&lt;OFFSET(_157721372917[[#This Row],[instance]],-1,0), OFFSET(_157721372917[[#This Row],[model]],-1,0)+1, OFFSET(_157721372917[[#This Row],[model]],-1,0))</f>
        <v>5</v>
      </c>
      <c r="B585">
        <v>10</v>
      </c>
      <c r="C585" s="5">
        <v>9.3749999999999992E-6</v>
      </c>
      <c r="D585">
        <v>13.5</v>
      </c>
      <c r="E585">
        <v>8</v>
      </c>
      <c r="F585">
        <v>5</v>
      </c>
      <c r="G585" s="5">
        <v>3.1249999999999997E-6</v>
      </c>
      <c r="H585" s="5">
        <v>6.944791666666666E-3</v>
      </c>
      <c r="I585" s="5">
        <v>4.2189814814814815E-3</v>
      </c>
      <c r="J585" s="5">
        <v>3.1249999999999997E-6</v>
      </c>
    </row>
    <row r="586" spans="1:10" x14ac:dyDescent="0.25">
      <c r="A586">
        <f ca="1">IF(_157721372917[[#This Row],[instance]]&lt;OFFSET(_157721372917[[#This Row],[instance]],-1,0), OFFSET(_157721372917[[#This Row],[model]],-1,0)+1, OFFSET(_157721372917[[#This Row],[model]],-1,0))</f>
        <v>5</v>
      </c>
      <c r="B586">
        <v>11</v>
      </c>
      <c r="C586" s="5">
        <v>6.712962962962963E-6</v>
      </c>
      <c r="D586">
        <v>0</v>
      </c>
      <c r="E586">
        <v>0</v>
      </c>
      <c r="F586">
        <v>0</v>
      </c>
      <c r="G586" s="5">
        <v>3.1249999999999997E-6</v>
      </c>
      <c r="H586" s="5">
        <v>6.2499999999999995E-6</v>
      </c>
      <c r="I586" s="5">
        <v>4.2189814814814815E-3</v>
      </c>
      <c r="J586" s="5">
        <v>3.1249999999999997E-6</v>
      </c>
    </row>
    <row r="587" spans="1:10" x14ac:dyDescent="0.25">
      <c r="A587">
        <f ca="1">IF(_157721372917[[#This Row],[instance]]&lt;OFFSET(_157721372917[[#This Row],[instance]],-1,0), OFFSET(_157721372917[[#This Row],[model]],-1,0)+1, OFFSET(_157721372917[[#This Row],[model]],-1,0))</f>
        <v>5</v>
      </c>
      <c r="B587">
        <v>11</v>
      </c>
      <c r="C587" s="5">
        <v>7.0601851851851848E-6</v>
      </c>
      <c r="D587">
        <v>1.75</v>
      </c>
      <c r="E587">
        <v>2</v>
      </c>
      <c r="F587">
        <v>1</v>
      </c>
      <c r="G587" s="5">
        <v>3.1249999999999997E-6</v>
      </c>
      <c r="H587" s="5">
        <v>6.2499999999999995E-6</v>
      </c>
      <c r="I587" s="5">
        <v>4.2189814814814815E-3</v>
      </c>
      <c r="J587" s="5">
        <v>3.1249999999999997E-6</v>
      </c>
    </row>
    <row r="588" spans="1:10" x14ac:dyDescent="0.25">
      <c r="A588">
        <f ca="1">IF(_157721372917[[#This Row],[instance]]&lt;OFFSET(_157721372917[[#This Row],[instance]],-1,0), OFFSET(_157721372917[[#This Row],[model]],-1,0)+1, OFFSET(_157721372917[[#This Row],[model]],-1,0))</f>
        <v>5</v>
      </c>
      <c r="B588">
        <v>11</v>
      </c>
      <c r="C588" s="5">
        <v>7.2916666666666666E-6</v>
      </c>
      <c r="D588">
        <v>2.75</v>
      </c>
      <c r="E588">
        <v>3</v>
      </c>
      <c r="F588">
        <v>1</v>
      </c>
      <c r="G588" s="5">
        <v>3.1249999999999997E-6</v>
      </c>
      <c r="H588" s="5">
        <v>6.2499999999999995E-6</v>
      </c>
      <c r="I588" s="5">
        <v>4.2189814814814815E-3</v>
      </c>
      <c r="J588" s="5">
        <v>3.1249999999999997E-6</v>
      </c>
    </row>
    <row r="589" spans="1:10" x14ac:dyDescent="0.25">
      <c r="A589">
        <f ca="1">IF(_157721372917[[#This Row],[instance]]&lt;OFFSET(_157721372917[[#This Row],[instance]],-1,0), OFFSET(_157721372917[[#This Row],[model]],-1,0)+1, OFFSET(_157721372917[[#This Row],[model]],-1,0))</f>
        <v>5</v>
      </c>
      <c r="B589">
        <v>11</v>
      </c>
      <c r="C589" s="5">
        <v>7.4074074074074075E-6</v>
      </c>
      <c r="D589">
        <v>3.75</v>
      </c>
      <c r="E589">
        <v>4</v>
      </c>
      <c r="F589">
        <v>2</v>
      </c>
      <c r="G589" s="5">
        <v>3.1249999999999997E-6</v>
      </c>
      <c r="H589" s="5">
        <v>6.2499999999999995E-6</v>
      </c>
      <c r="I589" s="5">
        <v>4.2189814814814815E-3</v>
      </c>
      <c r="J589" s="5">
        <v>3.1249999999999997E-6</v>
      </c>
    </row>
    <row r="590" spans="1:10" x14ac:dyDescent="0.25">
      <c r="A590">
        <f ca="1">IF(_157721372917[[#This Row],[instance]]&lt;OFFSET(_157721372917[[#This Row],[instance]],-1,0), OFFSET(_157721372917[[#This Row],[model]],-1,0)+1, OFFSET(_157721372917[[#This Row],[model]],-1,0))</f>
        <v>5</v>
      </c>
      <c r="B590">
        <v>11</v>
      </c>
      <c r="C590" s="5">
        <v>7.8703703703703702E-6</v>
      </c>
      <c r="D590">
        <v>4.75</v>
      </c>
      <c r="E590">
        <v>5</v>
      </c>
      <c r="F590">
        <v>1</v>
      </c>
      <c r="G590" s="5">
        <v>3.1249999999999997E-6</v>
      </c>
      <c r="H590" s="5">
        <v>6.2499999999999995E-6</v>
      </c>
      <c r="I590" s="5">
        <v>4.2189814814814815E-3</v>
      </c>
      <c r="J590" s="5">
        <v>3.1249999999999997E-6</v>
      </c>
    </row>
    <row r="591" spans="1:10" x14ac:dyDescent="0.25">
      <c r="A591">
        <f ca="1">IF(_157721372917[[#This Row],[instance]]&lt;OFFSET(_157721372917[[#This Row],[instance]],-1,0), OFFSET(_157721372917[[#This Row],[model]],-1,0)+1, OFFSET(_157721372917[[#This Row],[model]],-1,0))</f>
        <v>5</v>
      </c>
      <c r="B591">
        <v>11</v>
      </c>
      <c r="C591" s="5">
        <v>7.8703703703703702E-6</v>
      </c>
      <c r="D591">
        <v>5.75</v>
      </c>
      <c r="E591">
        <v>6</v>
      </c>
      <c r="F591">
        <v>1</v>
      </c>
      <c r="G591" s="5">
        <v>3.1249999999999997E-6</v>
      </c>
      <c r="H591" s="5">
        <v>6.2499999999999995E-6</v>
      </c>
      <c r="I591" s="5">
        <v>4.2189814814814815E-3</v>
      </c>
      <c r="J591" s="5">
        <v>3.1249999999999997E-6</v>
      </c>
    </row>
    <row r="592" spans="1:10" x14ac:dyDescent="0.25">
      <c r="A592">
        <f ca="1">IF(_157721372917[[#This Row],[instance]]&lt;OFFSET(_157721372917[[#This Row],[instance]],-1,0), OFFSET(_157721372917[[#This Row],[model]],-1,0)+1, OFFSET(_157721372917[[#This Row],[model]],-1,0))</f>
        <v>5</v>
      </c>
      <c r="B592">
        <v>11</v>
      </c>
      <c r="C592" s="5">
        <v>7.9861111111111102E-6</v>
      </c>
      <c r="D592">
        <v>6.75</v>
      </c>
      <c r="E592">
        <v>7</v>
      </c>
      <c r="F592">
        <v>2</v>
      </c>
      <c r="G592" s="5">
        <v>3.1249999999999997E-6</v>
      </c>
      <c r="H592" s="5">
        <v>6.2499999999999995E-6</v>
      </c>
      <c r="I592" s="5">
        <v>4.2189814814814815E-3</v>
      </c>
      <c r="J592" s="5">
        <v>3.1249999999999997E-6</v>
      </c>
    </row>
    <row r="593" spans="1:10" x14ac:dyDescent="0.25">
      <c r="A593">
        <f ca="1">IF(_157721372917[[#This Row],[instance]]&lt;OFFSET(_157721372917[[#This Row],[instance]],-1,0), OFFSET(_157721372917[[#This Row],[model]],-1,0)+1, OFFSET(_157721372917[[#This Row],[model]],-1,0))</f>
        <v>5</v>
      </c>
      <c r="B593">
        <v>11</v>
      </c>
      <c r="C593" s="5">
        <v>8.4490740740740738E-6</v>
      </c>
      <c r="D593">
        <v>6.75</v>
      </c>
      <c r="E593">
        <v>7</v>
      </c>
      <c r="F593">
        <v>2</v>
      </c>
      <c r="G593" s="5">
        <v>3.1249999999999997E-6</v>
      </c>
      <c r="H593" s="5">
        <v>6.2499999999999995E-6</v>
      </c>
      <c r="I593" s="5">
        <v>4.2189814814814815E-3</v>
      </c>
      <c r="J593" s="5">
        <v>3.1249999999999997E-6</v>
      </c>
    </row>
    <row r="594" spans="1:10" x14ac:dyDescent="0.25">
      <c r="A594">
        <f ca="1">IF(_157721372917[[#This Row],[instance]]&lt;OFFSET(_157721372917[[#This Row],[instance]],-1,0), OFFSET(_157721372917[[#This Row],[model]],-1,0)+1, OFFSET(_157721372917[[#This Row],[model]],-1,0))</f>
        <v>5</v>
      </c>
      <c r="B594">
        <v>11</v>
      </c>
      <c r="C594" s="5">
        <v>8.4490740740740738E-6</v>
      </c>
      <c r="D594">
        <v>7.5</v>
      </c>
      <c r="E594">
        <v>8</v>
      </c>
      <c r="F594">
        <v>2</v>
      </c>
      <c r="G594" s="5">
        <v>3.1249999999999997E-6</v>
      </c>
      <c r="H594" s="5">
        <v>6.2499999999999995E-6</v>
      </c>
      <c r="I594" s="5">
        <v>4.2189814814814815E-3</v>
      </c>
      <c r="J594" s="5">
        <v>3.1249999999999997E-6</v>
      </c>
    </row>
    <row r="595" spans="1:10" x14ac:dyDescent="0.25">
      <c r="A595">
        <f ca="1">IF(_157721372917[[#This Row],[instance]]&lt;OFFSET(_157721372917[[#This Row],[instance]],-1,0), OFFSET(_157721372917[[#This Row],[model]],-1,0)+1, OFFSET(_157721372917[[#This Row],[model]],-1,0))</f>
        <v>5</v>
      </c>
      <c r="B595">
        <v>11</v>
      </c>
      <c r="C595" s="5">
        <v>8.5648148148148138E-6</v>
      </c>
      <c r="D595">
        <v>8.25</v>
      </c>
      <c r="E595">
        <v>9</v>
      </c>
      <c r="F595">
        <v>3</v>
      </c>
      <c r="G595" s="5">
        <v>3.1249999999999997E-6</v>
      </c>
      <c r="H595" s="5">
        <v>6.2499999999999995E-6</v>
      </c>
      <c r="I595" s="5">
        <v>4.2189814814814815E-3</v>
      </c>
      <c r="J595" s="5">
        <v>3.1249999999999997E-6</v>
      </c>
    </row>
    <row r="596" spans="1:10" x14ac:dyDescent="0.25">
      <c r="A596">
        <f ca="1">IF(_157721372917[[#This Row],[instance]]&lt;OFFSET(_157721372917[[#This Row],[instance]],-1,0), OFFSET(_157721372917[[#This Row],[model]],-1,0)+1, OFFSET(_157721372917[[#This Row],[model]],-1,0))</f>
        <v>5</v>
      </c>
      <c r="B596">
        <v>11</v>
      </c>
      <c r="C596" s="5">
        <v>8.5648148148148138E-6</v>
      </c>
      <c r="D596">
        <v>8.25</v>
      </c>
      <c r="E596">
        <v>9</v>
      </c>
      <c r="F596">
        <v>3</v>
      </c>
      <c r="G596" s="5">
        <v>3.1249999999999997E-6</v>
      </c>
      <c r="H596" s="5">
        <v>6.2499999999999995E-6</v>
      </c>
      <c r="I596" s="5">
        <v>4.2189814814814815E-3</v>
      </c>
      <c r="J596" s="5">
        <v>3.1249999999999997E-6</v>
      </c>
    </row>
    <row r="597" spans="1:10" x14ac:dyDescent="0.25">
      <c r="A597">
        <f ca="1">IF(_157721372917[[#This Row],[instance]]&lt;OFFSET(_157721372917[[#This Row],[instance]],-1,0), OFFSET(_157721372917[[#This Row],[model]],-1,0)+1, OFFSET(_157721372917[[#This Row],[model]],-1,0))</f>
        <v>5</v>
      </c>
      <c r="B597">
        <v>11</v>
      </c>
      <c r="C597" s="5">
        <v>8.5648148148148138E-6</v>
      </c>
      <c r="D597">
        <v>8.5</v>
      </c>
      <c r="E597">
        <v>9</v>
      </c>
      <c r="F597">
        <v>3</v>
      </c>
      <c r="G597" s="5">
        <v>3.1249999999999997E-6</v>
      </c>
      <c r="H597" s="5">
        <v>6.2499999999999995E-6</v>
      </c>
      <c r="I597" s="5">
        <v>4.2189814814814815E-3</v>
      </c>
      <c r="J597" s="5">
        <v>3.1249999999999997E-6</v>
      </c>
    </row>
    <row r="598" spans="1:10" x14ac:dyDescent="0.25">
      <c r="A598">
        <f ca="1">IF(_157721372917[[#This Row],[instance]]&lt;OFFSET(_157721372917[[#This Row],[instance]],-1,0), OFFSET(_157721372917[[#This Row],[model]],-1,0)+1, OFFSET(_157721372917[[#This Row],[model]],-1,0))</f>
        <v>5</v>
      </c>
      <c r="B598">
        <v>11</v>
      </c>
      <c r="C598" s="5">
        <v>8.6805555555555555E-6</v>
      </c>
      <c r="D598">
        <v>8.5</v>
      </c>
      <c r="E598">
        <v>9</v>
      </c>
      <c r="F598">
        <v>3</v>
      </c>
      <c r="G598" s="5">
        <v>3.1249999999999997E-6</v>
      </c>
      <c r="H598" s="5">
        <v>6.2499999999999995E-6</v>
      </c>
      <c r="I598" s="5">
        <v>4.2189814814814815E-3</v>
      </c>
      <c r="J598" s="5">
        <v>3.1249999999999997E-6</v>
      </c>
    </row>
    <row r="599" spans="1:10" x14ac:dyDescent="0.25">
      <c r="A599">
        <f ca="1">IF(_157721372917[[#This Row],[instance]]&lt;OFFSET(_157721372917[[#This Row],[instance]],-1,0), OFFSET(_157721372917[[#This Row],[model]],-1,0)+1, OFFSET(_157721372917[[#This Row],[model]],-1,0))</f>
        <v>5</v>
      </c>
      <c r="B599">
        <v>11</v>
      </c>
      <c r="C599" s="5">
        <v>8.7962962962962956E-6</v>
      </c>
      <c r="D599">
        <v>8.75</v>
      </c>
      <c r="E599">
        <v>9</v>
      </c>
      <c r="F599">
        <v>3</v>
      </c>
      <c r="G599" s="5">
        <v>3.1249999999999997E-6</v>
      </c>
      <c r="H599" s="5">
        <v>6.2499999999999995E-6</v>
      </c>
      <c r="I599" s="5">
        <v>4.2189814814814815E-3</v>
      </c>
      <c r="J599" s="5">
        <v>3.1249999999999997E-6</v>
      </c>
    </row>
    <row r="600" spans="1:10" x14ac:dyDescent="0.25">
      <c r="A600">
        <f ca="1">IF(_157721372917[[#This Row],[instance]]&lt;OFFSET(_157721372917[[#This Row],[instance]],-1,0), OFFSET(_157721372917[[#This Row],[model]],-1,0)+1, OFFSET(_157721372917[[#This Row],[model]],-1,0))</f>
        <v>5</v>
      </c>
      <c r="B600">
        <v>11</v>
      </c>
      <c r="C600" s="5">
        <v>8.9120370370370373E-6</v>
      </c>
      <c r="D600">
        <v>9.75</v>
      </c>
      <c r="E600">
        <v>10</v>
      </c>
      <c r="F600">
        <v>3</v>
      </c>
      <c r="G600" s="5">
        <v>3.1249999999999997E-6</v>
      </c>
      <c r="H600" s="5">
        <v>6.2499999999999995E-6</v>
      </c>
      <c r="I600" s="5">
        <v>4.2189814814814815E-3</v>
      </c>
      <c r="J600" s="5">
        <v>3.1249999999999997E-6</v>
      </c>
    </row>
    <row r="601" spans="1:10" x14ac:dyDescent="0.25">
      <c r="A601">
        <f ca="1">IF(_157721372917[[#This Row],[instance]]&lt;OFFSET(_157721372917[[#This Row],[instance]],-1,0), OFFSET(_157721372917[[#This Row],[model]],-1,0)+1, OFFSET(_157721372917[[#This Row],[model]],-1,0))</f>
        <v>5</v>
      </c>
      <c r="B601">
        <v>11</v>
      </c>
      <c r="C601" s="5">
        <v>9.1435185185185174E-6</v>
      </c>
      <c r="D601">
        <v>10.5</v>
      </c>
      <c r="E601">
        <v>11</v>
      </c>
      <c r="F601">
        <v>3</v>
      </c>
      <c r="G601" s="5">
        <v>3.1249999999999997E-6</v>
      </c>
      <c r="H601" s="5">
        <v>6.2499999999999995E-6</v>
      </c>
      <c r="I601" s="5">
        <v>4.2189814814814815E-3</v>
      </c>
      <c r="J601" s="5">
        <v>3.1249999999999997E-6</v>
      </c>
    </row>
    <row r="602" spans="1:10" x14ac:dyDescent="0.25">
      <c r="A602">
        <f ca="1">IF(_157721372917[[#This Row],[instance]]&lt;OFFSET(_157721372917[[#This Row],[instance]],-1,0), OFFSET(_157721372917[[#This Row],[model]],-1,0)+1, OFFSET(_157721372917[[#This Row],[model]],-1,0))</f>
        <v>5</v>
      </c>
      <c r="B602">
        <v>11</v>
      </c>
      <c r="C602" s="5">
        <v>9.3749999999999992E-6</v>
      </c>
      <c r="D602">
        <v>11.25</v>
      </c>
      <c r="E602">
        <v>12</v>
      </c>
      <c r="F602">
        <v>4</v>
      </c>
      <c r="G602" s="5">
        <v>3.1249999999999997E-6</v>
      </c>
      <c r="H602" s="5">
        <v>6.2499999999999995E-6</v>
      </c>
      <c r="I602" s="5">
        <v>4.2189814814814815E-3</v>
      </c>
      <c r="J602" s="5">
        <v>3.1249999999999997E-6</v>
      </c>
    </row>
    <row r="603" spans="1:10" x14ac:dyDescent="0.25">
      <c r="A603">
        <f ca="1">IF(_157721372917[[#This Row],[instance]]&lt;OFFSET(_157721372917[[#This Row],[instance]],-1,0), OFFSET(_157721372917[[#This Row],[model]],-1,0)+1, OFFSET(_157721372917[[#This Row],[model]],-1,0))</f>
        <v>5</v>
      </c>
      <c r="B603">
        <v>11</v>
      </c>
      <c r="C603" s="5">
        <v>9.3749999999999992E-6</v>
      </c>
      <c r="D603">
        <v>11.25</v>
      </c>
      <c r="E603">
        <v>12</v>
      </c>
      <c r="F603">
        <v>4</v>
      </c>
      <c r="G603" s="5">
        <v>3.1249999999999997E-6</v>
      </c>
      <c r="H603" s="5">
        <v>6.2499999999999995E-6</v>
      </c>
      <c r="I603" s="5">
        <v>4.2189814814814815E-3</v>
      </c>
      <c r="J603" s="5">
        <v>3.1249999999999997E-6</v>
      </c>
    </row>
    <row r="604" spans="1:10" x14ac:dyDescent="0.25">
      <c r="A604">
        <f ca="1">IF(_157721372917[[#This Row],[instance]]&lt;OFFSET(_157721372917[[#This Row],[instance]],-1,0), OFFSET(_157721372917[[#This Row],[model]],-1,0)+1, OFFSET(_157721372917[[#This Row],[model]],-1,0))</f>
        <v>5</v>
      </c>
      <c r="B604">
        <v>12</v>
      </c>
      <c r="C604" s="5">
        <v>6.828703703703703E-6</v>
      </c>
      <c r="D604">
        <v>0</v>
      </c>
      <c r="E604">
        <v>0</v>
      </c>
      <c r="F604">
        <v>0</v>
      </c>
      <c r="G604" s="5">
        <v>3.1249999999999997E-6</v>
      </c>
      <c r="H604" s="5">
        <v>6.944791666666666E-3</v>
      </c>
      <c r="I604" s="5">
        <v>4.2189814814814815E-3</v>
      </c>
      <c r="J604" s="5">
        <v>3.1249999999999997E-6</v>
      </c>
    </row>
    <row r="605" spans="1:10" x14ac:dyDescent="0.25">
      <c r="A605">
        <f ca="1">IF(_157721372917[[#This Row],[instance]]&lt;OFFSET(_157721372917[[#This Row],[instance]],-1,0), OFFSET(_157721372917[[#This Row],[model]],-1,0)+1, OFFSET(_157721372917[[#This Row],[model]],-1,0))</f>
        <v>5</v>
      </c>
      <c r="B605">
        <v>12</v>
      </c>
      <c r="C605" s="5">
        <v>6.9444444444444439E-6</v>
      </c>
      <c r="D605">
        <v>3</v>
      </c>
      <c r="E605">
        <v>1</v>
      </c>
      <c r="F605">
        <v>1</v>
      </c>
      <c r="G605" s="5">
        <v>3.1249999999999997E-6</v>
      </c>
      <c r="H605" s="5">
        <v>6.944791666666666E-3</v>
      </c>
      <c r="I605" s="5">
        <v>4.2189814814814815E-3</v>
      </c>
      <c r="J605" s="5">
        <v>3.1249999999999997E-6</v>
      </c>
    </row>
    <row r="606" spans="1:10" x14ac:dyDescent="0.25">
      <c r="A606">
        <f ca="1">IF(_157721372917[[#This Row],[instance]]&lt;OFFSET(_157721372917[[#This Row],[instance]],-1,0), OFFSET(_157721372917[[#This Row],[model]],-1,0)+1, OFFSET(_157721372917[[#This Row],[model]],-1,0))</f>
        <v>5</v>
      </c>
      <c r="B606">
        <v>12</v>
      </c>
      <c r="C606" s="5">
        <v>7.0601851851851848E-6</v>
      </c>
      <c r="D606">
        <v>6</v>
      </c>
      <c r="E606">
        <v>2</v>
      </c>
      <c r="F606">
        <v>2</v>
      </c>
      <c r="G606" s="5">
        <v>3.1249999999999997E-6</v>
      </c>
      <c r="H606" s="5">
        <v>6.944791666666666E-3</v>
      </c>
      <c r="I606" s="5">
        <v>4.2189814814814815E-3</v>
      </c>
      <c r="J606" s="5">
        <v>3.1249999999999997E-6</v>
      </c>
    </row>
    <row r="607" spans="1:10" x14ac:dyDescent="0.25">
      <c r="A607">
        <f ca="1">IF(_157721372917[[#This Row],[instance]]&lt;OFFSET(_157721372917[[#This Row],[instance]],-1,0), OFFSET(_157721372917[[#This Row],[model]],-1,0)+1, OFFSET(_157721372917[[#This Row],[model]],-1,0))</f>
        <v>5</v>
      </c>
      <c r="B607">
        <v>12</v>
      </c>
      <c r="C607" s="5">
        <v>7.0601851851851848E-6</v>
      </c>
      <c r="D607">
        <v>9</v>
      </c>
      <c r="E607">
        <v>3</v>
      </c>
      <c r="F607">
        <v>3</v>
      </c>
      <c r="G607" s="5">
        <v>3.1249999999999997E-6</v>
      </c>
      <c r="H607" s="5">
        <v>6.944791666666666E-3</v>
      </c>
      <c r="I607" s="5">
        <v>4.2189814814814815E-3</v>
      </c>
      <c r="J607" s="5">
        <v>3.1249999999999997E-6</v>
      </c>
    </row>
    <row r="608" spans="1:10" x14ac:dyDescent="0.25">
      <c r="A608">
        <f ca="1">IF(_157721372917[[#This Row],[instance]]&lt;OFFSET(_157721372917[[#This Row],[instance]],-1,0), OFFSET(_157721372917[[#This Row],[model]],-1,0)+1, OFFSET(_157721372917[[#This Row],[model]],-1,0))</f>
        <v>5</v>
      </c>
      <c r="B608">
        <v>12</v>
      </c>
      <c r="C608" s="5">
        <v>7.0601851851851848E-6</v>
      </c>
      <c r="D608">
        <v>12</v>
      </c>
      <c r="E608">
        <v>4</v>
      </c>
      <c r="F608">
        <v>4</v>
      </c>
      <c r="G608" s="5">
        <v>3.1249999999999997E-6</v>
      </c>
      <c r="H608" s="5">
        <v>6.944791666666666E-3</v>
      </c>
      <c r="I608" s="5">
        <v>4.2189814814814815E-3</v>
      </c>
      <c r="J608" s="5">
        <v>3.1249999999999997E-6</v>
      </c>
    </row>
    <row r="609" spans="1:10" x14ac:dyDescent="0.25">
      <c r="A609">
        <f ca="1">IF(_157721372917[[#This Row],[instance]]&lt;OFFSET(_157721372917[[#This Row],[instance]],-1,0), OFFSET(_157721372917[[#This Row],[model]],-1,0)+1, OFFSET(_157721372917[[#This Row],[model]],-1,0))</f>
        <v>5</v>
      </c>
      <c r="B609">
        <v>12</v>
      </c>
      <c r="C609" s="5">
        <v>7.1759259259259257E-6</v>
      </c>
      <c r="D609">
        <v>15</v>
      </c>
      <c r="E609">
        <v>5</v>
      </c>
      <c r="F609">
        <v>5</v>
      </c>
      <c r="G609" s="5">
        <v>3.1249999999999997E-6</v>
      </c>
      <c r="H609" s="5">
        <v>6.944791666666666E-3</v>
      </c>
      <c r="I609" s="5">
        <v>4.2189814814814815E-3</v>
      </c>
      <c r="J609" s="5">
        <v>3.1249999999999997E-6</v>
      </c>
    </row>
    <row r="610" spans="1:10" x14ac:dyDescent="0.25">
      <c r="A610">
        <f ca="1">IF(_157721372917[[#This Row],[instance]]&lt;OFFSET(_157721372917[[#This Row],[instance]],-1,0), OFFSET(_157721372917[[#This Row],[model]],-1,0)+1, OFFSET(_157721372917[[#This Row],[model]],-1,0))</f>
        <v>5</v>
      </c>
      <c r="B610">
        <v>12</v>
      </c>
      <c r="C610" s="5">
        <v>7.2916666666666666E-6</v>
      </c>
      <c r="D610">
        <v>16.125</v>
      </c>
      <c r="E610">
        <v>8</v>
      </c>
      <c r="F610">
        <v>6</v>
      </c>
      <c r="G610" s="5">
        <v>3.1249999999999997E-6</v>
      </c>
      <c r="H610" s="5">
        <v>6.944791666666666E-3</v>
      </c>
      <c r="I610" s="5">
        <v>4.2189814814814815E-3</v>
      </c>
      <c r="J610" s="5">
        <v>3.1249999999999997E-6</v>
      </c>
    </row>
    <row r="611" spans="1:10" x14ac:dyDescent="0.25">
      <c r="A611">
        <f ca="1">IF(_157721372917[[#This Row],[instance]]&lt;OFFSET(_157721372917[[#This Row],[instance]],-1,0), OFFSET(_157721372917[[#This Row],[model]],-1,0)+1, OFFSET(_157721372917[[#This Row],[model]],-1,0))</f>
        <v>5</v>
      </c>
      <c r="B611">
        <v>12</v>
      </c>
      <c r="C611" s="5">
        <v>7.4074074074074075E-6</v>
      </c>
      <c r="D611">
        <v>16.5</v>
      </c>
      <c r="E611">
        <v>9</v>
      </c>
      <c r="F611">
        <v>6</v>
      </c>
      <c r="G611" s="5">
        <v>3.1249999999999997E-6</v>
      </c>
      <c r="H611" s="5">
        <v>6.944791666666666E-3</v>
      </c>
      <c r="I611" s="5">
        <v>4.2189814814814815E-3</v>
      </c>
      <c r="J611" s="5">
        <v>3.1249999999999997E-6</v>
      </c>
    </row>
    <row r="612" spans="1:10" x14ac:dyDescent="0.25">
      <c r="A612">
        <f ca="1">IF(_157721372917[[#This Row],[instance]]&lt;OFFSET(_157721372917[[#This Row],[instance]],-1,0), OFFSET(_157721372917[[#This Row],[model]],-1,0)+1, OFFSET(_157721372917[[#This Row],[model]],-1,0))</f>
        <v>5</v>
      </c>
      <c r="B612">
        <v>12</v>
      </c>
      <c r="C612" s="5">
        <v>1.2152777777777777E-5</v>
      </c>
      <c r="D612">
        <v>17.25</v>
      </c>
      <c r="E612">
        <v>11</v>
      </c>
      <c r="F612">
        <v>7</v>
      </c>
      <c r="G612" s="5">
        <v>3.1249999999999997E-6</v>
      </c>
      <c r="H612" s="5">
        <v>6.944791666666666E-3</v>
      </c>
      <c r="I612" s="5">
        <v>4.2189814814814815E-3</v>
      </c>
      <c r="J612" s="5">
        <v>3.1249999999999997E-6</v>
      </c>
    </row>
    <row r="613" spans="1:10" x14ac:dyDescent="0.25">
      <c r="A613">
        <f ca="1">IF(_157721372917[[#This Row],[instance]]&lt;OFFSET(_157721372917[[#This Row],[instance]],-1,0), OFFSET(_157721372917[[#This Row],[model]],-1,0)+1, OFFSET(_157721372917[[#This Row],[model]],-1,0))</f>
        <v>5</v>
      </c>
      <c r="B613">
        <v>12</v>
      </c>
      <c r="C613" s="5">
        <v>1.2152777777777777E-5</v>
      </c>
      <c r="D613">
        <v>17.625</v>
      </c>
      <c r="E613">
        <v>12</v>
      </c>
      <c r="F613">
        <v>7</v>
      </c>
      <c r="G613" s="5">
        <v>3.1249999999999997E-6</v>
      </c>
      <c r="H613" s="5">
        <v>6.944791666666666E-3</v>
      </c>
      <c r="I613" s="5">
        <v>4.2189814814814815E-3</v>
      </c>
      <c r="J613" s="5">
        <v>3.1249999999999997E-6</v>
      </c>
    </row>
    <row r="614" spans="1:10" x14ac:dyDescent="0.25">
      <c r="A614">
        <f ca="1">IF(_157721372917[[#This Row],[instance]]&lt;OFFSET(_157721372917[[#This Row],[instance]],-1,0), OFFSET(_157721372917[[#This Row],[model]],-1,0)+1, OFFSET(_157721372917[[#This Row],[model]],-1,0))</f>
        <v>5</v>
      </c>
      <c r="B614">
        <v>12</v>
      </c>
      <c r="C614" s="5">
        <v>1.2962962962962962E-5</v>
      </c>
      <c r="D614">
        <v>18</v>
      </c>
      <c r="E614">
        <v>13</v>
      </c>
      <c r="F614">
        <v>7</v>
      </c>
      <c r="G614" s="5">
        <v>3.1249999999999997E-6</v>
      </c>
      <c r="H614" s="5">
        <v>6.944791666666666E-3</v>
      </c>
      <c r="I614" s="5">
        <v>4.2189814814814815E-3</v>
      </c>
      <c r="J614" s="5">
        <v>3.1249999999999997E-6</v>
      </c>
    </row>
    <row r="615" spans="1:10" x14ac:dyDescent="0.25">
      <c r="A615">
        <f ca="1">IF(_157721372917[[#This Row],[instance]]&lt;OFFSET(_157721372917[[#This Row],[instance]],-1,0), OFFSET(_157721372917[[#This Row],[model]],-1,0)+1, OFFSET(_157721372917[[#This Row],[model]],-1,0))</f>
        <v>5</v>
      </c>
      <c r="B615">
        <v>12</v>
      </c>
      <c r="C615" s="5">
        <v>3.5393518518518516E-4</v>
      </c>
      <c r="D615">
        <v>19.625</v>
      </c>
      <c r="E615">
        <v>14</v>
      </c>
      <c r="F615">
        <v>6</v>
      </c>
      <c r="G615" s="5">
        <v>3.1249999999999997E-6</v>
      </c>
      <c r="H615" s="5">
        <v>6.944791666666666E-3</v>
      </c>
      <c r="I615" s="5">
        <v>4.2189814814814815E-3</v>
      </c>
      <c r="J615" s="5">
        <v>3.1249999999999997E-6</v>
      </c>
    </row>
    <row r="616" spans="1:10" x14ac:dyDescent="0.25">
      <c r="A616">
        <f ca="1">IF(_157721372917[[#This Row],[instance]]&lt;OFFSET(_157721372917[[#This Row],[instance]],-1,0), OFFSET(_157721372917[[#This Row],[model]],-1,0)+1, OFFSET(_157721372917[[#This Row],[model]],-1,0))</f>
        <v>5</v>
      </c>
      <c r="B616">
        <v>12</v>
      </c>
      <c r="C616" s="5">
        <v>3.5532407407407404E-4</v>
      </c>
      <c r="D616">
        <v>20</v>
      </c>
      <c r="E616">
        <v>15</v>
      </c>
      <c r="F616">
        <v>6</v>
      </c>
      <c r="G616" s="5">
        <v>3.1249999999999997E-6</v>
      </c>
      <c r="H616" s="5">
        <v>6.944791666666666E-3</v>
      </c>
      <c r="I616" s="5">
        <v>4.2189814814814815E-3</v>
      </c>
      <c r="J616" s="5">
        <v>3.1249999999999997E-6</v>
      </c>
    </row>
    <row r="617" spans="1:10" x14ac:dyDescent="0.25">
      <c r="A617">
        <f ca="1">IF(_157721372917[[#This Row],[instance]]&lt;OFFSET(_157721372917[[#This Row],[instance]],-1,0), OFFSET(_157721372917[[#This Row],[model]],-1,0)+1, OFFSET(_157721372917[[#This Row],[model]],-1,0))</f>
        <v>5</v>
      </c>
      <c r="B617">
        <v>13</v>
      </c>
      <c r="C617" s="5">
        <v>6.828703703703703E-6</v>
      </c>
      <c r="D617">
        <v>0</v>
      </c>
      <c r="E617">
        <v>0</v>
      </c>
      <c r="F617">
        <v>0</v>
      </c>
      <c r="G617" s="5">
        <v>3.1249999999999997E-6</v>
      </c>
      <c r="H617" s="5">
        <v>6.944791666666666E-3</v>
      </c>
      <c r="I617" s="5">
        <v>4.2189814814814815E-3</v>
      </c>
      <c r="J617" s="5">
        <v>3.1249999999999997E-6</v>
      </c>
    </row>
    <row r="618" spans="1:10" x14ac:dyDescent="0.25">
      <c r="A618">
        <f ca="1">IF(_157721372917[[#This Row],[instance]]&lt;OFFSET(_157721372917[[#This Row],[instance]],-1,0), OFFSET(_157721372917[[#This Row],[model]],-1,0)+1, OFFSET(_157721372917[[#This Row],[model]],-1,0))</f>
        <v>5</v>
      </c>
      <c r="B618">
        <v>13</v>
      </c>
      <c r="C618" s="5">
        <v>6.9444444444444439E-6</v>
      </c>
      <c r="D618">
        <v>3</v>
      </c>
      <c r="E618">
        <v>1</v>
      </c>
      <c r="F618">
        <v>1</v>
      </c>
      <c r="G618" s="5">
        <v>3.1249999999999997E-6</v>
      </c>
      <c r="H618" s="5">
        <v>6.944791666666666E-3</v>
      </c>
      <c r="I618" s="5">
        <v>4.2189814814814815E-3</v>
      </c>
      <c r="J618" s="5">
        <v>3.1249999999999997E-6</v>
      </c>
    </row>
    <row r="619" spans="1:10" x14ac:dyDescent="0.25">
      <c r="A619">
        <f ca="1">IF(_157721372917[[#This Row],[instance]]&lt;OFFSET(_157721372917[[#This Row],[instance]],-1,0), OFFSET(_157721372917[[#This Row],[model]],-1,0)+1, OFFSET(_157721372917[[#This Row],[model]],-1,0))</f>
        <v>5</v>
      </c>
      <c r="B619">
        <v>13</v>
      </c>
      <c r="C619" s="5">
        <v>7.0601851851851848E-6</v>
      </c>
      <c r="D619">
        <v>6</v>
      </c>
      <c r="E619">
        <v>2</v>
      </c>
      <c r="F619">
        <v>2</v>
      </c>
      <c r="G619" s="5">
        <v>3.1249999999999997E-6</v>
      </c>
      <c r="H619" s="5">
        <v>6.944791666666666E-3</v>
      </c>
      <c r="I619" s="5">
        <v>4.2189814814814815E-3</v>
      </c>
      <c r="J619" s="5">
        <v>3.1249999999999997E-6</v>
      </c>
    </row>
    <row r="620" spans="1:10" x14ac:dyDescent="0.25">
      <c r="A620">
        <f ca="1">IF(_157721372917[[#This Row],[instance]]&lt;OFFSET(_157721372917[[#This Row],[instance]],-1,0), OFFSET(_157721372917[[#This Row],[model]],-1,0)+1, OFFSET(_157721372917[[#This Row],[model]],-1,0))</f>
        <v>5</v>
      </c>
      <c r="B620">
        <v>13</v>
      </c>
      <c r="C620" s="5">
        <v>7.0601851851851848E-6</v>
      </c>
      <c r="D620">
        <v>9</v>
      </c>
      <c r="E620">
        <v>3</v>
      </c>
      <c r="F620">
        <v>3</v>
      </c>
      <c r="G620" s="5">
        <v>3.1249999999999997E-6</v>
      </c>
      <c r="H620" s="5">
        <v>6.944791666666666E-3</v>
      </c>
      <c r="I620" s="5">
        <v>4.2189814814814815E-3</v>
      </c>
      <c r="J620" s="5">
        <v>3.1249999999999997E-6</v>
      </c>
    </row>
    <row r="621" spans="1:10" x14ac:dyDescent="0.25">
      <c r="A621">
        <f ca="1">IF(_157721372917[[#This Row],[instance]]&lt;OFFSET(_157721372917[[#This Row],[instance]],-1,0), OFFSET(_157721372917[[#This Row],[model]],-1,0)+1, OFFSET(_157721372917[[#This Row],[model]],-1,0))</f>
        <v>5</v>
      </c>
      <c r="B621">
        <v>13</v>
      </c>
      <c r="C621" s="5">
        <v>7.0601851851851848E-6</v>
      </c>
      <c r="D621">
        <v>12</v>
      </c>
      <c r="E621">
        <v>4</v>
      </c>
      <c r="F621">
        <v>4</v>
      </c>
      <c r="G621" s="5">
        <v>3.1249999999999997E-6</v>
      </c>
      <c r="H621" s="5">
        <v>6.944791666666666E-3</v>
      </c>
      <c r="I621" s="5">
        <v>4.2189814814814815E-3</v>
      </c>
      <c r="J621" s="5">
        <v>3.1249999999999997E-6</v>
      </c>
    </row>
    <row r="622" spans="1:10" x14ac:dyDescent="0.25">
      <c r="A622">
        <f ca="1">IF(_157721372917[[#This Row],[instance]]&lt;OFFSET(_157721372917[[#This Row],[instance]],-1,0), OFFSET(_157721372917[[#This Row],[model]],-1,0)+1, OFFSET(_157721372917[[#This Row],[model]],-1,0))</f>
        <v>5</v>
      </c>
      <c r="B622">
        <v>13</v>
      </c>
      <c r="C622" s="5">
        <v>7.2916666666666666E-6</v>
      </c>
      <c r="D622">
        <v>15</v>
      </c>
      <c r="E622">
        <v>5</v>
      </c>
      <c r="F622">
        <v>5</v>
      </c>
      <c r="G622" s="5">
        <v>3.1249999999999997E-6</v>
      </c>
      <c r="H622" s="5">
        <v>6.944791666666666E-3</v>
      </c>
      <c r="I622" s="5">
        <v>4.2189814814814815E-3</v>
      </c>
      <c r="J622" s="5">
        <v>3.1249999999999997E-6</v>
      </c>
    </row>
    <row r="623" spans="1:10" x14ac:dyDescent="0.25">
      <c r="A623">
        <f ca="1">IF(_157721372917[[#This Row],[instance]]&lt;OFFSET(_157721372917[[#This Row],[instance]],-1,0), OFFSET(_157721372917[[#This Row],[model]],-1,0)+1, OFFSET(_157721372917[[#This Row],[model]],-1,0))</f>
        <v>5</v>
      </c>
      <c r="B623">
        <v>13</v>
      </c>
      <c r="C623" s="5">
        <v>1.2499999999999999E-5</v>
      </c>
      <c r="D623">
        <v>16.125</v>
      </c>
      <c r="E623">
        <v>8</v>
      </c>
      <c r="F623">
        <v>6</v>
      </c>
      <c r="G623" s="5">
        <v>3.1249999999999997E-6</v>
      </c>
      <c r="H623" s="5">
        <v>6.944791666666666E-3</v>
      </c>
      <c r="I623" s="5">
        <v>4.2189814814814815E-3</v>
      </c>
      <c r="J623" s="5">
        <v>3.1249999999999997E-6</v>
      </c>
    </row>
    <row r="624" spans="1:10" x14ac:dyDescent="0.25">
      <c r="A624">
        <f ca="1">IF(_157721372917[[#This Row],[instance]]&lt;OFFSET(_157721372917[[#This Row],[instance]],-1,0), OFFSET(_157721372917[[#This Row],[model]],-1,0)+1, OFFSET(_157721372917[[#This Row],[model]],-1,0))</f>
        <v>5</v>
      </c>
      <c r="B624">
        <v>13</v>
      </c>
      <c r="C624" s="5">
        <v>1.9328703703703702E-5</v>
      </c>
      <c r="D624">
        <v>19.625</v>
      </c>
      <c r="E624">
        <v>12</v>
      </c>
      <c r="F624">
        <v>6</v>
      </c>
      <c r="G624" s="5">
        <v>3.1249999999999997E-6</v>
      </c>
      <c r="H624" s="5">
        <v>6.944791666666666E-3</v>
      </c>
      <c r="I624" s="5">
        <v>4.2189814814814815E-3</v>
      </c>
      <c r="J624" s="5">
        <v>3.1249999999999997E-6</v>
      </c>
    </row>
    <row r="625" spans="1:10" x14ac:dyDescent="0.25">
      <c r="A625">
        <f ca="1">IF(_157721372917[[#This Row],[instance]]&lt;OFFSET(_157721372917[[#This Row],[instance]],-1,0), OFFSET(_157721372917[[#This Row],[model]],-1,0)+1, OFFSET(_157721372917[[#This Row],[model]],-1,0))</f>
        <v>5</v>
      </c>
      <c r="B625">
        <v>13</v>
      </c>
      <c r="C625" s="5">
        <v>2.1180555555555556E-5</v>
      </c>
      <c r="D625">
        <v>20.375</v>
      </c>
      <c r="E625">
        <v>13</v>
      </c>
      <c r="F625">
        <v>6</v>
      </c>
      <c r="G625" s="5">
        <v>3.1249999999999997E-6</v>
      </c>
      <c r="H625" s="5">
        <v>6.944791666666666E-3</v>
      </c>
      <c r="I625" s="5">
        <v>4.2189814814814815E-3</v>
      </c>
      <c r="J625" s="5">
        <v>3.1249999999999997E-6</v>
      </c>
    </row>
    <row r="626" spans="1:10" x14ac:dyDescent="0.25">
      <c r="A626">
        <f ca="1">IF(_157721372917[[#This Row],[instance]]&lt;OFFSET(_157721372917[[#This Row],[instance]],-1,0), OFFSET(_157721372917[[#This Row],[model]],-1,0)+1, OFFSET(_157721372917[[#This Row],[model]],-1,0))</f>
        <v>5</v>
      </c>
      <c r="B626">
        <v>14</v>
      </c>
      <c r="C626" s="5">
        <v>6.828703703703703E-6</v>
      </c>
      <c r="D626">
        <v>0</v>
      </c>
      <c r="E626">
        <v>0</v>
      </c>
      <c r="F626">
        <v>0</v>
      </c>
      <c r="G626" s="5">
        <v>3.1249999999999997E-6</v>
      </c>
      <c r="H626" s="5">
        <v>6.944791666666666E-3</v>
      </c>
      <c r="I626" s="5">
        <v>4.2189814814814815E-3</v>
      </c>
      <c r="J626" s="5">
        <v>3.1249999999999997E-6</v>
      </c>
    </row>
    <row r="627" spans="1:10" x14ac:dyDescent="0.25">
      <c r="A627">
        <f ca="1">IF(_157721372917[[#This Row],[instance]]&lt;OFFSET(_157721372917[[#This Row],[instance]],-1,0), OFFSET(_157721372917[[#This Row],[model]],-1,0)+1, OFFSET(_157721372917[[#This Row],[model]],-1,0))</f>
        <v>5</v>
      </c>
      <c r="B627">
        <v>14</v>
      </c>
      <c r="C627" s="5">
        <v>7.0601851851851848E-6</v>
      </c>
      <c r="D627">
        <v>3</v>
      </c>
      <c r="E627">
        <v>1</v>
      </c>
      <c r="F627">
        <v>1</v>
      </c>
      <c r="G627" s="5">
        <v>3.1249999999999997E-6</v>
      </c>
      <c r="H627" s="5">
        <v>6.944791666666666E-3</v>
      </c>
      <c r="I627" s="5">
        <v>4.2189814814814815E-3</v>
      </c>
      <c r="J627" s="5">
        <v>3.1249999999999997E-6</v>
      </c>
    </row>
    <row r="628" spans="1:10" x14ac:dyDescent="0.25">
      <c r="A628">
        <f ca="1">IF(_157721372917[[#This Row],[instance]]&lt;OFFSET(_157721372917[[#This Row],[instance]],-1,0), OFFSET(_157721372917[[#This Row],[model]],-1,0)+1, OFFSET(_157721372917[[#This Row],[model]],-1,0))</f>
        <v>5</v>
      </c>
      <c r="B628">
        <v>14</v>
      </c>
      <c r="C628" s="5">
        <v>7.0601851851851848E-6</v>
      </c>
      <c r="D628">
        <v>6</v>
      </c>
      <c r="E628">
        <v>2</v>
      </c>
      <c r="F628">
        <v>2</v>
      </c>
      <c r="G628" s="5">
        <v>3.1249999999999997E-6</v>
      </c>
      <c r="H628" s="5">
        <v>6.944791666666666E-3</v>
      </c>
      <c r="I628" s="5">
        <v>4.2189814814814815E-3</v>
      </c>
      <c r="J628" s="5">
        <v>3.1249999999999997E-6</v>
      </c>
    </row>
    <row r="629" spans="1:10" x14ac:dyDescent="0.25">
      <c r="A629">
        <f ca="1">IF(_157721372917[[#This Row],[instance]]&lt;OFFSET(_157721372917[[#This Row],[instance]],-1,0), OFFSET(_157721372917[[#This Row],[model]],-1,0)+1, OFFSET(_157721372917[[#This Row],[model]],-1,0))</f>
        <v>5</v>
      </c>
      <c r="B629">
        <v>14</v>
      </c>
      <c r="C629" s="5">
        <v>7.0601851851851848E-6</v>
      </c>
      <c r="D629">
        <v>9</v>
      </c>
      <c r="E629">
        <v>3</v>
      </c>
      <c r="F629">
        <v>3</v>
      </c>
      <c r="G629" s="5">
        <v>3.1249999999999997E-6</v>
      </c>
      <c r="H629" s="5">
        <v>6.944791666666666E-3</v>
      </c>
      <c r="I629" s="5">
        <v>4.2189814814814815E-3</v>
      </c>
      <c r="J629" s="5">
        <v>3.1249999999999997E-6</v>
      </c>
    </row>
    <row r="630" spans="1:10" x14ac:dyDescent="0.25">
      <c r="A630">
        <f ca="1">IF(_157721372917[[#This Row],[instance]]&lt;OFFSET(_157721372917[[#This Row],[instance]],-1,0), OFFSET(_157721372917[[#This Row],[model]],-1,0)+1, OFFSET(_157721372917[[#This Row],[model]],-1,0))</f>
        <v>5</v>
      </c>
      <c r="B630">
        <v>14</v>
      </c>
      <c r="C630" s="5">
        <v>7.1759259259259257E-6</v>
      </c>
      <c r="D630">
        <v>12</v>
      </c>
      <c r="E630">
        <v>4</v>
      </c>
      <c r="F630">
        <v>4</v>
      </c>
      <c r="G630" s="5">
        <v>3.1249999999999997E-6</v>
      </c>
      <c r="H630" s="5">
        <v>6.944791666666666E-3</v>
      </c>
      <c r="I630" s="5">
        <v>4.2189814814814815E-3</v>
      </c>
      <c r="J630" s="5">
        <v>3.1249999999999997E-6</v>
      </c>
    </row>
    <row r="631" spans="1:10" x14ac:dyDescent="0.25">
      <c r="A631">
        <f ca="1">IF(_157721372917[[#This Row],[instance]]&lt;OFFSET(_157721372917[[#This Row],[instance]],-1,0), OFFSET(_157721372917[[#This Row],[model]],-1,0)+1, OFFSET(_157721372917[[#This Row],[model]],-1,0))</f>
        <v>5</v>
      </c>
      <c r="B631">
        <v>14</v>
      </c>
      <c r="C631" s="5">
        <v>7.1759259259259257E-6</v>
      </c>
      <c r="D631">
        <v>15</v>
      </c>
      <c r="E631">
        <v>5</v>
      </c>
      <c r="F631">
        <v>5</v>
      </c>
      <c r="G631" s="5">
        <v>3.1249999999999997E-6</v>
      </c>
      <c r="H631" s="5">
        <v>6.944791666666666E-3</v>
      </c>
      <c r="I631" s="5">
        <v>4.2189814814814815E-3</v>
      </c>
      <c r="J631" s="5">
        <v>3.1249999999999997E-6</v>
      </c>
    </row>
    <row r="632" spans="1:10" x14ac:dyDescent="0.25">
      <c r="A632">
        <f ca="1">IF(_157721372917[[#This Row],[instance]]&lt;OFFSET(_157721372917[[#This Row],[instance]],-1,0), OFFSET(_157721372917[[#This Row],[model]],-1,0)+1, OFFSET(_157721372917[[#This Row],[model]],-1,0))</f>
        <v>5</v>
      </c>
      <c r="B632">
        <v>14</v>
      </c>
      <c r="C632" s="5">
        <v>7.1759259259259257E-6</v>
      </c>
      <c r="D632">
        <v>18</v>
      </c>
      <c r="E632">
        <v>6</v>
      </c>
      <c r="F632">
        <v>6</v>
      </c>
      <c r="G632" s="5">
        <v>3.1249999999999997E-6</v>
      </c>
      <c r="H632" s="5">
        <v>6.944791666666666E-3</v>
      </c>
      <c r="I632" s="5">
        <v>4.2189814814814815E-3</v>
      </c>
      <c r="J632" s="5">
        <v>3.1249999999999997E-6</v>
      </c>
    </row>
    <row r="633" spans="1:10" x14ac:dyDescent="0.25">
      <c r="A633">
        <f ca="1">IF(_157721372917[[#This Row],[instance]]&lt;OFFSET(_157721372917[[#This Row],[instance]],-1,0), OFFSET(_157721372917[[#This Row],[model]],-1,0)+1, OFFSET(_157721372917[[#This Row],[model]],-1,0))</f>
        <v>5</v>
      </c>
      <c r="B633">
        <v>14</v>
      </c>
      <c r="C633" s="5">
        <v>7.2916666666666666E-6</v>
      </c>
      <c r="D633">
        <v>21</v>
      </c>
      <c r="E633">
        <v>7</v>
      </c>
      <c r="F633">
        <v>7</v>
      </c>
      <c r="G633" s="5">
        <v>3.1249999999999997E-6</v>
      </c>
      <c r="H633" s="5">
        <v>6.944791666666666E-3</v>
      </c>
      <c r="I633" s="5">
        <v>4.2189814814814815E-3</v>
      </c>
      <c r="J633" s="5">
        <v>3.1249999999999997E-6</v>
      </c>
    </row>
    <row r="634" spans="1:10" x14ac:dyDescent="0.25">
      <c r="A634">
        <f ca="1">IF(_157721372917[[#This Row],[instance]]&lt;OFFSET(_157721372917[[#This Row],[instance]],-1,0), OFFSET(_157721372917[[#This Row],[model]],-1,0)+1, OFFSET(_157721372917[[#This Row],[model]],-1,0))</f>
        <v>5</v>
      </c>
      <c r="B634">
        <v>14</v>
      </c>
      <c r="C634" s="5">
        <v>7.4074074074074075E-6</v>
      </c>
      <c r="D634">
        <v>22.5</v>
      </c>
      <c r="E634">
        <v>8</v>
      </c>
      <c r="F634">
        <v>8</v>
      </c>
      <c r="G634" s="5">
        <v>3.1249999999999997E-6</v>
      </c>
      <c r="H634" s="5">
        <v>6.944791666666666E-3</v>
      </c>
      <c r="I634" s="5">
        <v>4.2189814814814815E-3</v>
      </c>
      <c r="J634" s="5">
        <v>3.1249999999999997E-6</v>
      </c>
    </row>
    <row r="635" spans="1:10" x14ac:dyDescent="0.25">
      <c r="A635">
        <f ca="1">IF(_157721372917[[#This Row],[instance]]&lt;OFFSET(_157721372917[[#This Row],[instance]],-1,0), OFFSET(_157721372917[[#This Row],[model]],-1,0)+1, OFFSET(_157721372917[[#This Row],[model]],-1,0))</f>
        <v>5</v>
      </c>
      <c r="B635">
        <v>14</v>
      </c>
      <c r="C635" s="5">
        <v>7.4074074074074075E-6</v>
      </c>
      <c r="D635">
        <v>24</v>
      </c>
      <c r="E635">
        <v>9</v>
      </c>
      <c r="F635">
        <v>8</v>
      </c>
      <c r="G635" s="5">
        <v>3.1249999999999997E-6</v>
      </c>
      <c r="H635" s="5">
        <v>6.944791666666666E-3</v>
      </c>
      <c r="I635" s="5">
        <v>4.2189814814814815E-3</v>
      </c>
      <c r="J635" s="5">
        <v>3.1249999999999997E-6</v>
      </c>
    </row>
    <row r="636" spans="1:10" x14ac:dyDescent="0.25">
      <c r="A636">
        <f ca="1">IF(_157721372917[[#This Row],[instance]]&lt;OFFSET(_157721372917[[#This Row],[instance]],-1,0), OFFSET(_157721372917[[#This Row],[model]],-1,0)+1, OFFSET(_157721372917[[#This Row],[model]],-1,0))</f>
        <v>5</v>
      </c>
      <c r="B636">
        <v>14</v>
      </c>
      <c r="C636" s="5">
        <v>7.4074074074074075E-6</v>
      </c>
      <c r="D636">
        <v>25.5</v>
      </c>
      <c r="E636">
        <v>10</v>
      </c>
      <c r="F636">
        <v>9</v>
      </c>
      <c r="G636" s="5">
        <v>3.1249999999999997E-6</v>
      </c>
      <c r="H636" s="5">
        <v>6.944791666666666E-3</v>
      </c>
      <c r="I636" s="5">
        <v>4.2189814814814815E-3</v>
      </c>
      <c r="J636" s="5">
        <v>3.1249999999999997E-6</v>
      </c>
    </row>
    <row r="637" spans="1:10" x14ac:dyDescent="0.25">
      <c r="A637">
        <f ca="1">IF(_157721372917[[#This Row],[instance]]&lt;OFFSET(_157721372917[[#This Row],[instance]],-1,0), OFFSET(_157721372917[[#This Row],[model]],-1,0)+1, OFFSET(_157721372917[[#This Row],[model]],-1,0))</f>
        <v>5</v>
      </c>
      <c r="B637">
        <v>14</v>
      </c>
      <c r="C637" s="5">
        <v>7.5231481481481475E-6</v>
      </c>
      <c r="D637">
        <v>27</v>
      </c>
      <c r="E637">
        <v>10</v>
      </c>
      <c r="F637">
        <v>10</v>
      </c>
      <c r="G637" s="5">
        <v>3.1249999999999997E-6</v>
      </c>
      <c r="H637" s="5">
        <v>6.944791666666666E-3</v>
      </c>
      <c r="I637" s="5">
        <v>4.2189814814814815E-3</v>
      </c>
      <c r="J637" s="5">
        <v>3.1249999999999997E-6</v>
      </c>
    </row>
    <row r="638" spans="1:10" x14ac:dyDescent="0.25">
      <c r="A638">
        <f ca="1">IF(_157721372917[[#This Row],[instance]]&lt;OFFSET(_157721372917[[#This Row],[instance]],-1,0), OFFSET(_157721372917[[#This Row],[model]],-1,0)+1, OFFSET(_157721372917[[#This Row],[model]],-1,0))</f>
        <v>5</v>
      </c>
      <c r="B638">
        <v>14</v>
      </c>
      <c r="C638" s="5">
        <v>7.5231481481481475E-6</v>
      </c>
      <c r="D638">
        <v>28.5</v>
      </c>
      <c r="E638">
        <v>11</v>
      </c>
      <c r="F638">
        <v>10</v>
      </c>
      <c r="G638" s="5">
        <v>3.1249999999999997E-6</v>
      </c>
      <c r="H638" s="5">
        <v>6.944791666666666E-3</v>
      </c>
      <c r="I638" s="5">
        <v>4.2189814814814815E-3</v>
      </c>
      <c r="J638" s="5">
        <v>3.1249999999999997E-6</v>
      </c>
    </row>
    <row r="639" spans="1:10" x14ac:dyDescent="0.25">
      <c r="A639">
        <f ca="1">IF(_157721372917[[#This Row],[instance]]&lt;OFFSET(_157721372917[[#This Row],[instance]],-1,0), OFFSET(_157721372917[[#This Row],[model]],-1,0)+1, OFFSET(_157721372917[[#This Row],[model]],-1,0))</f>
        <v>5</v>
      </c>
      <c r="B639">
        <v>14</v>
      </c>
      <c r="C639" s="5">
        <v>7.5231481481481475E-6</v>
      </c>
      <c r="D639">
        <v>28.875</v>
      </c>
      <c r="E639">
        <v>12</v>
      </c>
      <c r="F639">
        <v>10</v>
      </c>
      <c r="G639" s="5">
        <v>3.1249999999999997E-6</v>
      </c>
      <c r="H639" s="5">
        <v>6.944791666666666E-3</v>
      </c>
      <c r="I639" s="5">
        <v>4.2189814814814815E-3</v>
      </c>
      <c r="J639" s="5">
        <v>3.1249999999999997E-6</v>
      </c>
    </row>
    <row r="640" spans="1:10" x14ac:dyDescent="0.25">
      <c r="A640">
        <f ca="1">IF(_157721372917[[#This Row],[instance]]&lt;OFFSET(_157721372917[[#This Row],[instance]],-1,0), OFFSET(_157721372917[[#This Row],[model]],-1,0)+1, OFFSET(_157721372917[[#This Row],[model]],-1,0))</f>
        <v>5</v>
      </c>
      <c r="B640">
        <v>14</v>
      </c>
      <c r="C640" s="5">
        <v>7.6388888888888884E-6</v>
      </c>
      <c r="D640">
        <v>30.375</v>
      </c>
      <c r="E640">
        <v>12</v>
      </c>
      <c r="F640">
        <v>11</v>
      </c>
      <c r="G640" s="5">
        <v>3.1249999999999997E-6</v>
      </c>
      <c r="H640" s="5">
        <v>6.944791666666666E-3</v>
      </c>
      <c r="I640" s="5">
        <v>4.2189814814814815E-3</v>
      </c>
      <c r="J640" s="5">
        <v>3.1249999999999997E-6</v>
      </c>
    </row>
    <row r="641" spans="1:10" x14ac:dyDescent="0.25">
      <c r="A641">
        <f ca="1">IF(_157721372917[[#This Row],[instance]]&lt;OFFSET(_157721372917[[#This Row],[instance]],-1,0), OFFSET(_157721372917[[#This Row],[model]],-1,0)+1, OFFSET(_157721372917[[#This Row],[model]],-1,0))</f>
        <v>5</v>
      </c>
      <c r="B641">
        <v>14</v>
      </c>
      <c r="C641" s="5">
        <v>7.7546296296296301E-6</v>
      </c>
      <c r="D641">
        <v>31.875</v>
      </c>
      <c r="E641">
        <v>13</v>
      </c>
      <c r="F641">
        <v>11</v>
      </c>
      <c r="G641" s="5">
        <v>3.1249999999999997E-6</v>
      </c>
      <c r="H641" s="5">
        <v>6.944791666666666E-3</v>
      </c>
      <c r="I641" s="5">
        <v>4.2189814814814815E-3</v>
      </c>
      <c r="J641" s="5">
        <v>3.1249999999999997E-6</v>
      </c>
    </row>
    <row r="642" spans="1:10" x14ac:dyDescent="0.25">
      <c r="A642">
        <f ca="1">IF(_157721372917[[#This Row],[instance]]&lt;OFFSET(_157721372917[[#This Row],[instance]],-1,0), OFFSET(_157721372917[[#This Row],[model]],-1,0)+1, OFFSET(_157721372917[[#This Row],[model]],-1,0))</f>
        <v>5</v>
      </c>
      <c r="B642">
        <v>14</v>
      </c>
      <c r="C642" s="5">
        <v>8.101851851851852E-6</v>
      </c>
      <c r="D642">
        <v>32.25</v>
      </c>
      <c r="E642">
        <v>14</v>
      </c>
      <c r="F642">
        <v>12</v>
      </c>
      <c r="G642" s="5">
        <v>3.1249999999999997E-6</v>
      </c>
      <c r="H642" s="5">
        <v>6.944791666666666E-3</v>
      </c>
      <c r="I642" s="5">
        <v>4.2189814814814815E-3</v>
      </c>
      <c r="J642" s="5">
        <v>3.1249999999999997E-6</v>
      </c>
    </row>
    <row r="643" spans="1:10" x14ac:dyDescent="0.25">
      <c r="A643">
        <f ca="1">IF(_157721372917[[#This Row],[instance]]&lt;OFFSET(_157721372917[[#This Row],[instance]],-1,0), OFFSET(_157721372917[[#This Row],[model]],-1,0)+1, OFFSET(_157721372917[[#This Row],[model]],-1,0))</f>
        <v>5</v>
      </c>
      <c r="B643">
        <v>14</v>
      </c>
      <c r="C643" s="5">
        <v>8.217592592592592E-6</v>
      </c>
      <c r="D643">
        <v>33.75</v>
      </c>
      <c r="E643">
        <v>15</v>
      </c>
      <c r="F643">
        <v>13</v>
      </c>
      <c r="G643" s="5">
        <v>3.1249999999999997E-6</v>
      </c>
      <c r="H643" s="5">
        <v>6.944791666666666E-3</v>
      </c>
      <c r="I643" s="5">
        <v>4.2189814814814815E-3</v>
      </c>
      <c r="J643" s="5">
        <v>3.1249999999999997E-6</v>
      </c>
    </row>
    <row r="644" spans="1:10" x14ac:dyDescent="0.25">
      <c r="A644">
        <f ca="1">IF(_157721372917[[#This Row],[instance]]&lt;OFFSET(_157721372917[[#This Row],[instance]],-1,0), OFFSET(_157721372917[[#This Row],[model]],-1,0)+1, OFFSET(_157721372917[[#This Row],[model]],-1,0))</f>
        <v>5</v>
      </c>
      <c r="B644">
        <v>14</v>
      </c>
      <c r="C644" s="5">
        <v>8.217592592592592E-6</v>
      </c>
      <c r="D644">
        <v>34.125</v>
      </c>
      <c r="E644">
        <v>16</v>
      </c>
      <c r="F644">
        <v>13</v>
      </c>
      <c r="G644" s="5">
        <v>3.1249999999999997E-6</v>
      </c>
      <c r="H644" s="5">
        <v>6.944791666666666E-3</v>
      </c>
      <c r="I644" s="5">
        <v>4.2189814814814815E-3</v>
      </c>
      <c r="J644" s="5">
        <v>3.1249999999999997E-6</v>
      </c>
    </row>
    <row r="645" spans="1:10" x14ac:dyDescent="0.25">
      <c r="A645">
        <f ca="1">IF(_157721372917[[#This Row],[instance]]&lt;OFFSET(_157721372917[[#This Row],[instance]],-1,0), OFFSET(_157721372917[[#This Row],[model]],-1,0)+1, OFFSET(_157721372917[[#This Row],[model]],-1,0))</f>
        <v>5</v>
      </c>
      <c r="B645">
        <v>15</v>
      </c>
      <c r="C645" s="5">
        <v>7.0601851851851848E-6</v>
      </c>
      <c r="D645">
        <v>0</v>
      </c>
      <c r="E645">
        <v>0</v>
      </c>
      <c r="F645">
        <v>0</v>
      </c>
      <c r="G645" s="5">
        <v>3.2407407407407406E-6</v>
      </c>
      <c r="H645" s="5">
        <v>6.945949074074074E-3</v>
      </c>
      <c r="I645" s="5">
        <v>4.2189814814814815E-3</v>
      </c>
      <c r="J645" s="5">
        <v>3.1249999999999997E-6</v>
      </c>
    </row>
    <row r="646" spans="1:10" x14ac:dyDescent="0.25">
      <c r="A646">
        <f ca="1">IF(_157721372917[[#This Row],[instance]]&lt;OFFSET(_157721372917[[#This Row],[instance]],-1,0), OFFSET(_157721372917[[#This Row],[model]],-1,0)+1, OFFSET(_157721372917[[#This Row],[model]],-1,0))</f>
        <v>5</v>
      </c>
      <c r="B646">
        <v>15</v>
      </c>
      <c r="C646" s="5">
        <v>7.1759259259259257E-6</v>
      </c>
      <c r="D646">
        <v>3</v>
      </c>
      <c r="E646">
        <v>1</v>
      </c>
      <c r="F646">
        <v>1</v>
      </c>
      <c r="G646" s="5">
        <v>3.2407407407407406E-6</v>
      </c>
      <c r="H646" s="5">
        <v>6.945949074074074E-3</v>
      </c>
      <c r="I646" s="5">
        <v>4.2189814814814815E-3</v>
      </c>
      <c r="J646" s="5">
        <v>3.1249999999999997E-6</v>
      </c>
    </row>
    <row r="647" spans="1:10" x14ac:dyDescent="0.25">
      <c r="A647">
        <f ca="1">IF(_157721372917[[#This Row],[instance]]&lt;OFFSET(_157721372917[[#This Row],[instance]],-1,0), OFFSET(_157721372917[[#This Row],[model]],-1,0)+1, OFFSET(_157721372917[[#This Row],[model]],-1,0))</f>
        <v>5</v>
      </c>
      <c r="B647">
        <v>15</v>
      </c>
      <c r="C647" s="5">
        <v>7.1759259259259257E-6</v>
      </c>
      <c r="D647">
        <v>6</v>
      </c>
      <c r="E647">
        <v>2</v>
      </c>
      <c r="F647">
        <v>2</v>
      </c>
      <c r="G647" s="5">
        <v>3.2407407407407406E-6</v>
      </c>
      <c r="H647" s="5">
        <v>6.945949074074074E-3</v>
      </c>
      <c r="I647" s="5">
        <v>4.2189814814814815E-3</v>
      </c>
      <c r="J647" s="5">
        <v>3.1249999999999997E-6</v>
      </c>
    </row>
    <row r="648" spans="1:10" x14ac:dyDescent="0.25">
      <c r="A648">
        <f ca="1">IF(_157721372917[[#This Row],[instance]]&lt;OFFSET(_157721372917[[#This Row],[instance]],-1,0), OFFSET(_157721372917[[#This Row],[model]],-1,0)+1, OFFSET(_157721372917[[#This Row],[model]],-1,0))</f>
        <v>5</v>
      </c>
      <c r="B648">
        <v>15</v>
      </c>
      <c r="C648" s="5">
        <v>7.2916666666666666E-6</v>
      </c>
      <c r="D648">
        <v>9</v>
      </c>
      <c r="E648">
        <v>3</v>
      </c>
      <c r="F648">
        <v>3</v>
      </c>
      <c r="G648" s="5">
        <v>3.2407407407407406E-6</v>
      </c>
      <c r="H648" s="5">
        <v>6.945949074074074E-3</v>
      </c>
      <c r="I648" s="5">
        <v>4.2189814814814815E-3</v>
      </c>
      <c r="J648" s="5">
        <v>3.1249999999999997E-6</v>
      </c>
    </row>
    <row r="649" spans="1:10" x14ac:dyDescent="0.25">
      <c r="A649">
        <f ca="1">IF(_157721372917[[#This Row],[instance]]&lt;OFFSET(_157721372917[[#This Row],[instance]],-1,0), OFFSET(_157721372917[[#This Row],[model]],-1,0)+1, OFFSET(_157721372917[[#This Row],[model]],-1,0))</f>
        <v>5</v>
      </c>
      <c r="B649">
        <v>15</v>
      </c>
      <c r="C649" s="5">
        <v>7.2916666666666666E-6</v>
      </c>
      <c r="D649">
        <v>12</v>
      </c>
      <c r="E649">
        <v>4</v>
      </c>
      <c r="F649">
        <v>4</v>
      </c>
      <c r="G649" s="5">
        <v>3.2407407407407406E-6</v>
      </c>
      <c r="H649" s="5">
        <v>6.945949074074074E-3</v>
      </c>
      <c r="I649" s="5">
        <v>4.2189814814814815E-3</v>
      </c>
      <c r="J649" s="5">
        <v>3.1249999999999997E-6</v>
      </c>
    </row>
    <row r="650" spans="1:10" x14ac:dyDescent="0.25">
      <c r="A650">
        <f ca="1">IF(_157721372917[[#This Row],[instance]]&lt;OFFSET(_157721372917[[#This Row],[instance]],-1,0), OFFSET(_157721372917[[#This Row],[model]],-1,0)+1, OFFSET(_157721372917[[#This Row],[model]],-1,0))</f>
        <v>5</v>
      </c>
      <c r="B650">
        <v>15</v>
      </c>
      <c r="C650" s="5">
        <v>7.2916666666666666E-6</v>
      </c>
      <c r="D650">
        <v>13.5</v>
      </c>
      <c r="E650">
        <v>5</v>
      </c>
      <c r="F650">
        <v>5</v>
      </c>
      <c r="G650" s="5">
        <v>3.2407407407407406E-6</v>
      </c>
      <c r="H650" s="5">
        <v>6.945949074074074E-3</v>
      </c>
      <c r="I650" s="5">
        <v>4.2189814814814815E-3</v>
      </c>
      <c r="J650" s="5">
        <v>3.1249999999999997E-6</v>
      </c>
    </row>
    <row r="651" spans="1:10" x14ac:dyDescent="0.25">
      <c r="A651">
        <f ca="1">IF(_157721372917[[#This Row],[instance]]&lt;OFFSET(_157721372917[[#This Row],[instance]],-1,0), OFFSET(_157721372917[[#This Row],[model]],-1,0)+1, OFFSET(_157721372917[[#This Row],[model]],-1,0))</f>
        <v>5</v>
      </c>
      <c r="B651">
        <v>15</v>
      </c>
      <c r="C651" s="5">
        <v>7.2916666666666666E-6</v>
      </c>
      <c r="D651">
        <v>13.875</v>
      </c>
      <c r="E651">
        <v>6</v>
      </c>
      <c r="F651">
        <v>5</v>
      </c>
      <c r="G651" s="5">
        <v>3.2407407407407406E-6</v>
      </c>
      <c r="H651" s="5">
        <v>6.945949074074074E-3</v>
      </c>
      <c r="I651" s="5">
        <v>4.2189814814814815E-3</v>
      </c>
      <c r="J651" s="5">
        <v>3.1249999999999997E-6</v>
      </c>
    </row>
    <row r="652" spans="1:10" x14ac:dyDescent="0.25">
      <c r="A652">
        <f ca="1">IF(_157721372917[[#This Row],[instance]]&lt;OFFSET(_157721372917[[#This Row],[instance]],-1,0), OFFSET(_157721372917[[#This Row],[model]],-1,0)+1, OFFSET(_157721372917[[#This Row],[model]],-1,0))</f>
        <v>5</v>
      </c>
      <c r="B652">
        <v>15</v>
      </c>
      <c r="C652" s="5">
        <v>7.4074074074074075E-6</v>
      </c>
      <c r="D652">
        <v>14.25</v>
      </c>
      <c r="E652">
        <v>7</v>
      </c>
      <c r="F652">
        <v>5</v>
      </c>
      <c r="G652" s="5">
        <v>3.2407407407407406E-6</v>
      </c>
      <c r="H652" s="5">
        <v>6.945949074074074E-3</v>
      </c>
      <c r="I652" s="5">
        <v>4.2189814814814815E-3</v>
      </c>
      <c r="J652" s="5">
        <v>3.1249999999999997E-6</v>
      </c>
    </row>
    <row r="653" spans="1:10" x14ac:dyDescent="0.25">
      <c r="A653">
        <f ca="1">IF(_157721372917[[#This Row],[instance]]&lt;OFFSET(_157721372917[[#This Row],[instance]],-1,0), OFFSET(_157721372917[[#This Row],[model]],-1,0)+1, OFFSET(_157721372917[[#This Row],[model]],-1,0))</f>
        <v>5</v>
      </c>
      <c r="B653">
        <v>15</v>
      </c>
      <c r="C653" s="5">
        <v>7.4074074074074075E-6</v>
      </c>
      <c r="D653">
        <v>14.875</v>
      </c>
      <c r="E653">
        <v>7</v>
      </c>
      <c r="F653">
        <v>5</v>
      </c>
      <c r="G653" s="5">
        <v>3.2407407407407406E-6</v>
      </c>
      <c r="H653" s="5">
        <v>6.945949074074074E-3</v>
      </c>
      <c r="I653" s="5">
        <v>4.2189814814814815E-3</v>
      </c>
      <c r="J653" s="5">
        <v>3.1249999999999997E-6</v>
      </c>
    </row>
    <row r="654" spans="1:10" x14ac:dyDescent="0.25">
      <c r="A654">
        <f ca="1">IF(_157721372917[[#This Row],[instance]]&lt;OFFSET(_157721372917[[#This Row],[instance]],-1,0), OFFSET(_157721372917[[#This Row],[model]],-1,0)+1, OFFSET(_157721372917[[#This Row],[model]],-1,0))</f>
        <v>5</v>
      </c>
      <c r="B654">
        <v>15</v>
      </c>
      <c r="C654" s="5">
        <v>7.4074074074074075E-6</v>
      </c>
      <c r="D654">
        <v>15.875</v>
      </c>
      <c r="E654">
        <v>8</v>
      </c>
      <c r="F654">
        <v>6</v>
      </c>
      <c r="G654" s="5">
        <v>3.2407407407407406E-6</v>
      </c>
      <c r="H654" s="5">
        <v>6.945949074074074E-3</v>
      </c>
      <c r="I654" s="5">
        <v>4.2189814814814815E-3</v>
      </c>
      <c r="J654" s="5">
        <v>3.1249999999999997E-6</v>
      </c>
    </row>
    <row r="655" spans="1:10" x14ac:dyDescent="0.25">
      <c r="A655">
        <f ca="1">IF(_157721372917[[#This Row],[instance]]&lt;OFFSET(_157721372917[[#This Row],[instance]],-1,0), OFFSET(_157721372917[[#This Row],[model]],-1,0)+1, OFFSET(_157721372917[[#This Row],[model]],-1,0))</f>
        <v>5</v>
      </c>
      <c r="B655">
        <v>15</v>
      </c>
      <c r="C655" s="5">
        <v>7.4074074074074075E-6</v>
      </c>
      <c r="D655">
        <v>16.875</v>
      </c>
      <c r="E655">
        <v>9</v>
      </c>
      <c r="F655">
        <v>6</v>
      </c>
      <c r="G655" s="5">
        <v>3.2407407407407406E-6</v>
      </c>
      <c r="H655" s="5">
        <v>6.945949074074074E-3</v>
      </c>
      <c r="I655" s="5">
        <v>4.2189814814814815E-3</v>
      </c>
      <c r="J655" s="5">
        <v>3.1249999999999997E-6</v>
      </c>
    </row>
    <row r="656" spans="1:10" x14ac:dyDescent="0.25">
      <c r="A656">
        <f ca="1">IF(_157721372917[[#This Row],[instance]]&lt;OFFSET(_157721372917[[#This Row],[instance]],-1,0), OFFSET(_157721372917[[#This Row],[model]],-1,0)+1, OFFSET(_157721372917[[#This Row],[model]],-1,0))</f>
        <v>5</v>
      </c>
      <c r="B656">
        <v>15</v>
      </c>
      <c r="C656" s="5">
        <v>7.5231481481481475E-6</v>
      </c>
      <c r="D656">
        <v>17.375</v>
      </c>
      <c r="E656">
        <v>9</v>
      </c>
      <c r="F656">
        <v>6</v>
      </c>
      <c r="G656" s="5">
        <v>3.2407407407407406E-6</v>
      </c>
      <c r="H656" s="5">
        <v>6.945949074074074E-3</v>
      </c>
      <c r="I656" s="5">
        <v>4.2189814814814815E-3</v>
      </c>
      <c r="J656" s="5">
        <v>3.1249999999999997E-6</v>
      </c>
    </row>
    <row r="657" spans="1:10" x14ac:dyDescent="0.25">
      <c r="A657">
        <f ca="1">IF(_157721372917[[#This Row],[instance]]&lt;OFFSET(_157721372917[[#This Row],[instance]],-1,0), OFFSET(_157721372917[[#This Row],[model]],-1,0)+1, OFFSET(_157721372917[[#This Row],[model]],-1,0))</f>
        <v>5</v>
      </c>
      <c r="B657">
        <v>15</v>
      </c>
      <c r="C657" s="5">
        <v>7.5231481481481475E-6</v>
      </c>
      <c r="D657">
        <v>18.875</v>
      </c>
      <c r="E657">
        <v>9</v>
      </c>
      <c r="F657">
        <v>7</v>
      </c>
      <c r="G657" s="5">
        <v>3.2407407407407406E-6</v>
      </c>
      <c r="H657" s="5">
        <v>6.945949074074074E-3</v>
      </c>
      <c r="I657" s="5">
        <v>4.2189814814814815E-3</v>
      </c>
      <c r="J657" s="5">
        <v>3.1249999999999997E-6</v>
      </c>
    </row>
    <row r="658" spans="1:10" x14ac:dyDescent="0.25">
      <c r="A658">
        <f ca="1">IF(_157721372917[[#This Row],[instance]]&lt;OFFSET(_157721372917[[#This Row],[instance]],-1,0), OFFSET(_157721372917[[#This Row],[model]],-1,0)+1, OFFSET(_157721372917[[#This Row],[model]],-1,0))</f>
        <v>5</v>
      </c>
      <c r="B658">
        <v>15</v>
      </c>
      <c r="C658" s="5">
        <v>7.8703703703703702E-6</v>
      </c>
      <c r="D658">
        <v>19.25</v>
      </c>
      <c r="E658">
        <v>10</v>
      </c>
      <c r="F658">
        <v>7</v>
      </c>
      <c r="G658" s="5">
        <v>3.2407407407407406E-6</v>
      </c>
      <c r="H658" s="5">
        <v>6.945949074074074E-3</v>
      </c>
      <c r="I658" s="5">
        <v>4.2189814814814815E-3</v>
      </c>
      <c r="J658" s="5">
        <v>3.1249999999999997E-6</v>
      </c>
    </row>
    <row r="659" spans="1:10" x14ac:dyDescent="0.25">
      <c r="A659">
        <f ca="1">IF(_157721372917[[#This Row],[instance]]&lt;OFFSET(_157721372917[[#This Row],[instance]],-1,0), OFFSET(_157721372917[[#This Row],[model]],-1,0)+1, OFFSET(_157721372917[[#This Row],[model]],-1,0))</f>
        <v>5</v>
      </c>
      <c r="B659">
        <v>15</v>
      </c>
      <c r="C659" s="5">
        <v>7.9861111111111102E-6</v>
      </c>
      <c r="D659">
        <v>20.25</v>
      </c>
      <c r="E659">
        <v>11</v>
      </c>
      <c r="F659">
        <v>7</v>
      </c>
      <c r="G659" s="5">
        <v>3.2407407407407406E-6</v>
      </c>
      <c r="H659" s="5">
        <v>6.945949074074074E-3</v>
      </c>
      <c r="I659" s="5">
        <v>4.2189814814814815E-3</v>
      </c>
      <c r="J659" s="5">
        <v>3.1249999999999997E-6</v>
      </c>
    </row>
    <row r="660" spans="1:10" x14ac:dyDescent="0.25">
      <c r="A660">
        <f ca="1">IF(_157721372917[[#This Row],[instance]]&lt;OFFSET(_157721372917[[#This Row],[instance]],-1,0), OFFSET(_157721372917[[#This Row],[model]],-1,0)+1, OFFSET(_157721372917[[#This Row],[model]],-1,0))</f>
        <v>5</v>
      </c>
      <c r="B660">
        <v>15</v>
      </c>
      <c r="C660" s="5">
        <v>7.9861111111111102E-6</v>
      </c>
      <c r="D660">
        <v>20.875</v>
      </c>
      <c r="E660">
        <v>11</v>
      </c>
      <c r="F660">
        <v>7</v>
      </c>
      <c r="G660" s="5">
        <v>3.2407407407407406E-6</v>
      </c>
      <c r="H660" s="5">
        <v>6.945949074074074E-3</v>
      </c>
      <c r="I660" s="5">
        <v>4.2189814814814815E-3</v>
      </c>
      <c r="J660" s="5">
        <v>3.1249999999999997E-6</v>
      </c>
    </row>
    <row r="661" spans="1:10" x14ac:dyDescent="0.25">
      <c r="A661">
        <f ca="1">IF(_157721372917[[#This Row],[instance]]&lt;OFFSET(_157721372917[[#This Row],[instance]],-1,0), OFFSET(_157721372917[[#This Row],[model]],-1,0)+1, OFFSET(_157721372917[[#This Row],[model]],-1,0))</f>
        <v>5</v>
      </c>
      <c r="B661">
        <v>15</v>
      </c>
      <c r="C661" s="5">
        <v>8.101851851851852E-6</v>
      </c>
      <c r="D661">
        <v>21.375</v>
      </c>
      <c r="E661">
        <v>11</v>
      </c>
      <c r="F661">
        <v>7</v>
      </c>
      <c r="G661" s="5">
        <v>3.2407407407407406E-6</v>
      </c>
      <c r="H661" s="5">
        <v>6.945949074074074E-3</v>
      </c>
      <c r="I661" s="5">
        <v>4.2189814814814815E-3</v>
      </c>
      <c r="J661" s="5">
        <v>3.1249999999999997E-6</v>
      </c>
    </row>
    <row r="662" spans="1:10" x14ac:dyDescent="0.25">
      <c r="A662">
        <f ca="1">IF(_157721372917[[#This Row],[instance]]&lt;OFFSET(_157721372917[[#This Row],[instance]],-1,0), OFFSET(_157721372917[[#This Row],[model]],-1,0)+1, OFFSET(_157721372917[[#This Row],[model]],-1,0))</f>
        <v>5</v>
      </c>
      <c r="B662">
        <v>15</v>
      </c>
      <c r="C662" s="5">
        <v>8.101851851851852E-6</v>
      </c>
      <c r="D662">
        <v>21.75</v>
      </c>
      <c r="E662">
        <v>12</v>
      </c>
      <c r="F662">
        <v>7</v>
      </c>
      <c r="G662" s="5">
        <v>3.2407407407407406E-6</v>
      </c>
      <c r="H662" s="5">
        <v>6.945949074074074E-3</v>
      </c>
      <c r="I662" s="5">
        <v>4.2189814814814815E-3</v>
      </c>
      <c r="J662" s="5">
        <v>3.1249999999999997E-6</v>
      </c>
    </row>
    <row r="663" spans="1:10" x14ac:dyDescent="0.25">
      <c r="A663">
        <f ca="1">IF(_157721372917[[#This Row],[instance]]&lt;OFFSET(_157721372917[[#This Row],[instance]],-1,0), OFFSET(_157721372917[[#This Row],[model]],-1,0)+1, OFFSET(_157721372917[[#This Row],[model]],-1,0))</f>
        <v>5</v>
      </c>
      <c r="B663">
        <v>15</v>
      </c>
      <c r="C663" s="5">
        <v>8.217592592592592E-6</v>
      </c>
      <c r="D663">
        <v>22.125</v>
      </c>
      <c r="E663">
        <v>13</v>
      </c>
      <c r="F663">
        <v>8</v>
      </c>
      <c r="G663" s="5">
        <v>3.2407407407407406E-6</v>
      </c>
      <c r="H663" s="5">
        <v>6.945949074074074E-3</v>
      </c>
      <c r="I663" s="5">
        <v>4.2189814814814815E-3</v>
      </c>
      <c r="J663" s="5">
        <v>3.1249999999999997E-6</v>
      </c>
    </row>
    <row r="664" spans="1:10" x14ac:dyDescent="0.25">
      <c r="A664">
        <f ca="1">IF(_157721372917[[#This Row],[instance]]&lt;OFFSET(_157721372917[[#This Row],[instance]],-1,0), OFFSET(_157721372917[[#This Row],[model]],-1,0)+1, OFFSET(_157721372917[[#This Row],[model]],-1,0))</f>
        <v>5</v>
      </c>
      <c r="B664">
        <v>15</v>
      </c>
      <c r="C664" s="5">
        <v>8.4490740740740738E-6</v>
      </c>
      <c r="D664">
        <v>22.75</v>
      </c>
      <c r="E664">
        <v>13</v>
      </c>
      <c r="F664">
        <v>8</v>
      </c>
      <c r="G664" s="5">
        <v>3.2407407407407406E-6</v>
      </c>
      <c r="H664" s="5">
        <v>6.945949074074074E-3</v>
      </c>
      <c r="I664" s="5">
        <v>4.2189814814814815E-3</v>
      </c>
      <c r="J664" s="5">
        <v>3.1249999999999997E-6</v>
      </c>
    </row>
    <row r="665" spans="1:10" x14ac:dyDescent="0.25">
      <c r="A665">
        <f ca="1">IF(_157721372917[[#This Row],[instance]]&lt;OFFSET(_157721372917[[#This Row],[instance]],-1,0), OFFSET(_157721372917[[#This Row],[model]],-1,0)+1, OFFSET(_157721372917[[#This Row],[model]],-1,0))</f>
        <v>5</v>
      </c>
      <c r="B665">
        <v>15</v>
      </c>
      <c r="C665" s="5">
        <v>8.9120370370370373E-6</v>
      </c>
      <c r="D665">
        <v>23.125</v>
      </c>
      <c r="E665">
        <v>14</v>
      </c>
      <c r="F665">
        <v>7</v>
      </c>
      <c r="G665" s="5">
        <v>3.2407407407407406E-6</v>
      </c>
      <c r="H665" s="5">
        <v>6.945949074074074E-3</v>
      </c>
      <c r="I665" s="5">
        <v>4.2189814814814815E-3</v>
      </c>
      <c r="J665" s="5">
        <v>3.1249999999999997E-6</v>
      </c>
    </row>
    <row r="666" spans="1:10" x14ac:dyDescent="0.25">
      <c r="A666">
        <f ca="1">IF(_157721372917[[#This Row],[instance]]&lt;OFFSET(_157721372917[[#This Row],[instance]],-1,0), OFFSET(_157721372917[[#This Row],[model]],-1,0)+1, OFFSET(_157721372917[[#This Row],[model]],-1,0))</f>
        <v>5</v>
      </c>
      <c r="B666">
        <v>15</v>
      </c>
      <c r="C666" s="5">
        <v>9.606481481481481E-6</v>
      </c>
      <c r="D666">
        <v>23.5</v>
      </c>
      <c r="E666">
        <v>15</v>
      </c>
      <c r="F666">
        <v>8</v>
      </c>
      <c r="G666" s="5">
        <v>3.2407407407407406E-6</v>
      </c>
      <c r="H666" s="5">
        <v>6.945949074074074E-3</v>
      </c>
      <c r="I666" s="5">
        <v>4.2189814814814815E-3</v>
      </c>
      <c r="J666" s="5">
        <v>3.1249999999999997E-6</v>
      </c>
    </row>
    <row r="667" spans="1:10" x14ac:dyDescent="0.25">
      <c r="A667">
        <f ca="1">IF(_157721372917[[#This Row],[instance]]&lt;OFFSET(_157721372917[[#This Row],[instance]],-1,0), OFFSET(_157721372917[[#This Row],[model]],-1,0)+1, OFFSET(_157721372917[[#This Row],[model]],-1,0))</f>
        <v>5</v>
      </c>
      <c r="B667">
        <v>15</v>
      </c>
      <c r="C667" s="5">
        <v>1.087962962962963E-5</v>
      </c>
      <c r="D667">
        <v>23.875</v>
      </c>
      <c r="E667">
        <v>16</v>
      </c>
      <c r="F667">
        <v>8</v>
      </c>
      <c r="G667" s="5">
        <v>3.2407407407407406E-6</v>
      </c>
      <c r="H667" s="5">
        <v>6.945949074074074E-3</v>
      </c>
      <c r="I667" s="5">
        <v>4.2189814814814815E-3</v>
      </c>
      <c r="J667" s="5">
        <v>3.1249999999999997E-6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2217-81CC-491E-AFD2-CAB0661EC1E8}">
  <dimension ref="A1:AC280"/>
  <sheetViews>
    <sheetView topLeftCell="D1" zoomScale="60" zoomScaleNormal="60" workbookViewId="0">
      <selection activeCell="M49" sqref="M49"/>
    </sheetView>
  </sheetViews>
  <sheetFormatPr defaultRowHeight="15" x14ac:dyDescent="0.25"/>
  <cols>
    <col min="1" max="1" width="13.28515625" bestFit="1" customWidth="1"/>
    <col min="2" max="2" width="16.140625" bestFit="1" customWidth="1"/>
    <col min="3" max="3" width="14.7109375" style="5" bestFit="1" customWidth="1"/>
    <col min="4" max="4" width="11.140625" bestFit="1" customWidth="1"/>
    <col min="5" max="5" width="14.42578125" bestFit="1" customWidth="1"/>
    <col min="6" max="6" width="13" bestFit="1" customWidth="1"/>
    <col min="7" max="7" width="24.42578125" style="5" bestFit="1" customWidth="1"/>
    <col min="8" max="8" width="17.5703125" style="5" bestFit="1" customWidth="1"/>
    <col min="9" max="9" width="21.5703125" style="5" bestFit="1" customWidth="1"/>
    <col min="10" max="10" width="28" style="5" bestFit="1" customWidth="1"/>
    <col min="11" max="11" width="13.28515625" style="5" bestFit="1" customWidth="1"/>
    <col min="12" max="12" width="16.140625" style="5" bestFit="1" customWidth="1"/>
    <col min="13" max="13" width="17" style="5" bestFit="1" customWidth="1"/>
    <col min="14" max="14" width="11.140625" style="5" bestFit="1" customWidth="1"/>
    <col min="15" max="15" width="10.28515625" customWidth="1"/>
    <col min="16" max="16" width="9.85546875" bestFit="1" customWidth="1"/>
    <col min="17" max="17" width="7.7109375" style="2" bestFit="1" customWidth="1"/>
    <col min="18" max="18" width="6.28515625" bestFit="1" customWidth="1"/>
    <col min="19" max="19" width="6.85546875" bestFit="1" customWidth="1"/>
    <col min="20" max="20" width="6.28515625" bestFit="1" customWidth="1"/>
    <col min="21" max="21" width="6.85546875" bestFit="1" customWidth="1"/>
    <col min="22" max="22" width="6.28515625" bestFit="1" customWidth="1"/>
    <col min="23" max="23" width="8.7109375" bestFit="1" customWidth="1"/>
    <col min="24" max="24" width="8.7109375" customWidth="1"/>
  </cols>
  <sheetData>
    <row r="1" spans="1:24" x14ac:dyDescent="0.25">
      <c r="A1" s="5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12</v>
      </c>
      <c r="H1" s="5" t="s">
        <v>6</v>
      </c>
      <c r="I1" s="5" t="s">
        <v>7</v>
      </c>
      <c r="K1" t="s">
        <v>9</v>
      </c>
      <c r="L1" t="s">
        <v>0</v>
      </c>
      <c r="M1" t="s">
        <v>10</v>
      </c>
      <c r="N1" t="s">
        <v>11</v>
      </c>
      <c r="P1" t="s">
        <v>0</v>
      </c>
      <c r="Q1" s="2" t="s">
        <v>9</v>
      </c>
      <c r="R1" s="3">
        <f>TIME(0,0,10)</f>
        <v>1.1574074074074075E-4</v>
      </c>
      <c r="S1" s="3">
        <f>TIME(0,0,30)</f>
        <v>3.4722222222222224E-4</v>
      </c>
      <c r="T1" s="3">
        <f>TIME(0,1,0)</f>
        <v>6.9444444444444447E-4</v>
      </c>
      <c r="U1" s="3">
        <f>TIME(0,5,0)</f>
        <v>3.472222222222222E-3</v>
      </c>
      <c r="V1" s="3">
        <f>TIME(0,10,0)</f>
        <v>6.9444444444444441E-3</v>
      </c>
      <c r="W1" s="8" t="s">
        <v>11</v>
      </c>
      <c r="X1" s="8" t="s">
        <v>14</v>
      </c>
    </row>
    <row r="2" spans="1:24" x14ac:dyDescent="0.25">
      <c r="A2">
        <v>1</v>
      </c>
      <c r="B2">
        <v>1</v>
      </c>
      <c r="H2" s="5">
        <v>6.9444444444444441E-3</v>
      </c>
      <c r="I2" s="5">
        <v>4.7627314814814815E-3</v>
      </c>
      <c r="K2">
        <v>1</v>
      </c>
      <c r="L2">
        <v>1</v>
      </c>
      <c r="M2"/>
      <c r="N2" t="s">
        <v>13</v>
      </c>
      <c r="O2" s="1"/>
      <c r="P2">
        <v>1</v>
      </c>
    </row>
    <row r="3" spans="1:24" x14ac:dyDescent="0.25">
      <c r="A3">
        <f ca="1">IF(_372845237_asp[[#This Row],[instance]]&lt;OFFSET(_372845237_asp[[#This Row],[instance]],-1,0), OFFSET(_372845237_asp[[#This Row],[model]],-1,0)+1, OFFSET(_372845237_asp[[#This Row],[model]],-1,0))</f>
        <v>1</v>
      </c>
      <c r="B3">
        <v>2</v>
      </c>
      <c r="H3" s="5">
        <v>6.9444444444444441E-3</v>
      </c>
      <c r="I3" s="5">
        <v>4.7627314814814815E-3</v>
      </c>
      <c r="K3">
        <v>1</v>
      </c>
      <c r="L3">
        <v>2</v>
      </c>
      <c r="M3"/>
      <c r="N3" t="s">
        <v>13</v>
      </c>
      <c r="O3" s="1"/>
      <c r="Q3" s="2">
        <v>1</v>
      </c>
      <c r="R3" cm="1">
        <f t="array" aca="1" ref="R3" ca="1">_xlfn.MAXIFS(COL(bench,"wine"), COL(bench,"model"), $Q3, COL(bench,"instance"), INDEX($P:$P, ROW()-$Q3), COL(bench,"time"),"&lt;="&amp;R$1)</f>
        <v>0</v>
      </c>
      <c r="S3" cm="1">
        <f t="array" aca="1" ref="S3" ca="1">_xlfn.MAXIFS(COL(bench,"wine"), COL(bench,"model"), $Q3, COL(bench,"instance"), INDEX($P:$P, ROW()-$Q3), COL(bench,"time"),"&lt;="&amp;S$1)-SUM($R3:R3)</f>
        <v>0</v>
      </c>
      <c r="T3" cm="1">
        <f t="array" aca="1" ref="T3" ca="1">_xlfn.MAXIFS(COL(bench,"wine"), COL(bench,"model"), $Q3, COL(bench,"instance"), INDEX($P:$P, ROW()-$Q3), COL(bench,"time"),"&lt;="&amp;T$1)-SUM($R3:S3)</f>
        <v>0</v>
      </c>
      <c r="U3" cm="1">
        <f t="array" aca="1" ref="U3" ca="1">_xlfn.MAXIFS(COL(bench,"wine"), COL(bench,"model"), $Q3, COL(bench,"instance"), INDEX($P:$P, ROW()-$Q3), COL(bench,"time"),"&lt;="&amp;U$1)-SUM($R3:T3)</f>
        <v>0</v>
      </c>
      <c r="V3" cm="1">
        <f t="array" aca="1" ref="V3" ca="1">_xlfn.MAXIFS(COL(bench,"wine"), COL(bench,"model"), $Q3, COL(bench,"instance"), INDEX($P:$P, ROW()-$Q3), COL(bench,"time"),"&lt;="&amp;V$1)-SUM($R3:U3)</f>
        <v>0</v>
      </c>
      <c r="W3" t="e" cm="1">
        <f t="array" ref="W3" xml:space="preserve"> _xlfn.LET(
  _xlpm.idx, _xlfn.XMATCH(1,
      (COL(summary,"model")=$Q3)*(COL(summary,"instance")=INDEX($P:$P, ROW()-$Q3))*(COL(summary,"best")=TRUE)),
  IFERROR(INDEX(COL(summary,"objective"), _xlpm.idx), #N/A)
)</f>
        <v>#N/A</v>
      </c>
      <c r="X3" cm="1">
        <f t="array" ref="X3" xml:space="preserve"> _xlfn.LET(
  _xlpm.idx, _xlfn.XMATCH(1,
      (COL(summary,"model")=$Q3)*(COL(summary,"instance")=INDEX($P:$P, ROW()-$Q3))*(COL(summary,"best")="TIMEOUT")),
  IFERROR(INDEX(COL(summary,"objective"), _xlpm.idx), #N/A)
)</f>
        <v>0</v>
      </c>
    </row>
    <row r="4" spans="1:24" x14ac:dyDescent="0.25">
      <c r="A4">
        <f ca="1">IF(_372845237_asp[[#This Row],[instance]]&lt;OFFSET(_372845237_asp[[#This Row],[instance]],-1,0), OFFSET(_372845237_asp[[#This Row],[model]],-1,0)+1, OFFSET(_372845237_asp[[#This Row],[model]],-1,0))</f>
        <v>1</v>
      </c>
      <c r="B4">
        <v>3</v>
      </c>
      <c r="H4" s="5">
        <v>6.9444444444444441E-3</v>
      </c>
      <c r="I4" s="5">
        <v>4.7627314814814815E-3</v>
      </c>
      <c r="K4">
        <v>1</v>
      </c>
      <c r="L4">
        <v>3</v>
      </c>
      <c r="M4"/>
      <c r="N4" t="s">
        <v>13</v>
      </c>
      <c r="O4" s="1"/>
      <c r="Q4" s="2">
        <v>2</v>
      </c>
      <c r="R4" cm="1">
        <f t="array" aca="1" ref="R4" ca="1">_xlfn.MAXIFS(COL(bench,"wine"), COL(bench,"model"), $Q4, COL(bench,"instance"), INDEX($P:$P, ROW()-$Q4), COL(bench,"time"),"&lt;="&amp;R$1)</f>
        <v>0</v>
      </c>
      <c r="S4" cm="1">
        <f t="array" aca="1" ref="S4" ca="1">_xlfn.MAXIFS(COL(bench,"wine"), COL(bench,"model"), $Q4, COL(bench,"instance"), INDEX($P:$P, ROW()-$Q4), COL(bench,"time"),"&lt;="&amp;S$1)-SUM($R4:R4)</f>
        <v>0</v>
      </c>
      <c r="T4" cm="1">
        <f t="array" aca="1" ref="T4" ca="1">_xlfn.MAXIFS(COL(bench,"wine"), COL(bench,"model"), $Q4, COL(bench,"instance"), INDEX($P:$P, ROW()-$Q4), COL(bench,"time"),"&lt;="&amp;T$1)-SUM($R4:S4)</f>
        <v>0</v>
      </c>
      <c r="U4" cm="1">
        <f t="array" aca="1" ref="U4" ca="1">_xlfn.MAXIFS(COL(bench,"wine"), COL(bench,"model"), $Q4, COL(bench,"instance"), INDEX($P:$P, ROW()-$Q4), COL(bench,"time"),"&lt;="&amp;U$1)-SUM($R4:T4)</f>
        <v>0</v>
      </c>
      <c r="V4" cm="1">
        <f t="array" aca="1" ref="V4" ca="1">_xlfn.MAXIFS(COL(bench,"wine"), COL(bench,"model"), $Q4, COL(bench,"instance"), INDEX($P:$P, ROW()-$Q4), COL(bench,"time"),"&lt;="&amp;V$1)-SUM($R4:U4)</f>
        <v>0</v>
      </c>
      <c r="W4" t="e" cm="1">
        <f t="array" ref="W4" xml:space="preserve"> _xlfn.LET(
  _xlpm.idx, _xlfn.XMATCH(1,
      (COL(summary,"model")=$Q4)*(COL(summary,"instance")=INDEX($P:$P, ROW()-$Q4))*(COL(summary,"best")=TRUE)),
  IFERROR(INDEX(COL(summary,"objective"), _xlpm.idx), #N/A)
)</f>
        <v>#N/A</v>
      </c>
      <c r="X4" cm="1">
        <f t="array" ref="X4" xml:space="preserve"> _xlfn.LET(
  _xlpm.idx, _xlfn.XMATCH(1,
      (COL(summary,"model")=$Q4)*(COL(summary,"instance")=INDEX($P:$P, ROW()-$Q4))*(COL(summary,"best")="TIMEOUT")),
  IFERROR(INDEX(COL(summary,"objective"), _xlpm.idx), #N/A)
)</f>
        <v>0</v>
      </c>
    </row>
    <row r="5" spans="1:24" x14ac:dyDescent="0.25">
      <c r="A5">
        <f ca="1">IF(_372845237_asp[[#This Row],[instance]]&lt;OFFSET(_372845237_asp[[#This Row],[instance]],-1,0), OFFSET(_372845237_asp[[#This Row],[model]],-1,0)+1, OFFSET(_372845237_asp[[#This Row],[model]],-1,0))</f>
        <v>1</v>
      </c>
      <c r="B5">
        <v>4</v>
      </c>
      <c r="H5" s="5">
        <v>6.9444444444444441E-3</v>
      </c>
      <c r="I5" s="5">
        <v>4.7627314814814815E-3</v>
      </c>
      <c r="K5">
        <v>1</v>
      </c>
      <c r="L5">
        <v>4</v>
      </c>
      <c r="M5"/>
      <c r="N5" t="s">
        <v>13</v>
      </c>
      <c r="O5" s="1"/>
      <c r="Q5" s="2">
        <v>3</v>
      </c>
      <c r="R5" cm="1">
        <f t="array" aca="1" ref="R5" ca="1">_xlfn.MAXIFS(COL(bench,"wine"), COL(bench,"model"), $Q5, COL(bench,"instance"), INDEX($P:$P, ROW()-$Q5), COL(bench,"time"),"&lt;="&amp;R$1)</f>
        <v>0</v>
      </c>
      <c r="S5" cm="1">
        <f t="array" aca="1" ref="S5" ca="1">_xlfn.MAXIFS(COL(bench,"wine"), COL(bench,"model"), $Q5, COL(bench,"instance"), INDEX($P:$P, ROW()-$Q5), COL(bench,"time"),"&lt;="&amp;S$1)-SUM($R5:R5)</f>
        <v>0</v>
      </c>
      <c r="T5" cm="1">
        <f t="array" aca="1" ref="T5" ca="1">_xlfn.MAXIFS(COL(bench,"wine"), COL(bench,"model"), $Q5, COL(bench,"instance"), INDEX($P:$P, ROW()-$Q5), COL(bench,"time"),"&lt;="&amp;T$1)-SUM($R5:S5)</f>
        <v>0</v>
      </c>
      <c r="U5" cm="1">
        <f t="array" aca="1" ref="U5" ca="1">_xlfn.MAXIFS(COL(bench,"wine"), COL(bench,"model"), $Q5, COL(bench,"instance"), INDEX($P:$P, ROW()-$Q5), COL(bench,"time"),"&lt;="&amp;U$1)-SUM($R5:T5)</f>
        <v>0</v>
      </c>
      <c r="V5" cm="1">
        <f t="array" aca="1" ref="V5" ca="1">_xlfn.MAXIFS(COL(bench,"wine"), COL(bench,"model"), $Q5, COL(bench,"instance"), INDEX($P:$P, ROW()-$Q5), COL(bench,"time"),"&lt;="&amp;V$1)-SUM($R5:U5)</f>
        <v>0</v>
      </c>
      <c r="W5" t="e" cm="1">
        <f t="array" ref="W5" xml:space="preserve"> _xlfn.LET(
  _xlpm.idx, _xlfn.XMATCH(1,
      (COL(summary,"model")=$Q5)*(COL(summary,"instance")=INDEX($P:$P, ROW()-$Q5))*(COL(summary,"best")=TRUE)),
  IFERROR(INDEX(COL(summary,"objective"), _xlpm.idx), #N/A)
)</f>
        <v>#N/A</v>
      </c>
      <c r="X5" cm="1">
        <f t="array" ref="X5" xml:space="preserve"> _xlfn.LET(
  _xlpm.idx, _xlfn.XMATCH(1,
      (COL(summary,"model")=$Q5)*(COL(summary,"instance")=INDEX($P:$P, ROW()-$Q5))*(COL(summary,"best")="TIMEOUT")),
  IFERROR(INDEX(COL(summary,"objective"), _xlpm.idx), #N/A)
)</f>
        <v>0</v>
      </c>
    </row>
    <row r="6" spans="1:24" x14ac:dyDescent="0.25">
      <c r="A6">
        <f ca="1">IF(_372845237_asp[[#This Row],[instance]]&lt;OFFSET(_372845237_asp[[#This Row],[instance]],-1,0), OFFSET(_372845237_asp[[#This Row],[model]],-1,0)+1, OFFSET(_372845237_asp[[#This Row],[model]],-1,0))</f>
        <v>1</v>
      </c>
      <c r="B6">
        <v>5</v>
      </c>
      <c r="C6" s="5">
        <v>9.2141203703703699E-4</v>
      </c>
      <c r="D6">
        <v>0</v>
      </c>
      <c r="E6">
        <v>0</v>
      </c>
      <c r="F6">
        <v>0</v>
      </c>
      <c r="G6" s="5">
        <v>9.1678240740740739E-4</v>
      </c>
      <c r="H6" s="5">
        <v>9.1921296296296293E-4</v>
      </c>
      <c r="I6" s="5">
        <v>4.7627314814814815E-3</v>
      </c>
      <c r="K6">
        <v>1</v>
      </c>
      <c r="L6">
        <v>5</v>
      </c>
      <c r="M6">
        <v>2.625</v>
      </c>
      <c r="N6" t="b">
        <v>1</v>
      </c>
      <c r="O6" s="1"/>
    </row>
    <row r="7" spans="1:24" x14ac:dyDescent="0.25">
      <c r="A7">
        <f ca="1">IF(_372845237_asp[[#This Row],[instance]]&lt;OFFSET(_372845237_asp[[#This Row],[instance]],-1,0), OFFSET(_372845237_asp[[#This Row],[model]],-1,0)+1, OFFSET(_372845237_asp[[#This Row],[model]],-1,0))</f>
        <v>1</v>
      </c>
      <c r="B7">
        <v>5</v>
      </c>
      <c r="C7" s="5">
        <v>9.2164351851851847E-4</v>
      </c>
      <c r="D7">
        <v>2.625</v>
      </c>
      <c r="E7">
        <v>5</v>
      </c>
      <c r="F7">
        <v>1</v>
      </c>
      <c r="G7" s="5">
        <v>9.1678240740740739E-4</v>
      </c>
      <c r="H7" s="5">
        <v>9.1921296296296293E-4</v>
      </c>
      <c r="I7" s="5">
        <v>4.7627314814814815E-3</v>
      </c>
      <c r="K7">
        <v>1</v>
      </c>
      <c r="L7">
        <v>6</v>
      </c>
      <c r="M7"/>
      <c r="N7" t="s">
        <v>13</v>
      </c>
      <c r="O7" s="1"/>
      <c r="P7">
        <v>2</v>
      </c>
    </row>
    <row r="8" spans="1:24" x14ac:dyDescent="0.25">
      <c r="A8">
        <f ca="1">IF(_372845237_asp[[#This Row],[instance]]&lt;OFFSET(_372845237_asp[[#This Row],[instance]],-1,0), OFFSET(_372845237_asp[[#This Row],[model]],-1,0)+1, OFFSET(_372845237_asp[[#This Row],[model]],-1,0))</f>
        <v>1</v>
      </c>
      <c r="B8">
        <v>6</v>
      </c>
      <c r="H8" s="5">
        <v>6.9444444444444441E-3</v>
      </c>
      <c r="I8" s="5">
        <v>4.7627314814814815E-3</v>
      </c>
      <c r="K8">
        <v>1</v>
      </c>
      <c r="L8">
        <v>7</v>
      </c>
      <c r="M8">
        <v>10.5</v>
      </c>
      <c r="N8" t="b">
        <v>1</v>
      </c>
      <c r="O8" s="1"/>
      <c r="Q8" s="2">
        <v>1</v>
      </c>
      <c r="R8" cm="1">
        <f t="array" aca="1" ref="R8" ca="1">_xlfn.MAXIFS(COL(bench,"wine"), COL(bench,"model"), $Q8, COL(bench,"instance"), INDEX($P:$P, ROW()-$Q8), COL(bench,"time"),"&lt;="&amp;R$1)</f>
        <v>0</v>
      </c>
      <c r="S8" cm="1">
        <f t="array" aca="1" ref="S8" ca="1">_xlfn.MAXIFS(COL(bench,"wine"), COL(bench,"model"), $Q8, COL(bench,"instance"), INDEX($P:$P, ROW()-$Q8), COL(bench,"time"),"&lt;="&amp;S$1)-SUM($R8:R8)</f>
        <v>0</v>
      </c>
      <c r="T8" cm="1">
        <f t="array" aca="1" ref="T8" ca="1">_xlfn.MAXIFS(COL(bench,"wine"), COL(bench,"model"), $Q8, COL(bench,"instance"), INDEX($P:$P, ROW()-$Q8), COL(bench,"time"),"&lt;="&amp;T$1)-SUM($R8:S8)</f>
        <v>0</v>
      </c>
      <c r="U8" cm="1">
        <f t="array" aca="1" ref="U8" ca="1">_xlfn.MAXIFS(COL(bench,"wine"), COL(bench,"model"), $Q8, COL(bench,"instance"), INDEX($P:$P, ROW()-$Q8), COL(bench,"time"),"&lt;="&amp;U$1)-SUM($R8:T8)</f>
        <v>0</v>
      </c>
      <c r="V8" cm="1">
        <f t="array" aca="1" ref="V8" ca="1">_xlfn.MAXIFS(COL(bench,"wine"), COL(bench,"model"), $Q8, COL(bench,"instance"), INDEX($P:$P, ROW()-$Q8), COL(bench,"time"),"&lt;="&amp;V$1)-SUM($R8:U8)</f>
        <v>0</v>
      </c>
      <c r="W8" t="e" cm="1">
        <f t="array" ref="W8" xml:space="preserve"> _xlfn.LET(
  _xlpm.idx, _xlfn.XMATCH(1,
      (COL(summary,"model")=$Q8)*(COL(summary,"instance")=INDEX($P:$P, ROW()-$Q8))*(COL(summary,"best")=TRUE)),
  IFERROR(INDEX(COL(summary,"objective"), _xlpm.idx), #N/A)
)</f>
        <v>#N/A</v>
      </c>
      <c r="X8" cm="1">
        <f t="array" ref="X8" xml:space="preserve"> _xlfn.LET(
  _xlpm.idx, _xlfn.XMATCH(1,
      (COL(summary,"model")=$Q8)*(COL(summary,"instance")=INDEX($P:$P, ROW()-$Q8))*(COL(summary,"best")="TIMEOUT")),
  IFERROR(INDEX(COL(summary,"objective"), _xlpm.idx), #N/A)
)</f>
        <v>0</v>
      </c>
    </row>
    <row r="9" spans="1:24" x14ac:dyDescent="0.25">
      <c r="A9">
        <f ca="1">IF(_372845237_asp[[#This Row],[instance]]&lt;OFFSET(_372845237_asp[[#This Row],[instance]],-1,0), OFFSET(_372845237_asp[[#This Row],[model]],-1,0)+1, OFFSET(_372845237_asp[[#This Row],[model]],-1,0))</f>
        <v>1</v>
      </c>
      <c r="B9">
        <v>7</v>
      </c>
      <c r="C9" s="5">
        <v>8.888888888888888E-5</v>
      </c>
      <c r="D9">
        <v>0</v>
      </c>
      <c r="E9">
        <v>0</v>
      </c>
      <c r="F9">
        <v>0</v>
      </c>
      <c r="G9" s="5">
        <v>8.4606481481481485E-5</v>
      </c>
      <c r="H9" s="5">
        <v>8.7037037037037039E-5</v>
      </c>
      <c r="I9" s="5">
        <v>4.7627314814814815E-3</v>
      </c>
      <c r="K9">
        <v>1</v>
      </c>
      <c r="L9">
        <v>8</v>
      </c>
      <c r="M9"/>
      <c r="N9" t="s">
        <v>13</v>
      </c>
      <c r="O9" s="1"/>
      <c r="Q9" s="2">
        <v>2</v>
      </c>
      <c r="R9" cm="1">
        <f t="array" aca="1" ref="R9" ca="1">_xlfn.MAXIFS(COL(bench,"wine"), COL(bench,"model"), $Q9, COL(bench,"instance"), INDEX($P:$P, ROW()-$Q9), COL(bench,"time"),"&lt;="&amp;R$1)</f>
        <v>0</v>
      </c>
      <c r="S9" cm="1">
        <f t="array" aca="1" ref="S9" ca="1">_xlfn.MAXIFS(COL(bench,"wine"), COL(bench,"model"), $Q9, COL(bench,"instance"), INDEX($P:$P, ROW()-$Q9), COL(bench,"time"),"&lt;="&amp;S$1)-SUM($R9:R9)</f>
        <v>0</v>
      </c>
      <c r="T9" cm="1">
        <f t="array" aca="1" ref="T9" ca="1">_xlfn.MAXIFS(COL(bench,"wine"), COL(bench,"model"), $Q9, COL(bench,"instance"), INDEX($P:$P, ROW()-$Q9), COL(bench,"time"),"&lt;="&amp;T$1)-SUM($R9:S9)</f>
        <v>0</v>
      </c>
      <c r="U9" cm="1">
        <f t="array" aca="1" ref="U9" ca="1">_xlfn.MAXIFS(COL(bench,"wine"), COL(bench,"model"), $Q9, COL(bench,"instance"), INDEX($P:$P, ROW()-$Q9), COL(bench,"time"),"&lt;="&amp;U$1)-SUM($R9:T9)</f>
        <v>0</v>
      </c>
      <c r="V9" cm="1">
        <f t="array" aca="1" ref="V9" ca="1">_xlfn.MAXIFS(COL(bench,"wine"), COL(bench,"model"), $Q9, COL(bench,"instance"), INDEX($P:$P, ROW()-$Q9), COL(bench,"time"),"&lt;="&amp;V$1)-SUM($R9:U9)</f>
        <v>0</v>
      </c>
      <c r="W9" t="e" cm="1">
        <f t="array" ref="W9" xml:space="preserve"> _xlfn.LET(
  _xlpm.idx, _xlfn.XMATCH(1,
      (COL(summary,"model")=$Q9)*(COL(summary,"instance")=INDEX($P:$P, ROW()-$Q9))*(COL(summary,"best")=TRUE)),
  IFERROR(INDEX(COL(summary,"objective"), _xlpm.idx), #N/A)
)</f>
        <v>#N/A</v>
      </c>
      <c r="X9" cm="1">
        <f t="array" ref="X9" xml:space="preserve"> _xlfn.LET(
  _xlpm.idx, _xlfn.XMATCH(1,
      (COL(summary,"model")=$Q9)*(COL(summary,"instance")=INDEX($P:$P, ROW()-$Q9))*(COL(summary,"best")="TIMEOUT")),
  IFERROR(INDEX(COL(summary,"objective"), _xlpm.idx), #N/A)
)</f>
        <v>0</v>
      </c>
    </row>
    <row r="10" spans="1:24" x14ac:dyDescent="0.25">
      <c r="A10">
        <f ca="1">IF(_372845237_asp[[#This Row],[instance]]&lt;OFFSET(_372845237_asp[[#This Row],[instance]],-1,0), OFFSET(_372845237_asp[[#This Row],[model]],-1,0)+1, OFFSET(_372845237_asp[[#This Row],[model]],-1,0))</f>
        <v>1</v>
      </c>
      <c r="B10">
        <v>7</v>
      </c>
      <c r="C10" s="5">
        <v>8.888888888888888E-5</v>
      </c>
      <c r="D10">
        <v>3</v>
      </c>
      <c r="E10">
        <v>1</v>
      </c>
      <c r="F10">
        <v>1</v>
      </c>
      <c r="G10" s="5">
        <v>8.4606481481481485E-5</v>
      </c>
      <c r="H10" s="5">
        <v>8.7037037037037039E-5</v>
      </c>
      <c r="I10" s="5">
        <v>4.7627314814814815E-3</v>
      </c>
      <c r="K10">
        <v>1</v>
      </c>
      <c r="L10">
        <v>9</v>
      </c>
      <c r="M10"/>
      <c r="N10" t="s">
        <v>13</v>
      </c>
      <c r="O10" s="1"/>
      <c r="Q10" s="2">
        <v>3</v>
      </c>
      <c r="R10" cm="1">
        <f t="array" aca="1" ref="R10" ca="1">_xlfn.MAXIFS(COL(bench,"wine"), COL(bench,"model"), $Q10, COL(bench,"instance"), INDEX($P:$P, ROW()-$Q10), COL(bench,"time"),"&lt;="&amp;R$1)</f>
        <v>0</v>
      </c>
      <c r="S10" cm="1">
        <f t="array" aca="1" ref="S10" ca="1">_xlfn.MAXIFS(COL(bench,"wine"), COL(bench,"model"), $Q10, COL(bench,"instance"), INDEX($P:$P, ROW()-$Q10), COL(bench,"time"),"&lt;="&amp;S$1)-SUM($R10:R10)</f>
        <v>0</v>
      </c>
      <c r="T10" cm="1">
        <f t="array" aca="1" ref="T10" ca="1">_xlfn.MAXIFS(COL(bench,"wine"), COL(bench,"model"), $Q10, COL(bench,"instance"), INDEX($P:$P, ROW()-$Q10), COL(bench,"time"),"&lt;="&amp;T$1)-SUM($R10:S10)</f>
        <v>0</v>
      </c>
      <c r="U10" cm="1">
        <f t="array" aca="1" ref="U10" ca="1">_xlfn.MAXIFS(COL(bench,"wine"), COL(bench,"model"), $Q10, COL(bench,"instance"), INDEX($P:$P, ROW()-$Q10), COL(bench,"time"),"&lt;="&amp;U$1)-SUM($R10:T10)</f>
        <v>0</v>
      </c>
      <c r="V10" cm="1">
        <f t="array" aca="1" ref="V10" ca="1">_xlfn.MAXIFS(COL(bench,"wine"), COL(bench,"model"), $Q10, COL(bench,"instance"), INDEX($P:$P, ROW()-$Q10), COL(bench,"time"),"&lt;="&amp;V$1)-SUM($R10:U10)</f>
        <v>0</v>
      </c>
      <c r="W10" t="e" cm="1">
        <f t="array" ref="W10" xml:space="preserve"> _xlfn.LET(
  _xlpm.idx, _xlfn.XMATCH(1,
      (COL(summary,"model")=$Q10)*(COL(summary,"instance")=INDEX($P:$P, ROW()-$Q10))*(COL(summary,"best")=TRUE)),
  IFERROR(INDEX(COL(summary,"objective"), _xlpm.idx), #N/A)
)</f>
        <v>#N/A</v>
      </c>
      <c r="X10" cm="1">
        <f t="array" ref="X10" xml:space="preserve"> _xlfn.LET(
  _xlpm.idx, _xlfn.XMATCH(1,
      (COL(summary,"model")=$Q10)*(COL(summary,"instance")=INDEX($P:$P, ROW()-$Q10))*(COL(summary,"best")="TIMEOUT")),
  IFERROR(INDEX(COL(summary,"objective"), _xlpm.idx), #N/A)
)</f>
        <v>0</v>
      </c>
    </row>
    <row r="11" spans="1:24" x14ac:dyDescent="0.25">
      <c r="A11">
        <f ca="1">IF(_372845237_asp[[#This Row],[instance]]&lt;OFFSET(_372845237_asp[[#This Row],[instance]],-1,0), OFFSET(_372845237_asp[[#This Row],[model]],-1,0)+1, OFFSET(_372845237_asp[[#This Row],[model]],-1,0))</f>
        <v>1</v>
      </c>
      <c r="B11">
        <v>7</v>
      </c>
      <c r="C11" s="5">
        <v>8.9120370370370373E-5</v>
      </c>
      <c r="D11">
        <v>4.125</v>
      </c>
      <c r="E11">
        <v>4</v>
      </c>
      <c r="F11">
        <v>2</v>
      </c>
      <c r="G11" s="5">
        <v>8.4606481481481485E-5</v>
      </c>
      <c r="H11" s="5">
        <v>8.7037037037037039E-5</v>
      </c>
      <c r="I11" s="5">
        <v>4.7627314814814815E-3</v>
      </c>
      <c r="K11">
        <v>1</v>
      </c>
      <c r="L11">
        <v>10</v>
      </c>
      <c r="M11"/>
      <c r="N11" t="s">
        <v>13</v>
      </c>
      <c r="O11" s="1"/>
    </row>
    <row r="12" spans="1:24" x14ac:dyDescent="0.25">
      <c r="A12">
        <f ca="1">IF(_372845237_asp[[#This Row],[instance]]&lt;OFFSET(_372845237_asp[[#This Row],[instance]],-1,0), OFFSET(_372845237_asp[[#This Row],[model]],-1,0)+1, OFFSET(_372845237_asp[[#This Row],[model]],-1,0))</f>
        <v>1</v>
      </c>
      <c r="B12">
        <v>7</v>
      </c>
      <c r="C12" s="5">
        <v>8.9120370370370373E-5</v>
      </c>
      <c r="D12">
        <v>7.125</v>
      </c>
      <c r="E12">
        <v>5</v>
      </c>
      <c r="F12">
        <v>3</v>
      </c>
      <c r="G12" s="5">
        <v>8.4606481481481485E-5</v>
      </c>
      <c r="H12" s="5">
        <v>8.7037037037037039E-5</v>
      </c>
      <c r="I12" s="5">
        <v>4.7627314814814815E-3</v>
      </c>
      <c r="K12">
        <v>1</v>
      </c>
      <c r="L12">
        <v>11</v>
      </c>
      <c r="M12">
        <v>3.75</v>
      </c>
      <c r="N12" t="b">
        <v>1</v>
      </c>
      <c r="O12" s="1"/>
      <c r="P12">
        <v>3</v>
      </c>
    </row>
    <row r="13" spans="1:24" x14ac:dyDescent="0.25">
      <c r="A13">
        <f ca="1">IF(_372845237_asp[[#This Row],[instance]]&lt;OFFSET(_372845237_asp[[#This Row],[instance]],-1,0), OFFSET(_372845237_asp[[#This Row],[model]],-1,0)+1, OFFSET(_372845237_asp[[#This Row],[model]],-1,0))</f>
        <v>1</v>
      </c>
      <c r="B13">
        <v>7</v>
      </c>
      <c r="C13" s="5">
        <v>8.9467592592592593E-5</v>
      </c>
      <c r="D13">
        <v>9</v>
      </c>
      <c r="E13">
        <v>3</v>
      </c>
      <c r="F13">
        <v>3</v>
      </c>
      <c r="G13" s="5">
        <v>8.4606481481481485E-5</v>
      </c>
      <c r="H13" s="5">
        <v>8.7037037037037039E-5</v>
      </c>
      <c r="I13" s="5">
        <v>4.7627314814814815E-3</v>
      </c>
      <c r="K13">
        <v>1</v>
      </c>
      <c r="L13">
        <v>12</v>
      </c>
      <c r="M13">
        <v>6</v>
      </c>
      <c r="N13" t="b">
        <v>1</v>
      </c>
      <c r="O13" s="1"/>
      <c r="Q13" s="2">
        <v>1</v>
      </c>
      <c r="R13" cm="1">
        <f t="array" aca="1" ref="R13" ca="1">_xlfn.MAXIFS(COL(bench,"wine"), COL(bench,"model"), $Q13, COL(bench,"instance"), INDEX($P:$P, ROW()-$Q13), COL(bench,"time"),"&lt;="&amp;R$1)</f>
        <v>0</v>
      </c>
      <c r="S13" cm="1">
        <f t="array" aca="1" ref="S13" ca="1">_xlfn.MAXIFS(COL(bench,"wine"), COL(bench,"model"), $Q13, COL(bench,"instance"), INDEX($P:$P, ROW()-$Q13), COL(bench,"time"),"&lt;="&amp;S$1)-SUM($R13:R13)</f>
        <v>0</v>
      </c>
      <c r="T13" cm="1">
        <f t="array" aca="1" ref="T13" ca="1">_xlfn.MAXIFS(COL(bench,"wine"), COL(bench,"model"), $Q13, COL(bench,"instance"), INDEX($P:$P, ROW()-$Q13), COL(bench,"time"),"&lt;="&amp;T$1)-SUM($R13:S13)</f>
        <v>0</v>
      </c>
      <c r="U13" cm="1">
        <f t="array" aca="1" ref="U13" ca="1">_xlfn.MAXIFS(COL(bench,"wine"), COL(bench,"model"), $Q13, COL(bench,"instance"), INDEX($P:$P, ROW()-$Q13), COL(bench,"time"),"&lt;="&amp;U$1)-SUM($R13:T13)</f>
        <v>0</v>
      </c>
      <c r="V13" cm="1">
        <f t="array" aca="1" ref="V13" ca="1">_xlfn.MAXIFS(COL(bench,"wine"), COL(bench,"model"), $Q13, COL(bench,"instance"), INDEX($P:$P, ROW()-$Q13), COL(bench,"time"),"&lt;="&amp;V$1)-SUM($R13:U13)</f>
        <v>0</v>
      </c>
      <c r="W13" t="e" cm="1">
        <f t="array" ref="W13" xml:space="preserve"> _xlfn.LET(
  _xlpm.idx, _xlfn.XMATCH(1,
      (COL(summary,"model")=$Q13)*(COL(summary,"instance")=INDEX($P:$P, ROW()-$Q13))*(COL(summary,"best")=TRUE)),
  IFERROR(INDEX(COL(summary,"objective"), _xlpm.idx), #N/A)
)</f>
        <v>#N/A</v>
      </c>
      <c r="X13" cm="1">
        <f t="array" ref="X13" xml:space="preserve"> _xlfn.LET(
  _xlpm.idx, _xlfn.XMATCH(1,
      (COL(summary,"model")=$Q13)*(COL(summary,"instance")=INDEX($P:$P, ROW()-$Q13))*(COL(summary,"best")="TIMEOUT")),
  IFERROR(INDEX(COL(summary,"objective"), _xlpm.idx), #N/A)
)</f>
        <v>0</v>
      </c>
    </row>
    <row r="14" spans="1:24" x14ac:dyDescent="0.25">
      <c r="A14">
        <f ca="1">IF(_372845237_asp[[#This Row],[instance]]&lt;OFFSET(_372845237_asp[[#This Row],[instance]],-1,0), OFFSET(_372845237_asp[[#This Row],[model]],-1,0)+1, OFFSET(_372845237_asp[[#This Row],[model]],-1,0))</f>
        <v>1</v>
      </c>
      <c r="B14">
        <v>7</v>
      </c>
      <c r="C14" s="5">
        <v>8.9583333333333333E-5</v>
      </c>
      <c r="D14">
        <v>10.125</v>
      </c>
      <c r="E14">
        <v>6</v>
      </c>
      <c r="F14">
        <v>4</v>
      </c>
      <c r="G14" s="5">
        <v>8.4606481481481485E-5</v>
      </c>
      <c r="H14" s="5">
        <v>8.7037037037037039E-5</v>
      </c>
      <c r="I14" s="5">
        <v>4.7627314814814815E-3</v>
      </c>
      <c r="K14">
        <v>1</v>
      </c>
      <c r="L14">
        <v>13</v>
      </c>
      <c r="M14">
        <v>0</v>
      </c>
      <c r="N14" t="b">
        <v>1</v>
      </c>
      <c r="O14" s="1"/>
      <c r="Q14" s="2">
        <v>2</v>
      </c>
      <c r="R14" cm="1">
        <f t="array" aca="1" ref="R14" ca="1">_xlfn.MAXIFS(COL(bench,"wine"), COL(bench,"model"), $Q14, COL(bench,"instance"), INDEX($P:$P, ROW()-$Q14), COL(bench,"time"),"&lt;="&amp;R$1)</f>
        <v>0</v>
      </c>
      <c r="S14" cm="1">
        <f t="array" aca="1" ref="S14" ca="1">_xlfn.MAXIFS(COL(bench,"wine"), COL(bench,"model"), $Q14, COL(bench,"instance"), INDEX($P:$P, ROW()-$Q14), COL(bench,"time"),"&lt;="&amp;S$1)-SUM($R14:R14)</f>
        <v>0</v>
      </c>
      <c r="T14" cm="1">
        <f t="array" aca="1" ref="T14" ca="1">_xlfn.MAXIFS(COL(bench,"wine"), COL(bench,"model"), $Q14, COL(bench,"instance"), INDEX($P:$P, ROW()-$Q14), COL(bench,"time"),"&lt;="&amp;T$1)-SUM($R14:S14)</f>
        <v>0</v>
      </c>
      <c r="U14" cm="1">
        <f t="array" aca="1" ref="U14" ca="1">_xlfn.MAXIFS(COL(bench,"wine"), COL(bench,"model"), $Q14, COL(bench,"instance"), INDEX($P:$P, ROW()-$Q14), COL(bench,"time"),"&lt;="&amp;U$1)-SUM($R14:T14)</f>
        <v>0</v>
      </c>
      <c r="V14" cm="1">
        <f t="array" aca="1" ref="V14" ca="1">_xlfn.MAXIFS(COL(bench,"wine"), COL(bench,"model"), $Q14, COL(bench,"instance"), INDEX($P:$P, ROW()-$Q14), COL(bench,"time"),"&lt;="&amp;V$1)-SUM($R14:U14)</f>
        <v>0</v>
      </c>
      <c r="W14" t="e" cm="1">
        <f t="array" ref="W14" xml:space="preserve"> _xlfn.LET(
  _xlpm.idx, _xlfn.XMATCH(1,
      (COL(summary,"model")=$Q14)*(COL(summary,"instance")=INDEX($P:$P, ROW()-$Q14))*(COL(summary,"best")=TRUE)),
  IFERROR(INDEX(COL(summary,"objective"), _xlpm.idx), #N/A)
)</f>
        <v>#N/A</v>
      </c>
      <c r="X14" cm="1">
        <f t="array" ref="X14" xml:space="preserve"> _xlfn.LET(
  _xlpm.idx, _xlfn.XMATCH(1,
      (COL(summary,"model")=$Q14)*(COL(summary,"instance")=INDEX($P:$P, ROW()-$Q14))*(COL(summary,"best")="TIMEOUT")),
  IFERROR(INDEX(COL(summary,"objective"), _xlpm.idx), #N/A)
)</f>
        <v>0</v>
      </c>
    </row>
    <row r="15" spans="1:24" x14ac:dyDescent="0.25">
      <c r="A15">
        <f ca="1">IF(_372845237_asp[[#This Row],[instance]]&lt;OFFSET(_372845237_asp[[#This Row],[instance]],-1,0), OFFSET(_372845237_asp[[#This Row],[model]],-1,0)+1, OFFSET(_372845237_asp[[#This Row],[model]],-1,0))</f>
        <v>1</v>
      </c>
      <c r="B15">
        <v>7</v>
      </c>
      <c r="C15" s="5">
        <v>9.0046296296296294E-5</v>
      </c>
      <c r="D15">
        <v>10.5</v>
      </c>
      <c r="E15">
        <v>7</v>
      </c>
      <c r="F15">
        <v>4</v>
      </c>
      <c r="G15" s="5">
        <v>8.4606481481481485E-5</v>
      </c>
      <c r="H15" s="5">
        <v>8.7037037037037039E-5</v>
      </c>
      <c r="I15" s="5">
        <v>4.7627314814814815E-3</v>
      </c>
      <c r="K15">
        <v>1</v>
      </c>
      <c r="L15">
        <v>14</v>
      </c>
      <c r="M15">
        <v>0</v>
      </c>
      <c r="N15" t="b">
        <v>1</v>
      </c>
      <c r="O15" s="1"/>
      <c r="Q15" s="2">
        <v>3</v>
      </c>
      <c r="R15" cm="1">
        <f t="array" aca="1" ref="R15" ca="1">_xlfn.MAXIFS(COL(bench,"wine"), COL(bench,"model"), $Q15, COL(bench,"instance"), INDEX($P:$P, ROW()-$Q15), COL(bench,"time"),"&lt;="&amp;R$1)</f>
        <v>0</v>
      </c>
      <c r="S15" cm="1">
        <f t="array" aca="1" ref="S15" ca="1">_xlfn.MAXIFS(COL(bench,"wine"), COL(bench,"model"), $Q15, COL(bench,"instance"), INDEX($P:$P, ROW()-$Q15), COL(bench,"time"),"&lt;="&amp;S$1)-SUM($R15:R15)</f>
        <v>0</v>
      </c>
      <c r="T15" cm="1">
        <f t="array" aca="1" ref="T15" ca="1">_xlfn.MAXIFS(COL(bench,"wine"), COL(bench,"model"), $Q15, COL(bench,"instance"), INDEX($P:$P, ROW()-$Q15), COL(bench,"time"),"&lt;="&amp;T$1)-SUM($R15:S15)</f>
        <v>0</v>
      </c>
      <c r="U15" cm="1">
        <f t="array" aca="1" ref="U15" ca="1">_xlfn.MAXIFS(COL(bench,"wine"), COL(bench,"model"), $Q15, COL(bench,"instance"), INDEX($P:$P, ROW()-$Q15), COL(bench,"time"),"&lt;="&amp;U$1)-SUM($R15:T15)</f>
        <v>0</v>
      </c>
      <c r="V15" cm="1">
        <f t="array" aca="1" ref="V15" ca="1">_xlfn.MAXIFS(COL(bench,"wine"), COL(bench,"model"), $Q15, COL(bench,"instance"), INDEX($P:$P, ROW()-$Q15), COL(bench,"time"),"&lt;="&amp;V$1)-SUM($R15:U15)</f>
        <v>0</v>
      </c>
      <c r="W15" t="e" cm="1">
        <f t="array" ref="W15" xml:space="preserve"> _xlfn.LET(
  _xlpm.idx, _xlfn.XMATCH(1,
      (COL(summary,"model")=$Q15)*(COL(summary,"instance")=INDEX($P:$P, ROW()-$Q15))*(COL(summary,"best")=TRUE)),
  IFERROR(INDEX(COL(summary,"objective"), _xlpm.idx), #N/A)
)</f>
        <v>#N/A</v>
      </c>
      <c r="X15" cm="1">
        <f t="array" ref="X15" xml:space="preserve"> _xlfn.LET(
  _xlpm.idx, _xlfn.XMATCH(1,
      (COL(summary,"model")=$Q15)*(COL(summary,"instance")=INDEX($P:$P, ROW()-$Q15))*(COL(summary,"best")="TIMEOUT")),
  IFERROR(INDEX(COL(summary,"objective"), _xlpm.idx), #N/A)
)</f>
        <v>0</v>
      </c>
    </row>
    <row r="16" spans="1:24" x14ac:dyDescent="0.25">
      <c r="A16">
        <f ca="1">IF(_372845237_asp[[#This Row],[instance]]&lt;OFFSET(_372845237_asp[[#This Row],[instance]],-1,0), OFFSET(_372845237_asp[[#This Row],[model]],-1,0)+1, OFFSET(_372845237_asp[[#This Row],[model]],-1,0))</f>
        <v>1</v>
      </c>
      <c r="B16">
        <v>8</v>
      </c>
      <c r="H16" s="5">
        <v>6.9444444444444441E-3</v>
      </c>
      <c r="I16" s="5">
        <v>4.7627314814814815E-3</v>
      </c>
      <c r="K16">
        <v>1</v>
      </c>
      <c r="L16">
        <v>15</v>
      </c>
      <c r="M16"/>
      <c r="N16" t="s">
        <v>13</v>
      </c>
      <c r="O16" s="1"/>
    </row>
    <row r="17" spans="1:24" x14ac:dyDescent="0.25">
      <c r="A17">
        <f ca="1">IF(_372845237_asp[[#This Row],[instance]]&lt;OFFSET(_372845237_asp[[#This Row],[instance]],-1,0), OFFSET(_372845237_asp[[#This Row],[model]],-1,0)+1, OFFSET(_372845237_asp[[#This Row],[model]],-1,0))</f>
        <v>1</v>
      </c>
      <c r="B17">
        <v>9</v>
      </c>
      <c r="H17" s="5">
        <v>6.9444444444444441E-3</v>
      </c>
      <c r="I17" s="5">
        <v>4.7627314814814815E-3</v>
      </c>
      <c r="K17">
        <v>2</v>
      </c>
      <c r="L17">
        <v>1</v>
      </c>
      <c r="M17"/>
      <c r="N17" t="s">
        <v>13</v>
      </c>
      <c r="O17" s="1"/>
      <c r="P17">
        <v>4</v>
      </c>
    </row>
    <row r="18" spans="1:24" x14ac:dyDescent="0.25">
      <c r="A18">
        <f ca="1">IF(_372845237_asp[[#This Row],[instance]]&lt;OFFSET(_372845237_asp[[#This Row],[instance]],-1,0), OFFSET(_372845237_asp[[#This Row],[model]],-1,0)+1, OFFSET(_372845237_asp[[#This Row],[model]],-1,0))</f>
        <v>1</v>
      </c>
      <c r="B18">
        <v>10</v>
      </c>
      <c r="H18" s="5">
        <v>6.9444444444444441E-3</v>
      </c>
      <c r="I18" s="5">
        <v>4.7627314814814815E-3</v>
      </c>
      <c r="K18">
        <v>2</v>
      </c>
      <c r="L18">
        <v>2</v>
      </c>
      <c r="M18"/>
      <c r="N18" t="s">
        <v>13</v>
      </c>
      <c r="O18" s="1"/>
      <c r="Q18" s="2">
        <v>1</v>
      </c>
      <c r="R18" cm="1">
        <f t="array" aca="1" ref="R18" ca="1">_xlfn.MAXIFS(COL(bench,"wine"), COL(bench,"model"), $Q18, COL(bench,"instance"), INDEX($P:$P, ROW()-$Q18), COL(bench,"time"),"&lt;="&amp;R$1)</f>
        <v>0</v>
      </c>
      <c r="S18" cm="1">
        <f t="array" aca="1" ref="S18" ca="1">_xlfn.MAXIFS(COL(bench,"wine"), COL(bench,"model"), $Q18, COL(bench,"instance"), INDEX($P:$P, ROW()-$Q18), COL(bench,"time"),"&lt;="&amp;S$1)-SUM($R18:R18)</f>
        <v>0</v>
      </c>
      <c r="T18" cm="1">
        <f t="array" aca="1" ref="T18" ca="1">_xlfn.MAXIFS(COL(bench,"wine"), COL(bench,"model"), $Q18, COL(bench,"instance"), INDEX($P:$P, ROW()-$Q18), COL(bench,"time"),"&lt;="&amp;T$1)-SUM($R18:S18)</f>
        <v>0</v>
      </c>
      <c r="U18" cm="1">
        <f t="array" aca="1" ref="U18" ca="1">_xlfn.MAXIFS(COL(bench,"wine"), COL(bench,"model"), $Q18, COL(bench,"instance"), INDEX($P:$P, ROW()-$Q18), COL(bench,"time"),"&lt;="&amp;U$1)-SUM($R18:T18)</f>
        <v>0</v>
      </c>
      <c r="V18" cm="1">
        <f t="array" aca="1" ref="V18" ca="1">_xlfn.MAXIFS(COL(bench,"wine"), COL(bench,"model"), $Q18, COL(bench,"instance"), INDEX($P:$P, ROW()-$Q18), COL(bench,"time"),"&lt;="&amp;V$1)-SUM($R18:U18)</f>
        <v>0</v>
      </c>
      <c r="W18" t="e" cm="1">
        <f t="array" ref="W18" xml:space="preserve"> _xlfn.LET(
  _xlpm.idx, _xlfn.XMATCH(1,
      (COL(summary,"model")=$Q18)*(COL(summary,"instance")=INDEX($P:$P, ROW()-$Q18))*(COL(summary,"best")=TRUE)),
  IFERROR(INDEX(COL(summary,"objective"), _xlpm.idx), #N/A)
)</f>
        <v>#N/A</v>
      </c>
      <c r="X18" cm="1">
        <f t="array" ref="X18" xml:space="preserve"> _xlfn.LET(
  _xlpm.idx, _xlfn.XMATCH(1,
      (COL(summary,"model")=$Q18)*(COL(summary,"instance")=INDEX($P:$P, ROW()-$Q18))*(COL(summary,"best")="TIMEOUT")),
  IFERROR(INDEX(COL(summary,"objective"), _xlpm.idx), #N/A)
)</f>
        <v>0</v>
      </c>
    </row>
    <row r="19" spans="1:24" x14ac:dyDescent="0.25">
      <c r="A19">
        <f ca="1">IF(_372845237_asp[[#This Row],[instance]]&lt;OFFSET(_372845237_asp[[#This Row],[instance]],-1,0), OFFSET(_372845237_asp[[#This Row],[model]],-1,0)+1, OFFSET(_372845237_asp[[#This Row],[model]],-1,0))</f>
        <v>1</v>
      </c>
      <c r="B19">
        <v>11</v>
      </c>
      <c r="C19" s="5">
        <v>1.2165509259259258E-3</v>
      </c>
      <c r="D19">
        <v>0</v>
      </c>
      <c r="E19">
        <v>0</v>
      </c>
      <c r="F19">
        <v>0</v>
      </c>
      <c r="G19" s="5">
        <v>1.2119212962962962E-3</v>
      </c>
      <c r="H19" s="5">
        <v>1.2145833333333334E-3</v>
      </c>
      <c r="I19" s="5">
        <v>4.7627314814814815E-3</v>
      </c>
      <c r="K19">
        <v>2</v>
      </c>
      <c r="L19">
        <v>3</v>
      </c>
      <c r="M19"/>
      <c r="N19" t="s">
        <v>13</v>
      </c>
      <c r="O19" s="1"/>
      <c r="Q19" s="2">
        <v>2</v>
      </c>
      <c r="R19" cm="1">
        <f t="array" aca="1" ref="R19" ca="1">_xlfn.MAXIFS(COL(bench,"wine"), COL(bench,"model"), $Q19, COL(bench,"instance"), INDEX($P:$P, ROW()-$Q19), COL(bench,"time"),"&lt;="&amp;R$1)</f>
        <v>0</v>
      </c>
      <c r="S19" cm="1">
        <f t="array" aca="1" ref="S19" ca="1">_xlfn.MAXIFS(COL(bench,"wine"), COL(bench,"model"), $Q19, COL(bench,"instance"), INDEX($P:$P, ROW()-$Q19), COL(bench,"time"),"&lt;="&amp;S$1)-SUM($R19:R19)</f>
        <v>0</v>
      </c>
      <c r="T19" cm="1">
        <f t="array" aca="1" ref="T19" ca="1">_xlfn.MAXIFS(COL(bench,"wine"), COL(bench,"model"), $Q19, COL(bench,"instance"), INDEX($P:$P, ROW()-$Q19), COL(bench,"time"),"&lt;="&amp;T$1)-SUM($R19:S19)</f>
        <v>0</v>
      </c>
      <c r="U19" cm="1">
        <f t="array" aca="1" ref="U19" ca="1">_xlfn.MAXIFS(COL(bench,"wine"), COL(bench,"model"), $Q19, COL(bench,"instance"), INDEX($P:$P, ROW()-$Q19), COL(bench,"time"),"&lt;="&amp;U$1)-SUM($R19:T19)</f>
        <v>0</v>
      </c>
      <c r="V19" cm="1">
        <f t="array" aca="1" ref="V19" ca="1">_xlfn.MAXIFS(COL(bench,"wine"), COL(bench,"model"), $Q19, COL(bench,"instance"), INDEX($P:$P, ROW()-$Q19), COL(bench,"time"),"&lt;="&amp;V$1)-SUM($R19:U19)</f>
        <v>0</v>
      </c>
      <c r="W19" t="e" cm="1">
        <f t="array" ref="W19" xml:space="preserve"> _xlfn.LET(
  _xlpm.idx, _xlfn.XMATCH(1,
      (COL(summary,"model")=$Q19)*(COL(summary,"instance")=INDEX($P:$P, ROW()-$Q19))*(COL(summary,"best")=TRUE)),
  IFERROR(INDEX(COL(summary,"objective"), _xlpm.idx), #N/A)
)</f>
        <v>#N/A</v>
      </c>
      <c r="X19" cm="1">
        <f t="array" ref="X19" xml:space="preserve"> _xlfn.LET(
  _xlpm.idx, _xlfn.XMATCH(1,
      (COL(summary,"model")=$Q19)*(COL(summary,"instance")=INDEX($P:$P, ROW()-$Q19))*(COL(summary,"best")="TIMEOUT")),
  IFERROR(INDEX(COL(summary,"objective"), _xlpm.idx), #N/A)
)</f>
        <v>0</v>
      </c>
    </row>
    <row r="20" spans="1:24" x14ac:dyDescent="0.25">
      <c r="A20">
        <f ca="1">IF(_372845237_asp[[#This Row],[instance]]&lt;OFFSET(_372845237_asp[[#This Row],[instance]],-1,0), OFFSET(_372845237_asp[[#This Row],[model]],-1,0)+1, OFFSET(_372845237_asp[[#This Row],[model]],-1,0))</f>
        <v>1</v>
      </c>
      <c r="B20">
        <v>11</v>
      </c>
      <c r="C20" s="5">
        <v>1.2165509259259258E-3</v>
      </c>
      <c r="D20">
        <v>3</v>
      </c>
      <c r="E20">
        <v>4</v>
      </c>
      <c r="F20">
        <v>1</v>
      </c>
      <c r="G20" s="5">
        <v>1.2119212962962962E-3</v>
      </c>
      <c r="H20" s="5">
        <v>1.2145833333333334E-3</v>
      </c>
      <c r="I20" s="5">
        <v>4.7627314814814815E-3</v>
      </c>
      <c r="K20">
        <v>2</v>
      </c>
      <c r="L20">
        <v>4</v>
      </c>
      <c r="M20"/>
      <c r="N20" t="s">
        <v>13</v>
      </c>
      <c r="O20" s="1"/>
      <c r="Q20" s="2">
        <v>3</v>
      </c>
      <c r="R20" cm="1">
        <f t="array" aca="1" ref="R20" ca="1">_xlfn.MAXIFS(COL(bench,"wine"), COL(bench,"model"), $Q20, COL(bench,"instance"), INDEX($P:$P, ROW()-$Q20), COL(bench,"time"),"&lt;="&amp;R$1)</f>
        <v>0</v>
      </c>
      <c r="S20" cm="1">
        <f t="array" aca="1" ref="S20" ca="1">_xlfn.MAXIFS(COL(bench,"wine"), COL(bench,"model"), $Q20, COL(bench,"instance"), INDEX($P:$P, ROW()-$Q20), COL(bench,"time"),"&lt;="&amp;S$1)-SUM($R20:R20)</f>
        <v>0</v>
      </c>
      <c r="T20" cm="1">
        <f t="array" aca="1" ref="T20" ca="1">_xlfn.MAXIFS(COL(bench,"wine"), COL(bench,"model"), $Q20, COL(bench,"instance"), INDEX($P:$P, ROW()-$Q20), COL(bench,"time"),"&lt;="&amp;T$1)-SUM($R20:S20)</f>
        <v>0</v>
      </c>
      <c r="U20" cm="1">
        <f t="array" aca="1" ref="U20" ca="1">_xlfn.MAXIFS(COL(bench,"wine"), COL(bench,"model"), $Q20, COL(bench,"instance"), INDEX($P:$P, ROW()-$Q20), COL(bench,"time"),"&lt;="&amp;U$1)-SUM($R20:T20)</f>
        <v>0</v>
      </c>
      <c r="V20" cm="1">
        <f t="array" aca="1" ref="V20" ca="1">_xlfn.MAXIFS(COL(bench,"wine"), COL(bench,"model"), $Q20, COL(bench,"instance"), INDEX($P:$P, ROW()-$Q20), COL(bench,"time"),"&lt;="&amp;V$1)-SUM($R20:U20)</f>
        <v>0</v>
      </c>
      <c r="W20" t="e" cm="1">
        <f t="array" ref="W20" xml:space="preserve"> _xlfn.LET(
  _xlpm.idx, _xlfn.XMATCH(1,
      (COL(summary,"model")=$Q20)*(COL(summary,"instance")=INDEX($P:$P, ROW()-$Q20))*(COL(summary,"best")=TRUE)),
  IFERROR(INDEX(COL(summary,"objective"), _xlpm.idx), #N/A)
)</f>
        <v>#N/A</v>
      </c>
      <c r="X20" cm="1">
        <f t="array" ref="X20" xml:space="preserve"> _xlfn.LET(
  _xlpm.idx, _xlfn.XMATCH(1,
      (COL(summary,"model")=$Q20)*(COL(summary,"instance")=INDEX($P:$P, ROW()-$Q20))*(COL(summary,"best")="TIMEOUT")),
  IFERROR(INDEX(COL(summary,"objective"), _xlpm.idx), #N/A)
)</f>
        <v>0</v>
      </c>
    </row>
    <row r="21" spans="1:24" x14ac:dyDescent="0.25">
      <c r="A21">
        <f ca="1">IF(_372845237_asp[[#This Row],[instance]]&lt;OFFSET(_372845237_asp[[#This Row],[instance]],-1,0), OFFSET(_372845237_asp[[#This Row],[model]],-1,0)+1, OFFSET(_372845237_asp[[#This Row],[model]],-1,0))</f>
        <v>1</v>
      </c>
      <c r="B21">
        <v>11</v>
      </c>
      <c r="C21" s="5">
        <v>1.2165509259259258E-3</v>
      </c>
      <c r="D21">
        <v>3.375</v>
      </c>
      <c r="E21">
        <v>5</v>
      </c>
      <c r="F21">
        <v>1</v>
      </c>
      <c r="G21" s="5">
        <v>1.2119212962962962E-3</v>
      </c>
      <c r="H21" s="5">
        <v>1.2145833333333334E-3</v>
      </c>
      <c r="I21" s="5">
        <v>4.7627314814814815E-3</v>
      </c>
      <c r="K21">
        <v>2</v>
      </c>
      <c r="L21">
        <v>5</v>
      </c>
      <c r="M21">
        <v>2.625</v>
      </c>
      <c r="N21" t="b">
        <v>1</v>
      </c>
      <c r="O21" s="1"/>
    </row>
    <row r="22" spans="1:24" x14ac:dyDescent="0.25">
      <c r="A22">
        <f ca="1">IF(_372845237_asp[[#This Row],[instance]]&lt;OFFSET(_372845237_asp[[#This Row],[instance]],-1,0), OFFSET(_372845237_asp[[#This Row],[model]],-1,0)+1, OFFSET(_372845237_asp[[#This Row],[model]],-1,0))</f>
        <v>1</v>
      </c>
      <c r="B22">
        <v>11</v>
      </c>
      <c r="C22" s="5">
        <v>1.2165509259259258E-3</v>
      </c>
      <c r="D22">
        <v>3.75</v>
      </c>
      <c r="E22">
        <v>6</v>
      </c>
      <c r="F22">
        <v>1</v>
      </c>
      <c r="G22" s="5">
        <v>1.2119212962962962E-3</v>
      </c>
      <c r="H22" s="5">
        <v>1.2145833333333334E-3</v>
      </c>
      <c r="I22" s="5">
        <v>4.7627314814814815E-3</v>
      </c>
      <c r="K22">
        <v>2</v>
      </c>
      <c r="L22">
        <v>6</v>
      </c>
      <c r="M22"/>
      <c r="N22" t="s">
        <v>13</v>
      </c>
      <c r="O22" s="1"/>
      <c r="P22">
        <v>5</v>
      </c>
    </row>
    <row r="23" spans="1:24" x14ac:dyDescent="0.25">
      <c r="A23">
        <f ca="1">IF(_372845237_asp[[#This Row],[instance]]&lt;OFFSET(_372845237_asp[[#This Row],[instance]],-1,0), OFFSET(_372845237_asp[[#This Row],[model]],-1,0)+1, OFFSET(_372845237_asp[[#This Row],[model]],-1,0))</f>
        <v>1</v>
      </c>
      <c r="B23">
        <v>12</v>
      </c>
      <c r="C23" s="5">
        <v>4.0624999999999998E-5</v>
      </c>
      <c r="D23">
        <v>0</v>
      </c>
      <c r="E23">
        <v>0</v>
      </c>
      <c r="F23">
        <v>0</v>
      </c>
      <c r="G23" s="5">
        <v>3.6226851851851849E-5</v>
      </c>
      <c r="H23" s="5">
        <v>3.8078703703703704E-5</v>
      </c>
      <c r="I23" s="5">
        <v>4.7627314814814815E-3</v>
      </c>
      <c r="K23">
        <v>2</v>
      </c>
      <c r="L23">
        <v>7</v>
      </c>
      <c r="M23">
        <v>10.5</v>
      </c>
      <c r="N23" t="b">
        <v>1</v>
      </c>
      <c r="O23" s="1"/>
      <c r="Q23" s="2">
        <v>1</v>
      </c>
      <c r="R23" cm="1">
        <f t="array" aca="1" ref="R23" ca="1">_xlfn.MAXIFS(COL(bench,"wine"), COL(bench,"model"), $Q23, COL(bench,"instance"), INDEX($P:$P, ROW()-$Q23), COL(bench,"time"),"&lt;="&amp;R$1)</f>
        <v>0</v>
      </c>
      <c r="S23" cm="1">
        <f t="array" aca="1" ref="S23" ca="1">_xlfn.MAXIFS(COL(bench,"wine"), COL(bench,"model"), $Q23, COL(bench,"instance"), INDEX($P:$P, ROW()-$Q23), COL(bench,"time"),"&lt;="&amp;S$1)-SUM($R23:R23)</f>
        <v>0</v>
      </c>
      <c r="T23" cm="1">
        <f t="array" aca="1" ref="T23" ca="1">_xlfn.MAXIFS(COL(bench,"wine"), COL(bench,"model"), $Q23, COL(bench,"instance"), INDEX($P:$P, ROW()-$Q23), COL(bench,"time"),"&lt;="&amp;T$1)-SUM($R23:S23)</f>
        <v>0</v>
      </c>
      <c r="U23" cm="1">
        <f t="array" aca="1" ref="U23" ca="1">_xlfn.MAXIFS(COL(bench,"wine"), COL(bench,"model"), $Q23, COL(bench,"instance"), INDEX($P:$P, ROW()-$Q23), COL(bench,"time"),"&lt;="&amp;U$1)-SUM($R23:T23)</f>
        <v>2.625</v>
      </c>
      <c r="V23" cm="1">
        <f t="array" aca="1" ref="V23" ca="1">_xlfn.MAXIFS(COL(bench,"wine"), COL(bench,"model"), $Q23, COL(bench,"instance"), INDEX($P:$P, ROW()-$Q23), COL(bench,"time"),"&lt;="&amp;V$1)-SUM($R23:U23)</f>
        <v>0</v>
      </c>
      <c r="W23" cm="1">
        <f t="array" ref="W23" xml:space="preserve"> _xlfn.LET(
  _xlpm.idx, _xlfn.XMATCH(1,
      (COL(summary,"model")=$Q23)*(COL(summary,"instance")=INDEX($P:$P, ROW()-$Q23))*(COL(summary,"best")=TRUE)),
  IFERROR(INDEX(COL(summary,"objective"), _xlpm.idx), #N/A)
)</f>
        <v>2.625</v>
      </c>
      <c r="X23" t="e" cm="1">
        <f t="array" ref="X23" xml:space="preserve"> _xlfn.LET(
  _xlpm.idx, _xlfn.XMATCH(1,
      (COL(summary,"model")=$Q23)*(COL(summary,"instance")=INDEX($P:$P, ROW()-$Q23))*(COL(summary,"best")="TIMEOUT")),
  IFERROR(INDEX(COL(summary,"objective"), _xlpm.idx), #N/A)
)</f>
        <v>#N/A</v>
      </c>
    </row>
    <row r="24" spans="1:24" x14ac:dyDescent="0.25">
      <c r="A24">
        <f ca="1">IF(_372845237_asp[[#This Row],[instance]]&lt;OFFSET(_372845237_asp[[#This Row],[instance]],-1,0), OFFSET(_372845237_asp[[#This Row],[model]],-1,0)+1, OFFSET(_372845237_asp[[#This Row],[model]],-1,0))</f>
        <v>1</v>
      </c>
      <c r="B24">
        <v>12</v>
      </c>
      <c r="C24" s="5">
        <v>4.0624999999999998E-5</v>
      </c>
      <c r="D24">
        <v>3</v>
      </c>
      <c r="E24">
        <v>1</v>
      </c>
      <c r="F24">
        <v>1</v>
      </c>
      <c r="G24" s="5">
        <v>3.6226851851851849E-5</v>
      </c>
      <c r="H24" s="5">
        <v>3.8078703703703704E-5</v>
      </c>
      <c r="I24" s="5">
        <v>4.7627314814814815E-3</v>
      </c>
      <c r="K24">
        <v>2</v>
      </c>
      <c r="L24">
        <v>8</v>
      </c>
      <c r="M24"/>
      <c r="N24" t="s">
        <v>13</v>
      </c>
      <c r="O24" s="1"/>
      <c r="Q24" s="2">
        <v>2</v>
      </c>
      <c r="R24" cm="1">
        <f t="array" aca="1" ref="R24" ca="1">_xlfn.MAXIFS(COL(bench,"wine"), COL(bench,"model"), $Q24, COL(bench,"instance"), INDEX($P:$P, ROW()-$Q24), COL(bench,"time"),"&lt;="&amp;R$1)</f>
        <v>0</v>
      </c>
      <c r="S24" cm="1">
        <f t="array" aca="1" ref="S24" ca="1">_xlfn.MAXIFS(COL(bench,"wine"), COL(bench,"model"), $Q24, COL(bench,"instance"), INDEX($P:$P, ROW()-$Q24), COL(bench,"time"),"&lt;="&amp;S$1)-SUM($R24:R24)</f>
        <v>0</v>
      </c>
      <c r="T24" cm="1">
        <f t="array" aca="1" ref="T24" ca="1">_xlfn.MAXIFS(COL(bench,"wine"), COL(bench,"model"), $Q24, COL(bench,"instance"), INDEX($P:$P, ROW()-$Q24), COL(bench,"time"),"&lt;="&amp;T$1)-SUM($R24:S24)</f>
        <v>0</v>
      </c>
      <c r="U24" cm="1">
        <f t="array" aca="1" ref="U24" ca="1">_xlfn.MAXIFS(COL(bench,"wine"), COL(bench,"model"), $Q24, COL(bench,"instance"), INDEX($P:$P, ROW()-$Q24), COL(bench,"time"),"&lt;="&amp;U$1)-SUM($R24:T24)</f>
        <v>2.625</v>
      </c>
      <c r="V24" cm="1">
        <f t="array" aca="1" ref="V24" ca="1">_xlfn.MAXIFS(COL(bench,"wine"), COL(bench,"model"), $Q24, COL(bench,"instance"), INDEX($P:$P, ROW()-$Q24), COL(bench,"time"),"&lt;="&amp;V$1)-SUM($R24:U24)</f>
        <v>0</v>
      </c>
      <c r="W24" cm="1">
        <f t="array" ref="W24" xml:space="preserve"> _xlfn.LET(
  _xlpm.idx, _xlfn.XMATCH(1,
      (COL(summary,"model")=$Q24)*(COL(summary,"instance")=INDEX($P:$P, ROW()-$Q24))*(COL(summary,"best")=TRUE)),
  IFERROR(INDEX(COL(summary,"objective"), _xlpm.idx), #N/A)
)</f>
        <v>2.625</v>
      </c>
      <c r="X24" t="e" cm="1">
        <f t="array" ref="X24" xml:space="preserve"> _xlfn.LET(
  _xlpm.idx, _xlfn.XMATCH(1,
      (COL(summary,"model")=$Q24)*(COL(summary,"instance")=INDEX($P:$P, ROW()-$Q24))*(COL(summary,"best")="TIMEOUT")),
  IFERROR(INDEX(COL(summary,"objective"), _xlpm.idx), #N/A)
)</f>
        <v>#N/A</v>
      </c>
    </row>
    <row r="25" spans="1:24" x14ac:dyDescent="0.25">
      <c r="A25">
        <f ca="1">IF(_372845237_asp[[#This Row],[instance]]&lt;OFFSET(_372845237_asp[[#This Row],[instance]],-1,0), OFFSET(_372845237_asp[[#This Row],[model]],-1,0)+1, OFFSET(_372845237_asp[[#This Row],[model]],-1,0))</f>
        <v>1</v>
      </c>
      <c r="B25">
        <v>12</v>
      </c>
      <c r="C25" s="5">
        <v>4.0624999999999998E-5</v>
      </c>
      <c r="D25">
        <v>6</v>
      </c>
      <c r="E25">
        <v>2</v>
      </c>
      <c r="F25">
        <v>2</v>
      </c>
      <c r="G25" s="5">
        <v>3.6226851851851849E-5</v>
      </c>
      <c r="H25" s="5">
        <v>3.8078703703703704E-5</v>
      </c>
      <c r="I25" s="5">
        <v>4.7627314814814815E-3</v>
      </c>
      <c r="K25">
        <v>2</v>
      </c>
      <c r="L25">
        <v>9</v>
      </c>
      <c r="M25"/>
      <c r="N25" t="s">
        <v>13</v>
      </c>
      <c r="O25" s="1"/>
      <c r="Q25" s="2">
        <v>3</v>
      </c>
      <c r="R25" cm="1">
        <f t="array" aca="1" ref="R25" ca="1">_xlfn.MAXIFS(COL(bench,"wine"), COL(bench,"model"), $Q25, COL(bench,"instance"), INDEX($P:$P, ROW()-$Q25), COL(bench,"time"),"&lt;="&amp;R$1)</f>
        <v>0</v>
      </c>
      <c r="S25" cm="1">
        <f t="array" aca="1" ref="S25" ca="1">_xlfn.MAXIFS(COL(bench,"wine"), COL(bench,"model"), $Q25, COL(bench,"instance"), INDEX($P:$P, ROW()-$Q25), COL(bench,"time"),"&lt;="&amp;S$1)-SUM($R25:R25)</f>
        <v>0</v>
      </c>
      <c r="T25" cm="1">
        <f t="array" aca="1" ref="T25" ca="1">_xlfn.MAXIFS(COL(bench,"wine"), COL(bench,"model"), $Q25, COL(bench,"instance"), INDEX($P:$P, ROW()-$Q25), COL(bench,"time"),"&lt;="&amp;T$1)-SUM($R25:S25)</f>
        <v>0</v>
      </c>
      <c r="U25" cm="1">
        <f t="array" aca="1" ref="U25" ca="1">_xlfn.MAXIFS(COL(bench,"wine"), COL(bench,"model"), $Q25, COL(bench,"instance"), INDEX($P:$P, ROW()-$Q25), COL(bench,"time"),"&lt;="&amp;U$1)-SUM($R25:T25)</f>
        <v>0</v>
      </c>
      <c r="V25" cm="1">
        <f t="array" aca="1" ref="V25" ca="1">_xlfn.MAXIFS(COL(bench,"wine"), COL(bench,"model"), $Q25, COL(bench,"instance"), INDEX($P:$P, ROW()-$Q25), COL(bench,"time"),"&lt;="&amp;V$1)-SUM($R25:U25)</f>
        <v>0</v>
      </c>
      <c r="W25" t="e" cm="1">
        <f t="array" ref="W25" xml:space="preserve"> _xlfn.LET(
  _xlpm.idx, _xlfn.XMATCH(1,
      (COL(summary,"model")=$Q25)*(COL(summary,"instance")=INDEX($P:$P, ROW()-$Q25))*(COL(summary,"best")=TRUE)),
  IFERROR(INDEX(COL(summary,"objective"), _xlpm.idx), #N/A)
)</f>
        <v>#N/A</v>
      </c>
      <c r="X25" cm="1">
        <f t="array" ref="X25" xml:space="preserve"> _xlfn.LET(
  _xlpm.idx, _xlfn.XMATCH(1,
      (COL(summary,"model")=$Q25)*(COL(summary,"instance")=INDEX($P:$P, ROW()-$Q25))*(COL(summary,"best")="TIMEOUT")),
  IFERROR(INDEX(COL(summary,"objective"), _xlpm.idx), #N/A)
)</f>
        <v>0</v>
      </c>
    </row>
    <row r="26" spans="1:24" x14ac:dyDescent="0.25">
      <c r="A26">
        <f ca="1">IF(_372845237_asp[[#This Row],[instance]]&lt;OFFSET(_372845237_asp[[#This Row],[instance]],-1,0), OFFSET(_372845237_asp[[#This Row],[model]],-1,0)+1, OFFSET(_372845237_asp[[#This Row],[model]],-1,0))</f>
        <v>1</v>
      </c>
      <c r="B26">
        <v>13</v>
      </c>
      <c r="C26" s="5">
        <v>2.3303240740740741E-3</v>
      </c>
      <c r="D26">
        <v>0</v>
      </c>
      <c r="E26">
        <v>0</v>
      </c>
      <c r="F26">
        <v>0</v>
      </c>
      <c r="G26" s="5">
        <v>2.3260416666666664E-3</v>
      </c>
      <c r="H26" s="5">
        <v>2.3263888888888887E-3</v>
      </c>
      <c r="I26" s="5">
        <v>4.7627314814814815E-3</v>
      </c>
      <c r="K26">
        <v>2</v>
      </c>
      <c r="L26">
        <v>10</v>
      </c>
      <c r="M26"/>
      <c r="N26" t="s">
        <v>13</v>
      </c>
      <c r="O26" s="1"/>
    </row>
    <row r="27" spans="1:24" x14ac:dyDescent="0.25">
      <c r="A27">
        <f ca="1">IF(_372845237_asp[[#This Row],[instance]]&lt;OFFSET(_372845237_asp[[#This Row],[instance]],-1,0), OFFSET(_372845237_asp[[#This Row],[model]],-1,0)+1, OFFSET(_372845237_asp[[#This Row],[model]],-1,0))</f>
        <v>1</v>
      </c>
      <c r="B27">
        <v>14</v>
      </c>
      <c r="C27" s="5">
        <v>4.3601851851851848E-3</v>
      </c>
      <c r="D27">
        <v>0</v>
      </c>
      <c r="E27">
        <v>0</v>
      </c>
      <c r="F27">
        <v>0</v>
      </c>
      <c r="G27" s="5">
        <v>4.3555555555555552E-3</v>
      </c>
      <c r="H27" s="5">
        <v>4.3562499999999999E-3</v>
      </c>
      <c r="I27" s="5">
        <v>4.7627314814814815E-3</v>
      </c>
      <c r="K27">
        <v>2</v>
      </c>
      <c r="L27">
        <v>11</v>
      </c>
      <c r="M27">
        <v>3.75</v>
      </c>
      <c r="N27" t="b">
        <v>1</v>
      </c>
      <c r="O27" s="1"/>
      <c r="P27">
        <v>6</v>
      </c>
    </row>
    <row r="28" spans="1:24" x14ac:dyDescent="0.25">
      <c r="A28">
        <f ca="1">IF(_372845237_asp[[#This Row],[instance]]&lt;OFFSET(_372845237_asp[[#This Row],[instance]],-1,0), OFFSET(_372845237_asp[[#This Row],[model]],-1,0)+1, OFFSET(_372845237_asp[[#This Row],[model]],-1,0))</f>
        <v>1</v>
      </c>
      <c r="B28">
        <v>15</v>
      </c>
      <c r="H28" s="5">
        <v>6.9444444444444441E-3</v>
      </c>
      <c r="I28" s="5">
        <v>4.7627314814814815E-3</v>
      </c>
      <c r="K28">
        <v>2</v>
      </c>
      <c r="L28">
        <v>12</v>
      </c>
      <c r="M28">
        <v>6</v>
      </c>
      <c r="N28" t="b">
        <v>1</v>
      </c>
      <c r="O28" s="1"/>
      <c r="Q28" s="2">
        <v>1</v>
      </c>
      <c r="R28" cm="1">
        <f t="array" aca="1" ref="R28" ca="1">_xlfn.MAXIFS(COL(bench,"wine"), COL(bench,"model"), $Q28, COL(bench,"instance"), INDEX($P:$P, ROW()-$Q28), COL(bench,"time"),"&lt;="&amp;R$1)</f>
        <v>0</v>
      </c>
      <c r="S28" cm="1">
        <f t="array" aca="1" ref="S28" ca="1">_xlfn.MAXIFS(COL(bench,"wine"), COL(bench,"model"), $Q28, COL(bench,"instance"), INDEX($P:$P, ROW()-$Q28), COL(bench,"time"),"&lt;="&amp;S$1)-SUM($R28:R28)</f>
        <v>0</v>
      </c>
      <c r="T28" cm="1">
        <f t="array" aca="1" ref="T28" ca="1">_xlfn.MAXIFS(COL(bench,"wine"), COL(bench,"model"), $Q28, COL(bench,"instance"), INDEX($P:$P, ROW()-$Q28), COL(bench,"time"),"&lt;="&amp;T$1)-SUM($R28:S28)</f>
        <v>0</v>
      </c>
      <c r="U28" cm="1">
        <f t="array" aca="1" ref="U28" ca="1">_xlfn.MAXIFS(COL(bench,"wine"), COL(bench,"model"), $Q28, COL(bench,"instance"), INDEX($P:$P, ROW()-$Q28), COL(bench,"time"),"&lt;="&amp;U$1)-SUM($R28:T28)</f>
        <v>0</v>
      </c>
      <c r="V28" cm="1">
        <f t="array" aca="1" ref="V28" ca="1">_xlfn.MAXIFS(COL(bench,"wine"), COL(bench,"model"), $Q28, COL(bench,"instance"), INDEX($P:$P, ROW()-$Q28), COL(bench,"time"),"&lt;="&amp;V$1)-SUM($R28:U28)</f>
        <v>0</v>
      </c>
      <c r="W28" t="e" cm="1">
        <f t="array" ref="W28" xml:space="preserve"> _xlfn.LET(
  _xlpm.idx, _xlfn.XMATCH(1,
      (COL(summary,"model")=$Q28)*(COL(summary,"instance")=INDEX($P:$P, ROW()-$Q28))*(COL(summary,"best")=TRUE)),
  IFERROR(INDEX(COL(summary,"objective"), _xlpm.idx), #N/A)
)</f>
        <v>#N/A</v>
      </c>
      <c r="X28" cm="1">
        <f t="array" ref="X28" xml:space="preserve"> _xlfn.LET(
  _xlpm.idx, _xlfn.XMATCH(1,
      (COL(summary,"model")=$Q28)*(COL(summary,"instance")=INDEX($P:$P, ROW()-$Q28))*(COL(summary,"best")="TIMEOUT")),
  IFERROR(INDEX(COL(summary,"objective"), _xlpm.idx), #N/A)
)</f>
        <v>0</v>
      </c>
    </row>
    <row r="29" spans="1:24" x14ac:dyDescent="0.25">
      <c r="A29">
        <f ca="1">IF(_372845237_asp[[#This Row],[instance]]&lt;OFFSET(_372845237_asp[[#This Row],[instance]],-1,0), OFFSET(_372845237_asp[[#This Row],[model]],-1,0)+1, OFFSET(_372845237_asp[[#This Row],[model]],-1,0))</f>
        <v>2</v>
      </c>
      <c r="B29">
        <v>1</v>
      </c>
      <c r="H29" s="5">
        <v>6.9444444444444441E-3</v>
      </c>
      <c r="I29" s="5">
        <v>4.7577546296296291E-3</v>
      </c>
      <c r="K29">
        <v>2</v>
      </c>
      <c r="L29">
        <v>13</v>
      </c>
      <c r="M29">
        <v>0</v>
      </c>
      <c r="N29" t="b">
        <v>1</v>
      </c>
      <c r="O29" s="1"/>
      <c r="Q29" s="2">
        <v>2</v>
      </c>
      <c r="R29" cm="1">
        <f t="array" aca="1" ref="R29" ca="1">_xlfn.MAXIFS(COL(bench,"wine"), COL(bench,"model"), $Q29, COL(bench,"instance"), INDEX($P:$P, ROW()-$Q29), COL(bench,"time"),"&lt;="&amp;R$1)</f>
        <v>0</v>
      </c>
      <c r="S29" cm="1">
        <f t="array" aca="1" ref="S29" ca="1">_xlfn.MAXIFS(COL(bench,"wine"), COL(bench,"model"), $Q29, COL(bench,"instance"), INDEX($P:$P, ROW()-$Q29), COL(bench,"time"),"&lt;="&amp;S$1)-SUM($R29:R29)</f>
        <v>0</v>
      </c>
      <c r="T29" cm="1">
        <f t="array" aca="1" ref="T29" ca="1">_xlfn.MAXIFS(COL(bench,"wine"), COL(bench,"model"), $Q29, COL(bench,"instance"), INDEX($P:$P, ROW()-$Q29), COL(bench,"time"),"&lt;="&amp;T$1)-SUM($R29:S29)</f>
        <v>0</v>
      </c>
      <c r="U29" cm="1">
        <f t="array" aca="1" ref="U29" ca="1">_xlfn.MAXIFS(COL(bench,"wine"), COL(bench,"model"), $Q29, COL(bench,"instance"), INDEX($P:$P, ROW()-$Q29), COL(bench,"time"),"&lt;="&amp;U$1)-SUM($R29:T29)</f>
        <v>0</v>
      </c>
      <c r="V29" cm="1">
        <f t="array" aca="1" ref="V29" ca="1">_xlfn.MAXIFS(COL(bench,"wine"), COL(bench,"model"), $Q29, COL(bench,"instance"), INDEX($P:$P, ROW()-$Q29), COL(bench,"time"),"&lt;="&amp;V$1)-SUM($R29:U29)</f>
        <v>0</v>
      </c>
      <c r="W29" t="e" cm="1">
        <f t="array" ref="W29" xml:space="preserve"> _xlfn.LET(
  _xlpm.idx, _xlfn.XMATCH(1,
      (COL(summary,"model")=$Q29)*(COL(summary,"instance")=INDEX($P:$P, ROW()-$Q29))*(COL(summary,"best")=TRUE)),
  IFERROR(INDEX(COL(summary,"objective"), _xlpm.idx), #N/A)
)</f>
        <v>#N/A</v>
      </c>
      <c r="X29" cm="1">
        <f t="array" ref="X29" xml:space="preserve"> _xlfn.LET(
  _xlpm.idx, _xlfn.XMATCH(1,
      (COL(summary,"model")=$Q29)*(COL(summary,"instance")=INDEX($P:$P, ROW()-$Q29))*(COL(summary,"best")="TIMEOUT")),
  IFERROR(INDEX(COL(summary,"objective"), _xlpm.idx), #N/A)
)</f>
        <v>0</v>
      </c>
    </row>
    <row r="30" spans="1:24" x14ac:dyDescent="0.25">
      <c r="A30">
        <f ca="1">IF(_372845237_asp[[#This Row],[instance]]&lt;OFFSET(_372845237_asp[[#This Row],[instance]],-1,0), OFFSET(_372845237_asp[[#This Row],[model]],-1,0)+1, OFFSET(_372845237_asp[[#This Row],[model]],-1,0))</f>
        <v>2</v>
      </c>
      <c r="B30">
        <v>2</v>
      </c>
      <c r="H30" s="5">
        <v>6.9444444444444441E-3</v>
      </c>
      <c r="I30" s="5">
        <v>4.7577546296296291E-3</v>
      </c>
      <c r="K30">
        <v>2</v>
      </c>
      <c r="L30">
        <v>14</v>
      </c>
      <c r="M30">
        <v>0</v>
      </c>
      <c r="N30" t="b">
        <v>1</v>
      </c>
      <c r="O30" s="1"/>
      <c r="Q30" s="2">
        <v>3</v>
      </c>
      <c r="R30" cm="1">
        <f t="array" aca="1" ref="R30" ca="1">_xlfn.MAXIFS(COL(bench,"wine"), COL(bench,"model"), $Q30, COL(bench,"instance"), INDEX($P:$P, ROW()-$Q30), COL(bench,"time"),"&lt;="&amp;R$1)</f>
        <v>0</v>
      </c>
      <c r="S30" cm="1">
        <f t="array" aca="1" ref="S30" ca="1">_xlfn.MAXIFS(COL(bench,"wine"), COL(bench,"model"), $Q30, COL(bench,"instance"), INDEX($P:$P, ROW()-$Q30), COL(bench,"time"),"&lt;="&amp;S$1)-SUM($R30:R30)</f>
        <v>0</v>
      </c>
      <c r="T30" cm="1">
        <f t="array" aca="1" ref="T30" ca="1">_xlfn.MAXIFS(COL(bench,"wine"), COL(bench,"model"), $Q30, COL(bench,"instance"), INDEX($P:$P, ROW()-$Q30), COL(bench,"time"),"&lt;="&amp;T$1)-SUM($R30:S30)</f>
        <v>0</v>
      </c>
      <c r="U30" cm="1">
        <f t="array" aca="1" ref="U30" ca="1">_xlfn.MAXIFS(COL(bench,"wine"), COL(bench,"model"), $Q30, COL(bench,"instance"), INDEX($P:$P, ROW()-$Q30), COL(bench,"time"),"&lt;="&amp;U$1)-SUM($R30:T30)</f>
        <v>0</v>
      </c>
      <c r="V30" cm="1">
        <f t="array" aca="1" ref="V30" ca="1">_xlfn.MAXIFS(COL(bench,"wine"), COL(bench,"model"), $Q30, COL(bench,"instance"), INDEX($P:$P, ROW()-$Q30), COL(bench,"time"),"&lt;="&amp;V$1)-SUM($R30:U30)</f>
        <v>0</v>
      </c>
      <c r="W30" t="e" cm="1">
        <f t="array" ref="W30" xml:space="preserve"> _xlfn.LET(
  _xlpm.idx, _xlfn.XMATCH(1,
      (COL(summary,"model")=$Q30)*(COL(summary,"instance")=INDEX($P:$P, ROW()-$Q30))*(COL(summary,"best")=TRUE)),
  IFERROR(INDEX(COL(summary,"objective"), _xlpm.idx), #N/A)
)</f>
        <v>#N/A</v>
      </c>
      <c r="X30" cm="1">
        <f t="array" ref="X30" xml:space="preserve"> _xlfn.LET(
  _xlpm.idx, _xlfn.XMATCH(1,
      (COL(summary,"model")=$Q30)*(COL(summary,"instance")=INDEX($P:$P, ROW()-$Q30))*(COL(summary,"best")="TIMEOUT")),
  IFERROR(INDEX(COL(summary,"objective"), _xlpm.idx), #N/A)
)</f>
        <v>0</v>
      </c>
    </row>
    <row r="31" spans="1:24" x14ac:dyDescent="0.25">
      <c r="A31">
        <f ca="1">IF(_372845237_asp[[#This Row],[instance]]&lt;OFFSET(_372845237_asp[[#This Row],[instance]],-1,0), OFFSET(_372845237_asp[[#This Row],[model]],-1,0)+1, OFFSET(_372845237_asp[[#This Row],[model]],-1,0))</f>
        <v>2</v>
      </c>
      <c r="B31">
        <v>3</v>
      </c>
      <c r="H31" s="5">
        <v>6.9444444444444441E-3</v>
      </c>
      <c r="I31" s="5">
        <v>4.7577546296296291E-3</v>
      </c>
      <c r="K31">
        <v>2</v>
      </c>
      <c r="L31">
        <v>15</v>
      </c>
      <c r="M31"/>
      <c r="N31" t="s">
        <v>13</v>
      </c>
      <c r="O31" s="1"/>
    </row>
    <row r="32" spans="1:24" x14ac:dyDescent="0.25">
      <c r="A32">
        <f ca="1">IF(_372845237_asp[[#This Row],[instance]]&lt;OFFSET(_372845237_asp[[#This Row],[instance]],-1,0), OFFSET(_372845237_asp[[#This Row],[model]],-1,0)+1, OFFSET(_372845237_asp[[#This Row],[model]],-1,0))</f>
        <v>2</v>
      </c>
      <c r="B32">
        <v>4</v>
      </c>
      <c r="H32" s="5">
        <v>6.9444444444444441E-3</v>
      </c>
      <c r="I32" s="5">
        <v>4.7577546296296291E-3</v>
      </c>
      <c r="K32">
        <v>3</v>
      </c>
      <c r="L32">
        <v>1</v>
      </c>
      <c r="M32"/>
      <c r="N32" t="s">
        <v>13</v>
      </c>
      <c r="O32" s="1"/>
      <c r="P32">
        <v>7</v>
      </c>
    </row>
    <row r="33" spans="1:24" x14ac:dyDescent="0.25">
      <c r="A33">
        <f ca="1">IF(_372845237_asp[[#This Row],[instance]]&lt;OFFSET(_372845237_asp[[#This Row],[instance]],-1,0), OFFSET(_372845237_asp[[#This Row],[model]],-1,0)+1, OFFSET(_372845237_asp[[#This Row],[model]],-1,0))</f>
        <v>2</v>
      </c>
      <c r="B33">
        <v>5</v>
      </c>
      <c r="C33" s="5">
        <v>8.758101851851852E-4</v>
      </c>
      <c r="D33">
        <v>0</v>
      </c>
      <c r="E33">
        <v>0</v>
      </c>
      <c r="F33">
        <v>0</v>
      </c>
      <c r="G33" s="5">
        <v>8.7118055555555549E-4</v>
      </c>
      <c r="H33" s="5">
        <v>8.7569444444444446E-4</v>
      </c>
      <c r="I33" s="5">
        <v>4.7577546296296291E-3</v>
      </c>
      <c r="K33">
        <v>3</v>
      </c>
      <c r="L33">
        <v>2</v>
      </c>
      <c r="M33"/>
      <c r="N33" t="s">
        <v>13</v>
      </c>
      <c r="O33" s="1"/>
      <c r="Q33" s="2">
        <v>1</v>
      </c>
      <c r="R33" cm="1">
        <f t="array" aca="1" ref="R33" ca="1">_xlfn.MAXIFS(COL(bench,"wine"), COL(bench,"model"), $Q33, COL(bench,"instance"), INDEX($P:$P, ROW()-$Q33), COL(bench,"time"),"&lt;="&amp;R$1)</f>
        <v>10.5</v>
      </c>
      <c r="S33" cm="1">
        <f t="array" aca="1" ref="S33" ca="1">_xlfn.MAXIFS(COL(bench,"wine"), COL(bench,"model"), $Q33, COL(bench,"instance"), INDEX($P:$P, ROW()-$Q33), COL(bench,"time"),"&lt;="&amp;S$1)-SUM($R33:R33)</f>
        <v>0</v>
      </c>
      <c r="T33" cm="1">
        <f t="array" aca="1" ref="T33" ca="1">_xlfn.MAXIFS(COL(bench,"wine"), COL(bench,"model"), $Q33, COL(bench,"instance"), INDEX($P:$P, ROW()-$Q33), COL(bench,"time"),"&lt;="&amp;T$1)-SUM($R33:S33)</f>
        <v>0</v>
      </c>
      <c r="U33" cm="1">
        <f t="array" aca="1" ref="U33" ca="1">_xlfn.MAXIFS(COL(bench,"wine"), COL(bench,"model"), $Q33, COL(bench,"instance"), INDEX($P:$P, ROW()-$Q33), COL(bench,"time"),"&lt;="&amp;U$1)-SUM($R33:T33)</f>
        <v>0</v>
      </c>
      <c r="V33" cm="1">
        <f t="array" aca="1" ref="V33" ca="1">_xlfn.MAXIFS(COL(bench,"wine"), COL(bench,"model"), $Q33, COL(bench,"instance"), INDEX($P:$P, ROW()-$Q33), COL(bench,"time"),"&lt;="&amp;V$1)-SUM($R33:U33)</f>
        <v>0</v>
      </c>
      <c r="W33" cm="1">
        <f t="array" ref="W33" xml:space="preserve"> _xlfn.LET(
  _xlpm.idx, _xlfn.XMATCH(1,
      (COL(summary,"model")=$Q33)*(COL(summary,"instance")=INDEX($P:$P, ROW()-$Q33))*(COL(summary,"best")=TRUE)),
  IFERROR(INDEX(COL(summary,"objective"), _xlpm.idx), #N/A)
)</f>
        <v>10.5</v>
      </c>
      <c r="X33" t="e" cm="1">
        <f t="array" ref="X33" xml:space="preserve"> _xlfn.LET(
  _xlpm.idx, _xlfn.XMATCH(1,
      (COL(summary,"model")=$Q33)*(COL(summary,"instance")=INDEX($P:$P, ROW()-$Q33))*(COL(summary,"best")="TIMEOUT")),
  IFERROR(INDEX(COL(summary,"objective"), _xlpm.idx), #N/A)
)</f>
        <v>#N/A</v>
      </c>
    </row>
    <row r="34" spans="1:24" x14ac:dyDescent="0.25">
      <c r="A34">
        <f ca="1">IF(_372845237_asp[[#This Row],[instance]]&lt;OFFSET(_372845237_asp[[#This Row],[instance]],-1,0), OFFSET(_372845237_asp[[#This Row],[model]],-1,0)+1, OFFSET(_372845237_asp[[#This Row],[model]],-1,0))</f>
        <v>2</v>
      </c>
      <c r="B34">
        <v>5</v>
      </c>
      <c r="C34" s="5">
        <v>8.758101851851852E-4</v>
      </c>
      <c r="D34">
        <v>2.625</v>
      </c>
      <c r="E34">
        <v>5</v>
      </c>
      <c r="F34">
        <v>1</v>
      </c>
      <c r="G34" s="5">
        <v>8.7118055555555549E-4</v>
      </c>
      <c r="H34" s="5">
        <v>8.7569444444444446E-4</v>
      </c>
      <c r="I34" s="5">
        <v>4.7577546296296291E-3</v>
      </c>
      <c r="K34">
        <v>3</v>
      </c>
      <c r="L34">
        <v>3</v>
      </c>
      <c r="M34"/>
      <c r="N34" t="s">
        <v>13</v>
      </c>
      <c r="O34" s="1"/>
      <c r="Q34" s="2">
        <v>2</v>
      </c>
      <c r="R34" cm="1">
        <f t="array" aca="1" ref="R34" ca="1">_xlfn.MAXIFS(COL(bench,"wine"), COL(bench,"model"), $Q34, COL(bench,"instance"), INDEX($P:$P, ROW()-$Q34), COL(bench,"time"),"&lt;="&amp;R$1)</f>
        <v>10.5</v>
      </c>
      <c r="S34" cm="1">
        <f t="array" aca="1" ref="S34" ca="1">_xlfn.MAXIFS(COL(bench,"wine"), COL(bench,"model"), $Q34, COL(bench,"instance"), INDEX($P:$P, ROW()-$Q34), COL(bench,"time"),"&lt;="&amp;S$1)-SUM($R34:R34)</f>
        <v>0</v>
      </c>
      <c r="T34" cm="1">
        <f t="array" aca="1" ref="T34" ca="1">_xlfn.MAXIFS(COL(bench,"wine"), COL(bench,"model"), $Q34, COL(bench,"instance"), INDEX($P:$P, ROW()-$Q34), COL(bench,"time"),"&lt;="&amp;T$1)-SUM($R34:S34)</f>
        <v>0</v>
      </c>
      <c r="U34" cm="1">
        <f t="array" aca="1" ref="U34" ca="1">_xlfn.MAXIFS(COL(bench,"wine"), COL(bench,"model"), $Q34, COL(bench,"instance"), INDEX($P:$P, ROW()-$Q34), COL(bench,"time"),"&lt;="&amp;U$1)-SUM($R34:T34)</f>
        <v>0</v>
      </c>
      <c r="V34" cm="1">
        <f t="array" aca="1" ref="V34" ca="1">_xlfn.MAXIFS(COL(bench,"wine"), COL(bench,"model"), $Q34, COL(bench,"instance"), INDEX($P:$P, ROW()-$Q34), COL(bench,"time"),"&lt;="&amp;V$1)-SUM($R34:U34)</f>
        <v>0</v>
      </c>
      <c r="W34" cm="1">
        <f t="array" ref="W34" xml:space="preserve"> _xlfn.LET(
  _xlpm.idx, _xlfn.XMATCH(1,
      (COL(summary,"model")=$Q34)*(COL(summary,"instance")=INDEX($P:$P, ROW()-$Q34))*(COL(summary,"best")=TRUE)),
  IFERROR(INDEX(COL(summary,"objective"), _xlpm.idx), #N/A)
)</f>
        <v>10.5</v>
      </c>
      <c r="X34" t="e" cm="1">
        <f t="array" ref="X34" xml:space="preserve"> _xlfn.LET(
  _xlpm.idx, _xlfn.XMATCH(1,
      (COL(summary,"model")=$Q34)*(COL(summary,"instance")=INDEX($P:$P, ROW()-$Q34))*(COL(summary,"best")="TIMEOUT")),
  IFERROR(INDEX(COL(summary,"objective"), _xlpm.idx), #N/A)
)</f>
        <v>#N/A</v>
      </c>
    </row>
    <row r="35" spans="1:24" x14ac:dyDescent="0.25">
      <c r="A35">
        <f ca="1">IF(_372845237_asp[[#This Row],[instance]]&lt;OFFSET(_372845237_asp[[#This Row],[instance]],-1,0), OFFSET(_372845237_asp[[#This Row],[model]],-1,0)+1, OFFSET(_372845237_asp[[#This Row],[model]],-1,0))</f>
        <v>2</v>
      </c>
      <c r="B35">
        <v>6</v>
      </c>
      <c r="H35" s="5">
        <v>6.9444444444444441E-3</v>
      </c>
      <c r="I35" s="5">
        <v>4.7577546296296291E-3</v>
      </c>
      <c r="K35">
        <v>3</v>
      </c>
      <c r="L35">
        <v>4</v>
      </c>
      <c r="M35"/>
      <c r="N35" t="s">
        <v>13</v>
      </c>
      <c r="O35" s="1"/>
      <c r="Q35" s="2">
        <v>3</v>
      </c>
      <c r="R35" cm="1">
        <f t="array" aca="1" ref="R35" ca="1">_xlfn.MAXIFS(COL(bench,"wine"), COL(bench,"model"), $Q35, COL(bench,"instance"), INDEX($P:$P, ROW()-$Q35), COL(bench,"time"),"&lt;="&amp;R$1)</f>
        <v>0</v>
      </c>
      <c r="S35" cm="1">
        <f t="array" aca="1" ref="S35" ca="1">_xlfn.MAXIFS(COL(bench,"wine"), COL(bench,"model"), $Q35, COL(bench,"instance"), INDEX($P:$P, ROW()-$Q35), COL(bench,"time"),"&lt;="&amp;S$1)-SUM($R35:R35)</f>
        <v>0</v>
      </c>
      <c r="T35" cm="1">
        <f t="array" aca="1" ref="T35" ca="1">_xlfn.MAXIFS(COL(bench,"wine"), COL(bench,"model"), $Q35, COL(bench,"instance"), INDEX($P:$P, ROW()-$Q35), COL(bench,"time"),"&lt;="&amp;T$1)-SUM($R35:S35)</f>
        <v>0</v>
      </c>
      <c r="U35" cm="1">
        <f t="array" aca="1" ref="U35" ca="1">_xlfn.MAXIFS(COL(bench,"wine"), COL(bench,"model"), $Q35, COL(bench,"instance"), INDEX($P:$P, ROW()-$Q35), COL(bench,"time"),"&lt;="&amp;U$1)-SUM($R35:T35)</f>
        <v>0</v>
      </c>
      <c r="V35" cm="1">
        <f t="array" aca="1" ref="V35" ca="1">_xlfn.MAXIFS(COL(bench,"wine"), COL(bench,"model"), $Q35, COL(bench,"instance"), INDEX($P:$P, ROW()-$Q35), COL(bench,"time"),"&lt;="&amp;V$1)-SUM($R35:U35)</f>
        <v>0</v>
      </c>
      <c r="W35" t="e" cm="1">
        <f t="array" ref="W35" xml:space="preserve"> _xlfn.LET(
  _xlpm.idx, _xlfn.XMATCH(1,
      (COL(summary,"model")=$Q35)*(COL(summary,"instance")=INDEX($P:$P, ROW()-$Q35))*(COL(summary,"best")=TRUE)),
  IFERROR(INDEX(COL(summary,"objective"), _xlpm.idx), #N/A)
)</f>
        <v>#N/A</v>
      </c>
      <c r="X35" cm="1">
        <f t="array" ref="X35" xml:space="preserve"> _xlfn.LET(
  _xlpm.idx, _xlfn.XMATCH(1,
      (COL(summary,"model")=$Q35)*(COL(summary,"instance")=INDEX($P:$P, ROW()-$Q35))*(COL(summary,"best")="TIMEOUT")),
  IFERROR(INDEX(COL(summary,"objective"), _xlpm.idx), #N/A)
)</f>
        <v>0</v>
      </c>
    </row>
    <row r="36" spans="1:24" x14ac:dyDescent="0.25">
      <c r="A36">
        <f ca="1">IF(_372845237_asp[[#This Row],[instance]]&lt;OFFSET(_372845237_asp[[#This Row],[instance]],-1,0), OFFSET(_372845237_asp[[#This Row],[model]],-1,0)+1, OFFSET(_372845237_asp[[#This Row],[model]],-1,0))</f>
        <v>2</v>
      </c>
      <c r="B36">
        <v>7</v>
      </c>
      <c r="C36" s="5">
        <v>8.4953703703703705E-5</v>
      </c>
      <c r="D36">
        <v>0</v>
      </c>
      <c r="E36">
        <v>0</v>
      </c>
      <c r="F36">
        <v>0</v>
      </c>
      <c r="G36" s="5">
        <v>8.0555555555555556E-5</v>
      </c>
      <c r="H36" s="5">
        <v>8.275462962962963E-5</v>
      </c>
      <c r="I36" s="5">
        <v>4.7577546296296291E-3</v>
      </c>
      <c r="K36">
        <v>3</v>
      </c>
      <c r="L36">
        <v>5</v>
      </c>
      <c r="M36"/>
      <c r="N36" t="s">
        <v>13</v>
      </c>
      <c r="O36" s="1"/>
    </row>
    <row r="37" spans="1:24" x14ac:dyDescent="0.25">
      <c r="A37">
        <f ca="1">IF(_372845237_asp[[#This Row],[instance]]&lt;OFFSET(_372845237_asp[[#This Row],[instance]],-1,0), OFFSET(_372845237_asp[[#This Row],[model]],-1,0)+1, OFFSET(_372845237_asp[[#This Row],[model]],-1,0))</f>
        <v>2</v>
      </c>
      <c r="B37">
        <v>7</v>
      </c>
      <c r="C37" s="5">
        <v>8.4953703703703705E-5</v>
      </c>
      <c r="D37">
        <v>3</v>
      </c>
      <c r="E37">
        <v>1</v>
      </c>
      <c r="F37">
        <v>1</v>
      </c>
      <c r="G37" s="5">
        <v>8.0555555555555556E-5</v>
      </c>
      <c r="H37" s="5">
        <v>8.275462962962963E-5</v>
      </c>
      <c r="I37" s="5">
        <v>4.7577546296296291E-3</v>
      </c>
      <c r="K37">
        <v>3</v>
      </c>
      <c r="L37">
        <v>6</v>
      </c>
      <c r="M37"/>
      <c r="N37" t="s">
        <v>13</v>
      </c>
      <c r="O37" s="1"/>
      <c r="P37">
        <v>8</v>
      </c>
    </row>
    <row r="38" spans="1:24" x14ac:dyDescent="0.25">
      <c r="A38">
        <f ca="1">IF(_372845237_asp[[#This Row],[instance]]&lt;OFFSET(_372845237_asp[[#This Row],[instance]],-1,0), OFFSET(_372845237_asp[[#This Row],[model]],-1,0)+1, OFFSET(_372845237_asp[[#This Row],[model]],-1,0))</f>
        <v>2</v>
      </c>
      <c r="B38">
        <v>7</v>
      </c>
      <c r="C38" s="5">
        <v>8.4953703703703705E-5</v>
      </c>
      <c r="D38">
        <v>6</v>
      </c>
      <c r="E38">
        <v>2</v>
      </c>
      <c r="F38">
        <v>2</v>
      </c>
      <c r="G38" s="5">
        <v>8.0555555555555556E-5</v>
      </c>
      <c r="H38" s="5">
        <v>8.275462962962963E-5</v>
      </c>
      <c r="I38" s="5">
        <v>4.7577546296296291E-3</v>
      </c>
      <c r="K38">
        <v>3</v>
      </c>
      <c r="L38">
        <v>7</v>
      </c>
      <c r="M38"/>
      <c r="N38" t="s">
        <v>13</v>
      </c>
      <c r="O38" s="1"/>
      <c r="Q38" s="2">
        <v>1</v>
      </c>
      <c r="R38" cm="1">
        <f t="array" aca="1" ref="R38" ca="1">_xlfn.MAXIFS(COL(bench,"wine"), COL(bench,"model"), $Q38, COL(bench,"instance"), INDEX($P:$P, ROW()-$Q38), COL(bench,"time"),"&lt;="&amp;R$1)</f>
        <v>0</v>
      </c>
      <c r="S38" cm="1">
        <f t="array" aca="1" ref="S38" ca="1">_xlfn.MAXIFS(COL(bench,"wine"), COL(bench,"model"), $Q38, COL(bench,"instance"), INDEX($P:$P, ROW()-$Q38), COL(bench,"time"),"&lt;="&amp;S$1)-SUM($R38:R38)</f>
        <v>0</v>
      </c>
      <c r="T38" cm="1">
        <f t="array" aca="1" ref="T38" ca="1">_xlfn.MAXIFS(COL(bench,"wine"), COL(bench,"model"), $Q38, COL(bench,"instance"), INDEX($P:$P, ROW()-$Q38), COL(bench,"time"),"&lt;="&amp;T$1)-SUM($R38:S38)</f>
        <v>0</v>
      </c>
      <c r="U38" cm="1">
        <f t="array" aca="1" ref="U38" ca="1">_xlfn.MAXIFS(COL(bench,"wine"), COL(bench,"model"), $Q38, COL(bench,"instance"), INDEX($P:$P, ROW()-$Q38), COL(bench,"time"),"&lt;="&amp;U$1)-SUM($R38:T38)</f>
        <v>0</v>
      </c>
      <c r="V38" cm="1">
        <f t="array" aca="1" ref="V38" ca="1">_xlfn.MAXIFS(COL(bench,"wine"), COL(bench,"model"), $Q38, COL(bench,"instance"), INDEX($P:$P, ROW()-$Q38), COL(bench,"time"),"&lt;="&amp;V$1)-SUM($R38:U38)</f>
        <v>0</v>
      </c>
      <c r="W38" t="e" cm="1">
        <f t="array" ref="W38" xml:space="preserve"> _xlfn.LET(
  _xlpm.idx, _xlfn.XMATCH(1,
      (COL(summary,"model")=$Q38)*(COL(summary,"instance")=INDEX($P:$P, ROW()-$Q38))*(COL(summary,"best")=TRUE)),
  IFERROR(INDEX(COL(summary,"objective"), _xlpm.idx), #N/A)
)</f>
        <v>#N/A</v>
      </c>
      <c r="X38" cm="1">
        <f t="array" ref="X38" xml:space="preserve"> _xlfn.LET(
  _xlpm.idx, _xlfn.XMATCH(1,
      (COL(summary,"model")=$Q38)*(COL(summary,"instance")=INDEX($P:$P, ROW()-$Q38))*(COL(summary,"best")="TIMEOUT")),
  IFERROR(INDEX(COL(summary,"objective"), _xlpm.idx), #N/A)
)</f>
        <v>0</v>
      </c>
    </row>
    <row r="39" spans="1:24" x14ac:dyDescent="0.25">
      <c r="A39">
        <f ca="1">IF(_372845237_asp[[#This Row],[instance]]&lt;OFFSET(_372845237_asp[[#This Row],[instance]],-1,0), OFFSET(_372845237_asp[[#This Row],[model]],-1,0)+1, OFFSET(_372845237_asp[[#This Row],[model]],-1,0))</f>
        <v>2</v>
      </c>
      <c r="B39">
        <v>7</v>
      </c>
      <c r="C39" s="5">
        <v>8.4953703703703705E-5</v>
      </c>
      <c r="D39">
        <v>9</v>
      </c>
      <c r="E39">
        <v>3</v>
      </c>
      <c r="F39">
        <v>3</v>
      </c>
      <c r="G39" s="5">
        <v>8.0555555555555556E-5</v>
      </c>
      <c r="H39" s="5">
        <v>8.275462962962963E-5</v>
      </c>
      <c r="I39" s="5">
        <v>4.7577546296296291E-3</v>
      </c>
      <c r="K39">
        <v>3</v>
      </c>
      <c r="L39">
        <v>8</v>
      </c>
      <c r="M39"/>
      <c r="N39" t="s">
        <v>13</v>
      </c>
      <c r="O39" s="1"/>
      <c r="Q39" s="2">
        <v>2</v>
      </c>
      <c r="R39" cm="1">
        <f t="array" aca="1" ref="R39" ca="1">_xlfn.MAXIFS(COL(bench,"wine"), COL(bench,"model"), $Q39, COL(bench,"instance"), INDEX($P:$P, ROW()-$Q39), COL(bench,"time"),"&lt;="&amp;R$1)</f>
        <v>0</v>
      </c>
      <c r="S39" cm="1">
        <f t="array" aca="1" ref="S39" ca="1">_xlfn.MAXIFS(COL(bench,"wine"), COL(bench,"model"), $Q39, COL(bench,"instance"), INDEX($P:$P, ROW()-$Q39), COL(bench,"time"),"&lt;="&amp;S$1)-SUM($R39:R39)</f>
        <v>0</v>
      </c>
      <c r="T39" cm="1">
        <f t="array" aca="1" ref="T39" ca="1">_xlfn.MAXIFS(COL(bench,"wine"), COL(bench,"model"), $Q39, COL(bench,"instance"), INDEX($P:$P, ROW()-$Q39), COL(bench,"time"),"&lt;="&amp;T$1)-SUM($R39:S39)</f>
        <v>0</v>
      </c>
      <c r="U39" cm="1">
        <f t="array" aca="1" ref="U39" ca="1">_xlfn.MAXIFS(COL(bench,"wine"), COL(bench,"model"), $Q39, COL(bench,"instance"), INDEX($P:$P, ROW()-$Q39), COL(bench,"time"),"&lt;="&amp;U$1)-SUM($R39:T39)</f>
        <v>0</v>
      </c>
      <c r="V39" cm="1">
        <f t="array" aca="1" ref="V39" ca="1">_xlfn.MAXIFS(COL(bench,"wine"), COL(bench,"model"), $Q39, COL(bench,"instance"), INDEX($P:$P, ROW()-$Q39), COL(bench,"time"),"&lt;="&amp;V$1)-SUM($R39:U39)</f>
        <v>0</v>
      </c>
      <c r="W39" t="e" cm="1">
        <f t="array" ref="W39" xml:space="preserve"> _xlfn.LET(
  _xlpm.idx, _xlfn.XMATCH(1,
      (COL(summary,"model")=$Q39)*(COL(summary,"instance")=INDEX($P:$P, ROW()-$Q39))*(COL(summary,"best")=TRUE)),
  IFERROR(INDEX(COL(summary,"objective"), _xlpm.idx), #N/A)
)</f>
        <v>#N/A</v>
      </c>
      <c r="X39" cm="1">
        <f t="array" ref="X39" xml:space="preserve"> _xlfn.LET(
  _xlpm.idx, _xlfn.XMATCH(1,
      (COL(summary,"model")=$Q39)*(COL(summary,"instance")=INDEX($P:$P, ROW()-$Q39))*(COL(summary,"best")="TIMEOUT")),
  IFERROR(INDEX(COL(summary,"objective"), _xlpm.idx), #N/A)
)</f>
        <v>0</v>
      </c>
    </row>
    <row r="40" spans="1:24" x14ac:dyDescent="0.25">
      <c r="A40">
        <f ca="1">IF(_372845237_asp[[#This Row],[instance]]&lt;OFFSET(_372845237_asp[[#This Row],[instance]],-1,0), OFFSET(_372845237_asp[[#This Row],[model]],-1,0)+1, OFFSET(_372845237_asp[[#This Row],[model]],-1,0))</f>
        <v>2</v>
      </c>
      <c r="B40">
        <v>7</v>
      </c>
      <c r="C40" s="5">
        <v>8.5069444444444445E-5</v>
      </c>
      <c r="D40">
        <v>10.5</v>
      </c>
      <c r="E40">
        <v>7</v>
      </c>
      <c r="F40">
        <v>4</v>
      </c>
      <c r="G40" s="5">
        <v>8.0555555555555556E-5</v>
      </c>
      <c r="H40" s="5">
        <v>8.275462962962963E-5</v>
      </c>
      <c r="I40" s="5">
        <v>4.7577546296296291E-3</v>
      </c>
      <c r="K40">
        <v>3</v>
      </c>
      <c r="L40">
        <v>9</v>
      </c>
      <c r="M40"/>
      <c r="N40" t="s">
        <v>13</v>
      </c>
      <c r="O40" s="1"/>
      <c r="Q40" s="2">
        <v>3</v>
      </c>
      <c r="R40" cm="1">
        <f t="array" aca="1" ref="R40" ca="1">_xlfn.MAXIFS(COL(bench,"wine"), COL(bench,"model"), $Q40, COL(bench,"instance"), INDEX($P:$P, ROW()-$Q40), COL(bench,"time"),"&lt;="&amp;R$1)</f>
        <v>0</v>
      </c>
      <c r="S40" cm="1">
        <f t="array" aca="1" ref="S40" ca="1">_xlfn.MAXIFS(COL(bench,"wine"), COL(bench,"model"), $Q40, COL(bench,"instance"), INDEX($P:$P, ROW()-$Q40), COL(bench,"time"),"&lt;="&amp;S$1)-SUM($R40:R40)</f>
        <v>0</v>
      </c>
      <c r="T40" cm="1">
        <f t="array" aca="1" ref="T40" ca="1">_xlfn.MAXIFS(COL(bench,"wine"), COL(bench,"model"), $Q40, COL(bench,"instance"), INDEX($P:$P, ROW()-$Q40), COL(bench,"time"),"&lt;="&amp;T$1)-SUM($R40:S40)</f>
        <v>0</v>
      </c>
      <c r="U40" cm="1">
        <f t="array" aca="1" ref="U40" ca="1">_xlfn.MAXIFS(COL(bench,"wine"), COL(bench,"model"), $Q40, COL(bench,"instance"), INDEX($P:$P, ROW()-$Q40), COL(bench,"time"),"&lt;="&amp;U$1)-SUM($R40:T40)</f>
        <v>0</v>
      </c>
      <c r="V40" cm="1">
        <f t="array" aca="1" ref="V40" ca="1">_xlfn.MAXIFS(COL(bench,"wine"), COL(bench,"model"), $Q40, COL(bench,"instance"), INDEX($P:$P, ROW()-$Q40), COL(bench,"time"),"&lt;="&amp;V$1)-SUM($R40:U40)</f>
        <v>0</v>
      </c>
      <c r="W40" t="e" cm="1">
        <f t="array" ref="W40" xml:space="preserve"> _xlfn.LET(
  _xlpm.idx, _xlfn.XMATCH(1,
      (COL(summary,"model")=$Q40)*(COL(summary,"instance")=INDEX($P:$P, ROW()-$Q40))*(COL(summary,"best")=TRUE)),
  IFERROR(INDEX(COL(summary,"objective"), _xlpm.idx), #N/A)
)</f>
        <v>#N/A</v>
      </c>
      <c r="X40" cm="1">
        <f t="array" ref="X40" xml:space="preserve"> _xlfn.LET(
  _xlpm.idx, _xlfn.XMATCH(1,
      (COL(summary,"model")=$Q40)*(COL(summary,"instance")=INDEX($P:$P, ROW()-$Q40))*(COL(summary,"best")="TIMEOUT")),
  IFERROR(INDEX(COL(summary,"objective"), _xlpm.idx), #N/A)
)</f>
        <v>0</v>
      </c>
    </row>
    <row r="41" spans="1:24" x14ac:dyDescent="0.25">
      <c r="A41">
        <f ca="1">IF(_372845237_asp[[#This Row],[instance]]&lt;OFFSET(_372845237_asp[[#This Row],[instance]],-1,0), OFFSET(_372845237_asp[[#This Row],[model]],-1,0)+1, OFFSET(_372845237_asp[[#This Row],[model]],-1,0))</f>
        <v>2</v>
      </c>
      <c r="B41">
        <v>8</v>
      </c>
      <c r="H41" s="5">
        <v>6.9444444444444441E-3</v>
      </c>
      <c r="I41" s="5">
        <v>4.7577546296296291E-3</v>
      </c>
      <c r="K41">
        <v>3</v>
      </c>
      <c r="L41">
        <v>10</v>
      </c>
      <c r="M41"/>
      <c r="N41" t="s">
        <v>13</v>
      </c>
      <c r="O41" s="1"/>
    </row>
    <row r="42" spans="1:24" x14ac:dyDescent="0.25">
      <c r="A42">
        <f ca="1">IF(_372845237_asp[[#This Row],[instance]]&lt;OFFSET(_372845237_asp[[#This Row],[instance]],-1,0), OFFSET(_372845237_asp[[#This Row],[model]],-1,0)+1, OFFSET(_372845237_asp[[#This Row],[model]],-1,0))</f>
        <v>2</v>
      </c>
      <c r="B42">
        <v>9</v>
      </c>
      <c r="H42" s="5">
        <v>6.9444444444444441E-3</v>
      </c>
      <c r="I42" s="5">
        <v>4.7577546296296291E-3</v>
      </c>
      <c r="K42">
        <v>3</v>
      </c>
      <c r="L42">
        <v>11</v>
      </c>
      <c r="M42"/>
      <c r="N42" t="s">
        <v>13</v>
      </c>
      <c r="O42" s="1"/>
      <c r="P42">
        <v>9</v>
      </c>
    </row>
    <row r="43" spans="1:24" x14ac:dyDescent="0.25">
      <c r="A43">
        <f ca="1">IF(_372845237_asp[[#This Row],[instance]]&lt;OFFSET(_372845237_asp[[#This Row],[instance]],-1,0), OFFSET(_372845237_asp[[#This Row],[model]],-1,0)+1, OFFSET(_372845237_asp[[#This Row],[model]],-1,0))</f>
        <v>2</v>
      </c>
      <c r="B43">
        <v>10</v>
      </c>
      <c r="H43" s="5">
        <v>6.9444444444444441E-3</v>
      </c>
      <c r="I43" s="5">
        <v>4.7577546296296291E-3</v>
      </c>
      <c r="K43">
        <v>3</v>
      </c>
      <c r="L43">
        <v>12</v>
      </c>
      <c r="M43"/>
      <c r="N43" t="s">
        <v>13</v>
      </c>
      <c r="O43" s="1"/>
      <c r="Q43" s="2">
        <v>1</v>
      </c>
      <c r="R43" cm="1">
        <f t="array" aca="1" ref="R43" ca="1">_xlfn.MAXIFS(COL(bench,"wine"), COL(bench,"model"), $Q43, COL(bench,"instance"), INDEX($P:$P, ROW()-$Q43), COL(bench,"time"),"&lt;="&amp;R$1)</f>
        <v>0</v>
      </c>
      <c r="S43" cm="1">
        <f t="array" aca="1" ref="S43" ca="1">_xlfn.MAXIFS(COL(bench,"wine"), COL(bench,"model"), $Q43, COL(bench,"instance"), INDEX($P:$P, ROW()-$Q43), COL(bench,"time"),"&lt;="&amp;S$1)-SUM($R43:R43)</f>
        <v>0</v>
      </c>
      <c r="T43" cm="1">
        <f t="array" aca="1" ref="T43" ca="1">_xlfn.MAXIFS(COL(bench,"wine"), COL(bench,"model"), $Q43, COL(bench,"instance"), INDEX($P:$P, ROW()-$Q43), COL(bench,"time"),"&lt;="&amp;T$1)-SUM($R43:S43)</f>
        <v>0</v>
      </c>
      <c r="U43" cm="1">
        <f t="array" aca="1" ref="U43" ca="1">_xlfn.MAXIFS(COL(bench,"wine"), COL(bench,"model"), $Q43, COL(bench,"instance"), INDEX($P:$P, ROW()-$Q43), COL(bench,"time"),"&lt;="&amp;U$1)-SUM($R43:T43)</f>
        <v>0</v>
      </c>
      <c r="V43" cm="1">
        <f t="array" aca="1" ref="V43" ca="1">_xlfn.MAXIFS(COL(bench,"wine"), COL(bench,"model"), $Q43, COL(bench,"instance"), INDEX($P:$P, ROW()-$Q43), COL(bench,"time"),"&lt;="&amp;V$1)-SUM($R43:U43)</f>
        <v>0</v>
      </c>
      <c r="W43" t="e" cm="1">
        <f t="array" ref="W43" xml:space="preserve"> _xlfn.LET(
  _xlpm.idx, _xlfn.XMATCH(1,
      (COL(summary,"model")=$Q43)*(COL(summary,"instance")=INDEX($P:$P, ROW()-$Q43))*(COL(summary,"best")=TRUE)),
  IFERROR(INDEX(COL(summary,"objective"), _xlpm.idx), #N/A)
)</f>
        <v>#N/A</v>
      </c>
      <c r="X43" cm="1">
        <f t="array" ref="X43" xml:space="preserve"> _xlfn.LET(
  _xlpm.idx, _xlfn.XMATCH(1,
      (COL(summary,"model")=$Q43)*(COL(summary,"instance")=INDEX($P:$P, ROW()-$Q43))*(COL(summary,"best")="TIMEOUT")),
  IFERROR(INDEX(COL(summary,"objective"), _xlpm.idx), #N/A)
)</f>
        <v>0</v>
      </c>
    </row>
    <row r="44" spans="1:24" x14ac:dyDescent="0.25">
      <c r="A44">
        <f ca="1">IF(_372845237_asp[[#This Row],[instance]]&lt;OFFSET(_372845237_asp[[#This Row],[instance]],-1,0), OFFSET(_372845237_asp[[#This Row],[model]],-1,0)+1, OFFSET(_372845237_asp[[#This Row],[model]],-1,0))</f>
        <v>2</v>
      </c>
      <c r="B44">
        <v>11</v>
      </c>
      <c r="C44" s="5">
        <v>1.2020833333333332E-3</v>
      </c>
      <c r="D44">
        <v>0</v>
      </c>
      <c r="E44">
        <v>0</v>
      </c>
      <c r="F44">
        <v>0</v>
      </c>
      <c r="G44" s="5">
        <v>1.1974537037037036E-3</v>
      </c>
      <c r="H44" s="5">
        <v>1.2003472222222222E-3</v>
      </c>
      <c r="I44" s="5">
        <v>4.7577546296296291E-3</v>
      </c>
      <c r="K44">
        <v>3</v>
      </c>
      <c r="L44">
        <v>13</v>
      </c>
      <c r="M44"/>
      <c r="N44" t="s">
        <v>13</v>
      </c>
      <c r="O44" s="1"/>
      <c r="Q44" s="2">
        <v>2</v>
      </c>
      <c r="R44" cm="1">
        <f t="array" aca="1" ref="R44" ca="1">_xlfn.MAXIFS(COL(bench,"wine"), COL(bench,"model"), $Q44, COL(bench,"instance"), INDEX($P:$P, ROW()-$Q44), COL(bench,"time"),"&lt;="&amp;R$1)</f>
        <v>0</v>
      </c>
      <c r="S44" cm="1">
        <f t="array" aca="1" ref="S44" ca="1">_xlfn.MAXIFS(COL(bench,"wine"), COL(bench,"model"), $Q44, COL(bench,"instance"), INDEX($P:$P, ROW()-$Q44), COL(bench,"time"),"&lt;="&amp;S$1)-SUM($R44:R44)</f>
        <v>0</v>
      </c>
      <c r="T44" cm="1">
        <f t="array" aca="1" ref="T44" ca="1">_xlfn.MAXIFS(COL(bench,"wine"), COL(bench,"model"), $Q44, COL(bench,"instance"), INDEX($P:$P, ROW()-$Q44), COL(bench,"time"),"&lt;="&amp;T$1)-SUM($R44:S44)</f>
        <v>0</v>
      </c>
      <c r="U44" cm="1">
        <f t="array" aca="1" ref="U44" ca="1">_xlfn.MAXIFS(COL(bench,"wine"), COL(bench,"model"), $Q44, COL(bench,"instance"), INDEX($P:$P, ROW()-$Q44), COL(bench,"time"),"&lt;="&amp;U$1)-SUM($R44:T44)</f>
        <v>0</v>
      </c>
      <c r="V44" cm="1">
        <f t="array" aca="1" ref="V44" ca="1">_xlfn.MAXIFS(COL(bench,"wine"), COL(bench,"model"), $Q44, COL(bench,"instance"), INDEX($P:$P, ROW()-$Q44), COL(bench,"time"),"&lt;="&amp;V$1)-SUM($R44:U44)</f>
        <v>0</v>
      </c>
      <c r="W44" t="e" cm="1">
        <f t="array" ref="W44" xml:space="preserve"> _xlfn.LET(
  _xlpm.idx, _xlfn.XMATCH(1,
      (COL(summary,"model")=$Q44)*(COL(summary,"instance")=INDEX($P:$P, ROW()-$Q44))*(COL(summary,"best")=TRUE)),
  IFERROR(INDEX(COL(summary,"objective"), _xlpm.idx), #N/A)
)</f>
        <v>#N/A</v>
      </c>
      <c r="X44" cm="1">
        <f t="array" ref="X44" xml:space="preserve"> _xlfn.LET(
  _xlpm.idx, _xlfn.XMATCH(1,
      (COL(summary,"model")=$Q44)*(COL(summary,"instance")=INDEX($P:$P, ROW()-$Q44))*(COL(summary,"best")="TIMEOUT")),
  IFERROR(INDEX(COL(summary,"objective"), _xlpm.idx), #N/A)
)</f>
        <v>0</v>
      </c>
    </row>
    <row r="45" spans="1:24" x14ac:dyDescent="0.25">
      <c r="A45">
        <f ca="1">IF(_372845237_asp[[#This Row],[instance]]&lt;OFFSET(_372845237_asp[[#This Row],[instance]],-1,0), OFFSET(_372845237_asp[[#This Row],[model]],-1,0)+1, OFFSET(_372845237_asp[[#This Row],[model]],-1,0))</f>
        <v>2</v>
      </c>
      <c r="B45">
        <v>11</v>
      </c>
      <c r="C45" s="5">
        <v>1.2021990740740741E-3</v>
      </c>
      <c r="D45">
        <v>3</v>
      </c>
      <c r="E45">
        <v>5</v>
      </c>
      <c r="F45">
        <v>1</v>
      </c>
      <c r="G45" s="5">
        <v>1.1974537037037036E-3</v>
      </c>
      <c r="H45" s="5">
        <v>1.2003472222222222E-3</v>
      </c>
      <c r="I45" s="5">
        <v>4.7577546296296291E-3</v>
      </c>
      <c r="K45">
        <v>3</v>
      </c>
      <c r="L45">
        <v>14</v>
      </c>
      <c r="M45"/>
      <c r="N45" t="s">
        <v>13</v>
      </c>
      <c r="O45" s="1"/>
      <c r="Q45" s="2">
        <v>3</v>
      </c>
      <c r="R45" cm="1">
        <f t="array" aca="1" ref="R45" ca="1">_xlfn.MAXIFS(COL(bench,"wine"), COL(bench,"model"), $Q45, COL(bench,"instance"), INDEX($P:$P, ROW()-$Q45), COL(bench,"time"),"&lt;="&amp;R$1)</f>
        <v>0</v>
      </c>
      <c r="S45" cm="1">
        <f t="array" aca="1" ref="S45" ca="1">_xlfn.MAXIFS(COL(bench,"wine"), COL(bench,"model"), $Q45, COL(bench,"instance"), INDEX($P:$P, ROW()-$Q45), COL(bench,"time"),"&lt;="&amp;S$1)-SUM($R45:R45)</f>
        <v>0</v>
      </c>
      <c r="T45" cm="1">
        <f t="array" aca="1" ref="T45" ca="1">_xlfn.MAXIFS(COL(bench,"wine"), COL(bench,"model"), $Q45, COL(bench,"instance"), INDEX($P:$P, ROW()-$Q45), COL(bench,"time"),"&lt;="&amp;T$1)-SUM($R45:S45)</f>
        <v>0</v>
      </c>
      <c r="U45" cm="1">
        <f t="array" aca="1" ref="U45" ca="1">_xlfn.MAXIFS(COL(bench,"wine"), COL(bench,"model"), $Q45, COL(bench,"instance"), INDEX($P:$P, ROW()-$Q45), COL(bench,"time"),"&lt;="&amp;U$1)-SUM($R45:T45)</f>
        <v>0</v>
      </c>
      <c r="V45" cm="1">
        <f t="array" aca="1" ref="V45" ca="1">_xlfn.MAXIFS(COL(bench,"wine"), COL(bench,"model"), $Q45, COL(bench,"instance"), INDEX($P:$P, ROW()-$Q45), COL(bench,"time"),"&lt;="&amp;V$1)-SUM($R45:U45)</f>
        <v>0</v>
      </c>
      <c r="W45" t="e" cm="1">
        <f t="array" ref="W45" xml:space="preserve"> _xlfn.LET(
  _xlpm.idx, _xlfn.XMATCH(1,
      (COL(summary,"model")=$Q45)*(COL(summary,"instance")=INDEX($P:$P, ROW()-$Q45))*(COL(summary,"best")=TRUE)),
  IFERROR(INDEX(COL(summary,"objective"), _xlpm.idx), #N/A)
)</f>
        <v>#N/A</v>
      </c>
      <c r="X45" cm="1">
        <f t="array" ref="X45" xml:space="preserve"> _xlfn.LET(
  _xlpm.idx, _xlfn.XMATCH(1,
      (COL(summary,"model")=$Q45)*(COL(summary,"instance")=INDEX($P:$P, ROW()-$Q45))*(COL(summary,"best")="TIMEOUT")),
  IFERROR(INDEX(COL(summary,"objective"), _xlpm.idx), #N/A)
)</f>
        <v>0</v>
      </c>
    </row>
    <row r="46" spans="1:24" x14ac:dyDescent="0.25">
      <c r="A46">
        <f ca="1">IF(_372845237_asp[[#This Row],[instance]]&lt;OFFSET(_372845237_asp[[#This Row],[instance]],-1,0), OFFSET(_372845237_asp[[#This Row],[model]],-1,0)+1, OFFSET(_372845237_asp[[#This Row],[model]],-1,0))</f>
        <v>2</v>
      </c>
      <c r="B46">
        <v>11</v>
      </c>
      <c r="C46" s="5">
        <v>1.2034722222222221E-3</v>
      </c>
      <c r="D46">
        <v>3.375</v>
      </c>
      <c r="E46">
        <v>5</v>
      </c>
      <c r="F46">
        <v>1</v>
      </c>
      <c r="G46" s="5">
        <v>1.1974537037037036E-3</v>
      </c>
      <c r="H46" s="5">
        <v>1.2003472222222222E-3</v>
      </c>
      <c r="I46" s="5">
        <v>4.7577546296296291E-3</v>
      </c>
      <c r="K46">
        <v>3</v>
      </c>
      <c r="L46">
        <v>15</v>
      </c>
      <c r="M46"/>
      <c r="N46" t="s">
        <v>13</v>
      </c>
      <c r="O46" s="1"/>
    </row>
    <row r="47" spans="1:24" x14ac:dyDescent="0.25">
      <c r="A47">
        <f ca="1">IF(_372845237_asp[[#This Row],[instance]]&lt;OFFSET(_372845237_asp[[#This Row],[instance]],-1,0), OFFSET(_372845237_asp[[#This Row],[model]],-1,0)+1, OFFSET(_372845237_asp[[#This Row],[model]],-1,0))</f>
        <v>2</v>
      </c>
      <c r="B47">
        <v>11</v>
      </c>
      <c r="C47" s="5">
        <v>1.2034722222222221E-3</v>
      </c>
      <c r="D47">
        <v>3.75</v>
      </c>
      <c r="E47">
        <v>6</v>
      </c>
      <c r="F47">
        <v>1</v>
      </c>
      <c r="G47" s="5">
        <v>1.1974537037037036E-3</v>
      </c>
      <c r="H47" s="5">
        <v>1.2003472222222222E-3</v>
      </c>
      <c r="I47" s="5">
        <v>4.7577546296296291E-3</v>
      </c>
      <c r="K47"/>
      <c r="L47"/>
      <c r="M47"/>
      <c r="N47"/>
      <c r="O47" s="1"/>
      <c r="P47">
        <v>10</v>
      </c>
    </row>
    <row r="48" spans="1:24" x14ac:dyDescent="0.25">
      <c r="A48">
        <f ca="1">IF(_372845237_asp[[#This Row],[instance]]&lt;OFFSET(_372845237_asp[[#This Row],[instance]],-1,0), OFFSET(_372845237_asp[[#This Row],[model]],-1,0)+1, OFFSET(_372845237_asp[[#This Row],[model]],-1,0))</f>
        <v>2</v>
      </c>
      <c r="B48">
        <v>12</v>
      </c>
      <c r="C48" s="5">
        <v>3.7962962962962964E-5</v>
      </c>
      <c r="D48">
        <v>0</v>
      </c>
      <c r="E48">
        <v>0</v>
      </c>
      <c r="F48">
        <v>0</v>
      </c>
      <c r="G48" s="5">
        <v>3.3796296296296295E-5</v>
      </c>
      <c r="H48" s="5">
        <v>3.5069444444444442E-5</v>
      </c>
      <c r="I48" s="5">
        <v>4.7577546296296291E-3</v>
      </c>
      <c r="K48"/>
      <c r="L48"/>
      <c r="M48"/>
      <c r="N48"/>
      <c r="O48" s="1"/>
      <c r="Q48" s="2">
        <v>1</v>
      </c>
      <c r="R48" cm="1">
        <f t="array" aca="1" ref="R48" ca="1">_xlfn.MAXIFS(COL(bench,"wine"), COL(bench,"model"), $Q48, COL(bench,"instance"), INDEX($P:$P, ROW()-$Q48), COL(bench,"time"),"&lt;="&amp;R$1)</f>
        <v>0</v>
      </c>
      <c r="S48" cm="1">
        <f t="array" aca="1" ref="S48" ca="1">_xlfn.MAXIFS(COL(bench,"wine"), COL(bench,"model"), $Q48, COL(bench,"instance"), INDEX($P:$P, ROW()-$Q48), COL(bench,"time"),"&lt;="&amp;S$1)-SUM($R48:R48)</f>
        <v>0</v>
      </c>
      <c r="T48" cm="1">
        <f t="array" aca="1" ref="T48" ca="1">_xlfn.MAXIFS(COL(bench,"wine"), COL(bench,"model"), $Q48, COL(bench,"instance"), INDEX($P:$P, ROW()-$Q48), COL(bench,"time"),"&lt;="&amp;T$1)-SUM($R48:S48)</f>
        <v>0</v>
      </c>
      <c r="U48" cm="1">
        <f t="array" aca="1" ref="U48" ca="1">_xlfn.MAXIFS(COL(bench,"wine"), COL(bench,"model"), $Q48, COL(bench,"instance"), INDEX($P:$P, ROW()-$Q48), COL(bench,"time"),"&lt;="&amp;U$1)-SUM($R48:T48)</f>
        <v>0</v>
      </c>
      <c r="V48" cm="1">
        <f t="array" aca="1" ref="V48" ca="1">_xlfn.MAXIFS(COL(bench,"wine"), COL(bench,"model"), $Q48, COL(bench,"instance"), INDEX($P:$P, ROW()-$Q48), COL(bench,"time"),"&lt;="&amp;V$1)-SUM($R48:U48)</f>
        <v>0</v>
      </c>
      <c r="W48" t="e" cm="1">
        <f t="array" ref="W48" xml:space="preserve"> _xlfn.LET(
  _xlpm.idx, _xlfn.XMATCH(1,
      (COL(summary,"model")=$Q48)*(COL(summary,"instance")=INDEX($P:$P, ROW()-$Q48))*(COL(summary,"best")=TRUE)),
  IFERROR(INDEX(COL(summary,"objective"), _xlpm.idx), #N/A)
)</f>
        <v>#N/A</v>
      </c>
      <c r="X48" cm="1">
        <f t="array" ref="X48" xml:space="preserve"> _xlfn.LET(
  _xlpm.idx, _xlfn.XMATCH(1,
      (COL(summary,"model")=$Q48)*(COL(summary,"instance")=INDEX($P:$P, ROW()-$Q48))*(COL(summary,"best")="TIMEOUT")),
  IFERROR(INDEX(COL(summary,"objective"), _xlpm.idx), #N/A)
)</f>
        <v>0</v>
      </c>
    </row>
    <row r="49" spans="1:29" x14ac:dyDescent="0.25">
      <c r="A49">
        <f ca="1">IF(_372845237_asp[[#This Row],[instance]]&lt;OFFSET(_372845237_asp[[#This Row],[instance]],-1,0), OFFSET(_372845237_asp[[#This Row],[model]],-1,0)+1, OFFSET(_372845237_asp[[#This Row],[model]],-1,0))</f>
        <v>2</v>
      </c>
      <c r="B49">
        <v>12</v>
      </c>
      <c r="C49" s="5">
        <v>3.7962962962962964E-5</v>
      </c>
      <c r="D49">
        <v>3</v>
      </c>
      <c r="E49">
        <v>1</v>
      </c>
      <c r="F49">
        <v>1</v>
      </c>
      <c r="G49" s="5">
        <v>3.3796296296296295E-5</v>
      </c>
      <c r="H49" s="5">
        <v>3.5069444444444442E-5</v>
      </c>
      <c r="I49" s="5">
        <v>4.7577546296296291E-3</v>
      </c>
      <c r="K49"/>
      <c r="L49"/>
      <c r="M49"/>
      <c r="N49"/>
      <c r="O49" s="1"/>
      <c r="Q49" s="2">
        <v>2</v>
      </c>
      <c r="R49" cm="1">
        <f t="array" aca="1" ref="R49" ca="1">_xlfn.MAXIFS(COL(bench,"wine"), COL(bench,"model"), $Q49, COL(bench,"instance"), INDEX($P:$P, ROW()-$Q49), COL(bench,"time"),"&lt;="&amp;R$1)</f>
        <v>0</v>
      </c>
      <c r="S49" cm="1">
        <f t="array" aca="1" ref="S49" ca="1">_xlfn.MAXIFS(COL(bench,"wine"), COL(bench,"model"), $Q49, COL(bench,"instance"), INDEX($P:$P, ROW()-$Q49), COL(bench,"time"),"&lt;="&amp;S$1)-SUM($R49:R49)</f>
        <v>0</v>
      </c>
      <c r="T49" cm="1">
        <f t="array" aca="1" ref="T49" ca="1">_xlfn.MAXIFS(COL(bench,"wine"), COL(bench,"model"), $Q49, COL(bench,"instance"), INDEX($P:$P, ROW()-$Q49), COL(bench,"time"),"&lt;="&amp;T$1)-SUM($R49:S49)</f>
        <v>0</v>
      </c>
      <c r="U49" cm="1">
        <f t="array" aca="1" ref="U49" ca="1">_xlfn.MAXIFS(COL(bench,"wine"), COL(bench,"model"), $Q49, COL(bench,"instance"), INDEX($P:$P, ROW()-$Q49), COL(bench,"time"),"&lt;="&amp;U$1)-SUM($R49:T49)</f>
        <v>0</v>
      </c>
      <c r="V49" cm="1">
        <f t="array" aca="1" ref="V49" ca="1">_xlfn.MAXIFS(COL(bench,"wine"), COL(bench,"model"), $Q49, COL(bench,"instance"), INDEX($P:$P, ROW()-$Q49), COL(bench,"time"),"&lt;="&amp;V$1)-SUM($R49:U49)</f>
        <v>0</v>
      </c>
      <c r="W49" t="e" cm="1">
        <f t="array" ref="W49" xml:space="preserve"> _xlfn.LET(
  _xlpm.idx, _xlfn.XMATCH(1,
      (COL(summary,"model")=$Q49)*(COL(summary,"instance")=INDEX($P:$P, ROW()-$Q49))*(COL(summary,"best")=TRUE)),
  IFERROR(INDEX(COL(summary,"objective"), _xlpm.idx), #N/A)
)</f>
        <v>#N/A</v>
      </c>
      <c r="X49" cm="1">
        <f t="array" ref="X49" xml:space="preserve"> _xlfn.LET(
  _xlpm.idx, _xlfn.XMATCH(1,
      (COL(summary,"model")=$Q49)*(COL(summary,"instance")=INDEX($P:$P, ROW()-$Q49))*(COL(summary,"best")="TIMEOUT")),
  IFERROR(INDEX(COL(summary,"objective"), _xlpm.idx), #N/A)
)</f>
        <v>0</v>
      </c>
      <c r="AC49" s="4"/>
    </row>
    <row r="50" spans="1:29" x14ac:dyDescent="0.25">
      <c r="A50">
        <f ca="1">IF(_372845237_asp[[#This Row],[instance]]&lt;OFFSET(_372845237_asp[[#This Row],[instance]],-1,0), OFFSET(_372845237_asp[[#This Row],[model]],-1,0)+1, OFFSET(_372845237_asp[[#This Row],[model]],-1,0))</f>
        <v>2</v>
      </c>
      <c r="B50">
        <v>12</v>
      </c>
      <c r="C50" s="5">
        <v>3.7962962962962964E-5</v>
      </c>
      <c r="D50">
        <v>6</v>
      </c>
      <c r="E50">
        <v>2</v>
      </c>
      <c r="F50">
        <v>2</v>
      </c>
      <c r="G50" s="5">
        <v>3.3796296296296295E-5</v>
      </c>
      <c r="H50" s="5">
        <v>3.5069444444444442E-5</v>
      </c>
      <c r="I50" s="5">
        <v>4.7577546296296291E-3</v>
      </c>
      <c r="K50"/>
      <c r="L50"/>
      <c r="M50"/>
      <c r="N50"/>
      <c r="O50" s="1"/>
      <c r="Q50" s="2">
        <v>3</v>
      </c>
      <c r="R50" cm="1">
        <f t="array" aca="1" ref="R50" ca="1">_xlfn.MAXIFS(COL(bench,"wine"), COL(bench,"model"), $Q50, COL(bench,"instance"), INDEX($P:$P, ROW()-$Q50), COL(bench,"time"),"&lt;="&amp;R$1)</f>
        <v>0</v>
      </c>
      <c r="S50" cm="1">
        <f t="array" aca="1" ref="S50" ca="1">_xlfn.MAXIFS(COL(bench,"wine"), COL(bench,"model"), $Q50, COL(bench,"instance"), INDEX($P:$P, ROW()-$Q50), COL(bench,"time"),"&lt;="&amp;S$1)-SUM($R50:R50)</f>
        <v>0</v>
      </c>
      <c r="T50" cm="1">
        <f t="array" aca="1" ref="T50" ca="1">_xlfn.MAXIFS(COL(bench,"wine"), COL(bench,"model"), $Q50, COL(bench,"instance"), INDEX($P:$P, ROW()-$Q50), COL(bench,"time"),"&lt;="&amp;T$1)-SUM($R50:S50)</f>
        <v>0</v>
      </c>
      <c r="U50" cm="1">
        <f t="array" aca="1" ref="U50" ca="1">_xlfn.MAXIFS(COL(bench,"wine"), COL(bench,"model"), $Q50, COL(bench,"instance"), INDEX($P:$P, ROW()-$Q50), COL(bench,"time"),"&lt;="&amp;U$1)-SUM($R50:T50)</f>
        <v>0</v>
      </c>
      <c r="V50" cm="1">
        <f t="array" aca="1" ref="V50" ca="1">_xlfn.MAXIFS(COL(bench,"wine"), COL(bench,"model"), $Q50, COL(bench,"instance"), INDEX($P:$P, ROW()-$Q50), COL(bench,"time"),"&lt;="&amp;V$1)-SUM($R50:U50)</f>
        <v>0</v>
      </c>
      <c r="W50" t="e" cm="1">
        <f t="array" ref="W50" xml:space="preserve"> _xlfn.LET(
  _xlpm.idx, _xlfn.XMATCH(1,
      (COL(summary,"model")=$Q50)*(COL(summary,"instance")=INDEX($P:$P, ROW()-$Q50))*(COL(summary,"best")=TRUE)),
  IFERROR(INDEX(COL(summary,"objective"), _xlpm.idx), #N/A)
)</f>
        <v>#N/A</v>
      </c>
      <c r="X50" cm="1">
        <f t="array" ref="X50" xml:space="preserve"> _xlfn.LET(
  _xlpm.idx, _xlfn.XMATCH(1,
      (COL(summary,"model")=$Q50)*(COL(summary,"instance")=INDEX($P:$P, ROW()-$Q50))*(COL(summary,"best")="TIMEOUT")),
  IFERROR(INDEX(COL(summary,"objective"), _xlpm.idx), #N/A)
)</f>
        <v>0</v>
      </c>
    </row>
    <row r="51" spans="1:29" x14ac:dyDescent="0.25">
      <c r="A51">
        <f ca="1">IF(_372845237_asp[[#This Row],[instance]]&lt;OFFSET(_372845237_asp[[#This Row],[instance]],-1,0), OFFSET(_372845237_asp[[#This Row],[model]],-1,0)+1, OFFSET(_372845237_asp[[#This Row],[model]],-1,0))</f>
        <v>2</v>
      </c>
      <c r="B51">
        <v>13</v>
      </c>
      <c r="C51" s="5">
        <v>2.3182870370370371E-3</v>
      </c>
      <c r="D51">
        <v>0</v>
      </c>
      <c r="E51">
        <v>0</v>
      </c>
      <c r="F51">
        <v>0</v>
      </c>
      <c r="G51" s="5">
        <v>2.3141203703703705E-3</v>
      </c>
      <c r="H51" s="5">
        <v>2.3142361111111111E-3</v>
      </c>
      <c r="I51" s="5">
        <v>4.7577546296296291E-3</v>
      </c>
      <c r="K51"/>
      <c r="L51"/>
      <c r="M51"/>
      <c r="N51"/>
      <c r="O51" s="1"/>
    </row>
    <row r="52" spans="1:29" x14ac:dyDescent="0.25">
      <c r="A52">
        <f ca="1">IF(_372845237_asp[[#This Row],[instance]]&lt;OFFSET(_372845237_asp[[#This Row],[instance]],-1,0), OFFSET(_372845237_asp[[#This Row],[model]],-1,0)+1, OFFSET(_372845237_asp[[#This Row],[model]],-1,0))</f>
        <v>2</v>
      </c>
      <c r="B52">
        <v>14</v>
      </c>
      <c r="C52" s="5">
        <v>4.3616898148148148E-3</v>
      </c>
      <c r="D52">
        <v>0</v>
      </c>
      <c r="E52">
        <v>0</v>
      </c>
      <c r="F52">
        <v>0</v>
      </c>
      <c r="G52" s="5">
        <v>4.3575231481481477E-3</v>
      </c>
      <c r="H52" s="5">
        <v>4.3575231481481477E-3</v>
      </c>
      <c r="I52" s="5">
        <v>4.7577546296296291E-3</v>
      </c>
      <c r="K52"/>
      <c r="L52"/>
      <c r="M52"/>
      <c r="N52"/>
      <c r="O52" s="1"/>
      <c r="P52">
        <v>11</v>
      </c>
    </row>
    <row r="53" spans="1:29" x14ac:dyDescent="0.25">
      <c r="A53">
        <f ca="1">IF(_372845237_asp[[#This Row],[instance]]&lt;OFFSET(_372845237_asp[[#This Row],[instance]],-1,0), OFFSET(_372845237_asp[[#This Row],[model]],-1,0)+1, OFFSET(_372845237_asp[[#This Row],[model]],-1,0))</f>
        <v>2</v>
      </c>
      <c r="B53">
        <v>15</v>
      </c>
      <c r="H53" s="5">
        <v>6.9444444444444441E-3</v>
      </c>
      <c r="I53" s="5">
        <v>4.7577546296296291E-3</v>
      </c>
      <c r="K53"/>
      <c r="L53"/>
      <c r="M53"/>
      <c r="N53"/>
      <c r="O53" s="1"/>
      <c r="Q53" s="2">
        <v>1</v>
      </c>
      <c r="R53" cm="1">
        <f t="array" aca="1" ref="R53" ca="1">_xlfn.MAXIFS(COL(bench,"wine"), COL(bench,"model"), $Q53, COL(bench,"instance"), INDEX($P:$P, ROW()-$Q53), COL(bench,"time"),"&lt;="&amp;R$1)</f>
        <v>0</v>
      </c>
      <c r="S53" cm="1">
        <f t="array" aca="1" ref="S53" ca="1">_xlfn.MAXIFS(COL(bench,"wine"), COL(bench,"model"), $Q53, COL(bench,"instance"), INDEX($P:$P, ROW()-$Q53), COL(bench,"time"),"&lt;="&amp;S$1)-SUM($R53:R53)</f>
        <v>0</v>
      </c>
      <c r="T53" cm="1">
        <f t="array" aca="1" ref="T53" ca="1">_xlfn.MAXIFS(COL(bench,"wine"), COL(bench,"model"), $Q53, COL(bench,"instance"), INDEX($P:$P, ROW()-$Q53), COL(bench,"time"),"&lt;="&amp;T$1)-SUM($R53:S53)</f>
        <v>0</v>
      </c>
      <c r="U53" cm="1">
        <f t="array" aca="1" ref="U53" ca="1">_xlfn.MAXIFS(COL(bench,"wine"), COL(bench,"model"), $Q53, COL(bench,"instance"), INDEX($P:$P, ROW()-$Q53), COL(bench,"time"),"&lt;="&amp;U$1)-SUM($R53:T53)</f>
        <v>3.75</v>
      </c>
      <c r="V53" cm="1">
        <f t="array" aca="1" ref="V53" ca="1">_xlfn.MAXIFS(COL(bench,"wine"), COL(bench,"model"), $Q53, COL(bench,"instance"), INDEX($P:$P, ROW()-$Q53), COL(bench,"time"),"&lt;="&amp;V$1)-SUM($R53:U53)</f>
        <v>0</v>
      </c>
      <c r="W53" cm="1">
        <f t="array" ref="W53" xml:space="preserve"> _xlfn.LET(
  _xlpm.idx, _xlfn.XMATCH(1,
      (COL(summary,"model")=$Q53)*(COL(summary,"instance")=INDEX($P:$P, ROW()-$Q53))*(COL(summary,"best")=TRUE)),
  IFERROR(INDEX(COL(summary,"objective"), _xlpm.idx), #N/A)
)</f>
        <v>3.75</v>
      </c>
      <c r="X53" t="e" cm="1">
        <f t="array" ref="X53" xml:space="preserve"> _xlfn.LET(
  _xlpm.idx, _xlfn.XMATCH(1,
      (COL(summary,"model")=$Q53)*(COL(summary,"instance")=INDEX($P:$P, ROW()-$Q53))*(COL(summary,"best")="TIMEOUT")),
  IFERROR(INDEX(COL(summary,"objective"), _xlpm.idx), #N/A)
)</f>
        <v>#N/A</v>
      </c>
    </row>
    <row r="54" spans="1:29" x14ac:dyDescent="0.25">
      <c r="A54">
        <f ca="1">IF(_372845237_asp[[#This Row],[instance]]&lt;OFFSET(_372845237_asp[[#This Row],[instance]],-1,0), OFFSET(_372845237_asp[[#This Row],[model]],-1,0)+1, OFFSET(_372845237_asp[[#This Row],[model]],-1,0))</f>
        <v>3</v>
      </c>
      <c r="B54">
        <v>1</v>
      </c>
      <c r="H54" s="5">
        <v>6.9444444444444441E-3</v>
      </c>
      <c r="I54" s="5">
        <v>6.9444444444444441E-3</v>
      </c>
      <c r="K54"/>
      <c r="L54"/>
      <c r="M54"/>
      <c r="N54"/>
      <c r="O54" s="1"/>
      <c r="Q54" s="2">
        <v>2</v>
      </c>
      <c r="R54" cm="1">
        <f t="array" aca="1" ref="R54" ca="1">_xlfn.MAXIFS(COL(bench,"wine"), COL(bench,"model"), $Q54, COL(bench,"instance"), INDEX($P:$P, ROW()-$Q54), COL(bench,"time"),"&lt;="&amp;R$1)</f>
        <v>0</v>
      </c>
      <c r="S54" cm="1">
        <f t="array" aca="1" ref="S54" ca="1">_xlfn.MAXIFS(COL(bench,"wine"), COL(bench,"model"), $Q54, COL(bench,"instance"), INDEX($P:$P, ROW()-$Q54), COL(bench,"time"),"&lt;="&amp;S$1)-SUM($R54:R54)</f>
        <v>0</v>
      </c>
      <c r="T54" cm="1">
        <f t="array" aca="1" ref="T54" ca="1">_xlfn.MAXIFS(COL(bench,"wine"), COL(bench,"model"), $Q54, COL(bench,"instance"), INDEX($P:$P, ROW()-$Q54), COL(bench,"time"),"&lt;="&amp;T$1)-SUM($R54:S54)</f>
        <v>0</v>
      </c>
      <c r="U54" cm="1">
        <f t="array" aca="1" ref="U54" ca="1">_xlfn.MAXIFS(COL(bench,"wine"), COL(bench,"model"), $Q54, COL(bench,"instance"), INDEX($P:$P, ROW()-$Q54), COL(bench,"time"),"&lt;="&amp;U$1)-SUM($R54:T54)</f>
        <v>3.75</v>
      </c>
      <c r="V54" cm="1">
        <f t="array" aca="1" ref="V54" ca="1">_xlfn.MAXIFS(COL(bench,"wine"), COL(bench,"model"), $Q54, COL(bench,"instance"), INDEX($P:$P, ROW()-$Q54), COL(bench,"time"),"&lt;="&amp;V$1)-SUM($R54:U54)</f>
        <v>0</v>
      </c>
      <c r="W54" cm="1">
        <f t="array" ref="W54" xml:space="preserve"> _xlfn.LET(
  _xlpm.idx, _xlfn.XMATCH(1,
      (COL(summary,"model")=$Q54)*(COL(summary,"instance")=INDEX($P:$P, ROW()-$Q54))*(COL(summary,"best")=TRUE)),
  IFERROR(INDEX(COL(summary,"objective"), _xlpm.idx), #N/A)
)</f>
        <v>3.75</v>
      </c>
      <c r="X54" t="e" cm="1">
        <f t="array" ref="X54" xml:space="preserve"> _xlfn.LET(
  _xlpm.idx, _xlfn.XMATCH(1,
      (COL(summary,"model")=$Q54)*(COL(summary,"instance")=INDEX($P:$P, ROW()-$Q54))*(COL(summary,"best")="TIMEOUT")),
  IFERROR(INDEX(COL(summary,"objective"), _xlpm.idx), #N/A)
)</f>
        <v>#N/A</v>
      </c>
    </row>
    <row r="55" spans="1:29" x14ac:dyDescent="0.25">
      <c r="A55">
        <f ca="1">IF(_372845237_asp[[#This Row],[instance]]&lt;OFFSET(_372845237_asp[[#This Row],[instance]],-1,0), OFFSET(_372845237_asp[[#This Row],[model]],-1,0)+1, OFFSET(_372845237_asp[[#This Row],[model]],-1,0))</f>
        <v>3</v>
      </c>
      <c r="B55">
        <v>2</v>
      </c>
      <c r="H55" s="5">
        <v>6.9444444444444441E-3</v>
      </c>
      <c r="I55" s="5">
        <v>6.9444444444444441E-3</v>
      </c>
      <c r="K55"/>
      <c r="L55"/>
      <c r="M55"/>
      <c r="N55"/>
      <c r="O55" s="1"/>
      <c r="Q55" s="2">
        <v>3</v>
      </c>
      <c r="R55" cm="1">
        <f t="array" aca="1" ref="R55" ca="1">_xlfn.MAXIFS(COL(bench,"wine"), COL(bench,"model"), $Q55, COL(bench,"instance"), INDEX($P:$P, ROW()-$Q55), COL(bench,"time"),"&lt;="&amp;R$1)</f>
        <v>0</v>
      </c>
      <c r="S55" cm="1">
        <f t="array" aca="1" ref="S55" ca="1">_xlfn.MAXIFS(COL(bench,"wine"), COL(bench,"model"), $Q55, COL(bench,"instance"), INDEX($P:$P, ROW()-$Q55), COL(bench,"time"),"&lt;="&amp;S$1)-SUM($R55:R55)</f>
        <v>0</v>
      </c>
      <c r="T55" cm="1">
        <f t="array" aca="1" ref="T55" ca="1">_xlfn.MAXIFS(COL(bench,"wine"), COL(bench,"model"), $Q55, COL(bench,"instance"), INDEX($P:$P, ROW()-$Q55), COL(bench,"time"),"&lt;="&amp;T$1)-SUM($R55:S55)</f>
        <v>0</v>
      </c>
      <c r="U55" cm="1">
        <f t="array" aca="1" ref="U55" ca="1">_xlfn.MAXIFS(COL(bench,"wine"), COL(bench,"model"), $Q55, COL(bench,"instance"), INDEX($P:$P, ROW()-$Q55), COL(bench,"time"),"&lt;="&amp;U$1)-SUM($R55:T55)</f>
        <v>0</v>
      </c>
      <c r="V55" cm="1">
        <f t="array" aca="1" ref="V55" ca="1">_xlfn.MAXIFS(COL(bench,"wine"), COL(bench,"model"), $Q55, COL(bench,"instance"), INDEX($P:$P, ROW()-$Q55), COL(bench,"time"),"&lt;="&amp;V$1)-SUM($R55:U55)</f>
        <v>0</v>
      </c>
      <c r="W55" t="e" cm="1">
        <f t="array" ref="W55" xml:space="preserve"> _xlfn.LET(
  _xlpm.idx, _xlfn.XMATCH(1,
      (COL(summary,"model")=$Q55)*(COL(summary,"instance")=INDEX($P:$P, ROW()-$Q55))*(COL(summary,"best")=TRUE)),
  IFERROR(INDEX(COL(summary,"objective"), _xlpm.idx), #N/A)
)</f>
        <v>#N/A</v>
      </c>
      <c r="X55" cm="1">
        <f t="array" ref="X55" xml:space="preserve"> _xlfn.LET(
  _xlpm.idx, _xlfn.XMATCH(1,
      (COL(summary,"model")=$Q55)*(COL(summary,"instance")=INDEX($P:$P, ROW()-$Q55))*(COL(summary,"best")="TIMEOUT")),
  IFERROR(INDEX(COL(summary,"objective"), _xlpm.idx), #N/A)
)</f>
        <v>0</v>
      </c>
    </row>
    <row r="56" spans="1:29" x14ac:dyDescent="0.25">
      <c r="A56">
        <f ca="1">IF(_372845237_asp[[#This Row],[instance]]&lt;OFFSET(_372845237_asp[[#This Row],[instance]],-1,0), OFFSET(_372845237_asp[[#This Row],[model]],-1,0)+1, OFFSET(_372845237_asp[[#This Row],[model]],-1,0))</f>
        <v>3</v>
      </c>
      <c r="B56">
        <v>3</v>
      </c>
      <c r="H56" s="5">
        <v>6.9444444444444441E-3</v>
      </c>
      <c r="I56" s="5">
        <v>6.9444444444444441E-3</v>
      </c>
      <c r="K56"/>
      <c r="L56"/>
      <c r="M56"/>
      <c r="N56"/>
      <c r="O56" s="1"/>
    </row>
    <row r="57" spans="1:29" x14ac:dyDescent="0.25">
      <c r="A57">
        <f ca="1">IF(_372845237_asp[[#This Row],[instance]]&lt;OFFSET(_372845237_asp[[#This Row],[instance]],-1,0), OFFSET(_372845237_asp[[#This Row],[model]],-1,0)+1, OFFSET(_372845237_asp[[#This Row],[model]],-1,0))</f>
        <v>3</v>
      </c>
      <c r="B57">
        <v>4</v>
      </c>
      <c r="H57" s="5">
        <v>6.9444444444444441E-3</v>
      </c>
      <c r="I57" s="5">
        <v>6.9444444444444441E-3</v>
      </c>
      <c r="K57"/>
      <c r="L57"/>
      <c r="M57"/>
      <c r="N57"/>
      <c r="O57" s="1"/>
      <c r="P57">
        <v>12</v>
      </c>
    </row>
    <row r="58" spans="1:29" x14ac:dyDescent="0.25">
      <c r="A58">
        <f ca="1">IF(_372845237_asp[[#This Row],[instance]]&lt;OFFSET(_372845237_asp[[#This Row],[instance]],-1,0), OFFSET(_372845237_asp[[#This Row],[model]],-1,0)+1, OFFSET(_372845237_asp[[#This Row],[model]],-1,0))</f>
        <v>3</v>
      </c>
      <c r="B58">
        <v>5</v>
      </c>
      <c r="H58" s="5">
        <v>6.9444444444444441E-3</v>
      </c>
      <c r="I58" s="5">
        <v>6.9444444444444441E-3</v>
      </c>
      <c r="K58"/>
      <c r="L58"/>
      <c r="M58"/>
      <c r="N58"/>
      <c r="O58" s="1"/>
      <c r="Q58" s="2">
        <v>1</v>
      </c>
      <c r="R58" cm="1">
        <f t="array" aca="1" ref="R58" ca="1">_xlfn.MAXIFS(COL(bench,"wine"), COL(bench,"model"), $Q58, COL(bench,"instance"), INDEX($P:$P, ROW()-$Q58), COL(bench,"time"),"&lt;="&amp;R$1)</f>
        <v>6</v>
      </c>
      <c r="S58" cm="1">
        <f t="array" aca="1" ref="S58" ca="1">_xlfn.MAXIFS(COL(bench,"wine"), COL(bench,"model"), $Q58, COL(bench,"instance"), INDEX($P:$P, ROW()-$Q58), COL(bench,"time"),"&lt;="&amp;S$1)-SUM($R58:R58)</f>
        <v>0</v>
      </c>
      <c r="T58" cm="1">
        <f t="array" aca="1" ref="T58" ca="1">_xlfn.MAXIFS(COL(bench,"wine"), COL(bench,"model"), $Q58, COL(bench,"instance"), INDEX($P:$P, ROW()-$Q58), COL(bench,"time"),"&lt;="&amp;T$1)-SUM($R58:S58)</f>
        <v>0</v>
      </c>
      <c r="U58" cm="1">
        <f t="array" aca="1" ref="U58" ca="1">_xlfn.MAXIFS(COL(bench,"wine"), COL(bench,"model"), $Q58, COL(bench,"instance"), INDEX($P:$P, ROW()-$Q58), COL(bench,"time"),"&lt;="&amp;U$1)-SUM($R58:T58)</f>
        <v>0</v>
      </c>
      <c r="V58" cm="1">
        <f t="array" aca="1" ref="V58" ca="1">_xlfn.MAXIFS(COL(bench,"wine"), COL(bench,"model"), $Q58, COL(bench,"instance"), INDEX($P:$P, ROW()-$Q58), COL(bench,"time"),"&lt;="&amp;V$1)-SUM($R58:U58)</f>
        <v>0</v>
      </c>
      <c r="W58" cm="1">
        <f t="array" ref="W58" xml:space="preserve"> _xlfn.LET(
  _xlpm.idx, _xlfn.XMATCH(1,
      (COL(summary,"model")=$Q58)*(COL(summary,"instance")=INDEX($P:$P, ROW()-$Q58))*(COL(summary,"best")=TRUE)),
  IFERROR(INDEX(COL(summary,"objective"), _xlpm.idx), #N/A)
)</f>
        <v>6</v>
      </c>
      <c r="X58" t="e" cm="1">
        <f t="array" ref="X58" xml:space="preserve"> _xlfn.LET(
  _xlpm.idx, _xlfn.XMATCH(1,
      (COL(summary,"model")=$Q58)*(COL(summary,"instance")=INDEX($P:$P, ROW()-$Q58))*(COL(summary,"best")="TIMEOUT")),
  IFERROR(INDEX(COL(summary,"objective"), _xlpm.idx), #N/A)
)</f>
        <v>#N/A</v>
      </c>
    </row>
    <row r="59" spans="1:29" x14ac:dyDescent="0.25">
      <c r="A59">
        <f ca="1">IF(_372845237_asp[[#This Row],[instance]]&lt;OFFSET(_372845237_asp[[#This Row],[instance]],-1,0), OFFSET(_372845237_asp[[#This Row],[model]],-1,0)+1, OFFSET(_372845237_asp[[#This Row],[model]],-1,0))</f>
        <v>3</v>
      </c>
      <c r="B59">
        <v>6</v>
      </c>
      <c r="H59" s="5">
        <v>6.9444444444444441E-3</v>
      </c>
      <c r="I59" s="5">
        <v>6.9444444444444441E-3</v>
      </c>
      <c r="K59"/>
      <c r="L59"/>
      <c r="M59"/>
      <c r="N59"/>
      <c r="O59" s="1"/>
      <c r="Q59" s="2">
        <v>2</v>
      </c>
      <c r="R59" cm="1">
        <f t="array" aca="1" ref="R59" ca="1">_xlfn.MAXIFS(COL(bench,"wine"), COL(bench,"model"), $Q59, COL(bench,"instance"), INDEX($P:$P, ROW()-$Q59), COL(bench,"time"),"&lt;="&amp;R$1)</f>
        <v>6</v>
      </c>
      <c r="S59" cm="1">
        <f t="array" aca="1" ref="S59" ca="1">_xlfn.MAXIFS(COL(bench,"wine"), COL(bench,"model"), $Q59, COL(bench,"instance"), INDEX($P:$P, ROW()-$Q59), COL(bench,"time"),"&lt;="&amp;S$1)-SUM($R59:R59)</f>
        <v>0</v>
      </c>
      <c r="T59" cm="1">
        <f t="array" aca="1" ref="T59" ca="1">_xlfn.MAXIFS(COL(bench,"wine"), COL(bench,"model"), $Q59, COL(bench,"instance"), INDEX($P:$P, ROW()-$Q59), COL(bench,"time"),"&lt;="&amp;T$1)-SUM($R59:S59)</f>
        <v>0</v>
      </c>
      <c r="U59" cm="1">
        <f t="array" aca="1" ref="U59" ca="1">_xlfn.MAXIFS(COL(bench,"wine"), COL(bench,"model"), $Q59, COL(bench,"instance"), INDEX($P:$P, ROW()-$Q59), COL(bench,"time"),"&lt;="&amp;U$1)-SUM($R59:T59)</f>
        <v>0</v>
      </c>
      <c r="V59" cm="1">
        <f t="array" aca="1" ref="V59" ca="1">_xlfn.MAXIFS(COL(bench,"wine"), COL(bench,"model"), $Q59, COL(bench,"instance"), INDEX($P:$P, ROW()-$Q59), COL(bench,"time"),"&lt;="&amp;V$1)-SUM($R59:U59)</f>
        <v>0</v>
      </c>
      <c r="W59" cm="1">
        <f t="array" ref="W59" xml:space="preserve"> _xlfn.LET(
  _xlpm.idx, _xlfn.XMATCH(1,
      (COL(summary,"model")=$Q59)*(COL(summary,"instance")=INDEX($P:$P, ROW()-$Q59))*(COL(summary,"best")=TRUE)),
  IFERROR(INDEX(COL(summary,"objective"), _xlpm.idx), #N/A)
)</f>
        <v>6</v>
      </c>
      <c r="X59" t="e" cm="1">
        <f t="array" ref="X59" xml:space="preserve"> _xlfn.LET(
  _xlpm.idx, _xlfn.XMATCH(1,
      (COL(summary,"model")=$Q59)*(COL(summary,"instance")=INDEX($P:$P, ROW()-$Q59))*(COL(summary,"best")="TIMEOUT")),
  IFERROR(INDEX(COL(summary,"objective"), _xlpm.idx), #N/A)
)</f>
        <v>#N/A</v>
      </c>
    </row>
    <row r="60" spans="1:29" x14ac:dyDescent="0.25">
      <c r="A60">
        <f ca="1">IF(_372845237_asp[[#This Row],[instance]]&lt;OFFSET(_372845237_asp[[#This Row],[instance]],-1,0), OFFSET(_372845237_asp[[#This Row],[model]],-1,0)+1, OFFSET(_372845237_asp[[#This Row],[model]],-1,0))</f>
        <v>3</v>
      </c>
      <c r="B60">
        <v>7</v>
      </c>
      <c r="H60" s="5">
        <v>6.9444444444444441E-3</v>
      </c>
      <c r="I60" s="5">
        <v>6.9444444444444441E-3</v>
      </c>
      <c r="K60"/>
      <c r="L60"/>
      <c r="M60"/>
      <c r="N60"/>
      <c r="O60" s="1"/>
      <c r="Q60" s="2">
        <v>3</v>
      </c>
      <c r="R60" cm="1">
        <f t="array" aca="1" ref="R60" ca="1">_xlfn.MAXIFS(COL(bench,"wine"), COL(bench,"model"), $Q60, COL(bench,"instance"), INDEX($P:$P, ROW()-$Q60), COL(bench,"time"),"&lt;="&amp;R$1)</f>
        <v>0</v>
      </c>
      <c r="S60" cm="1">
        <f t="array" aca="1" ref="S60" ca="1">_xlfn.MAXIFS(COL(bench,"wine"), COL(bench,"model"), $Q60, COL(bench,"instance"), INDEX($P:$P, ROW()-$Q60), COL(bench,"time"),"&lt;="&amp;S$1)-SUM($R60:R60)</f>
        <v>0</v>
      </c>
      <c r="T60" cm="1">
        <f t="array" aca="1" ref="T60" ca="1">_xlfn.MAXIFS(COL(bench,"wine"), COL(bench,"model"), $Q60, COL(bench,"instance"), INDEX($P:$P, ROW()-$Q60), COL(bench,"time"),"&lt;="&amp;T$1)-SUM($R60:S60)</f>
        <v>0</v>
      </c>
      <c r="U60" cm="1">
        <f t="array" aca="1" ref="U60" ca="1">_xlfn.MAXIFS(COL(bench,"wine"), COL(bench,"model"), $Q60, COL(bench,"instance"), INDEX($P:$P, ROW()-$Q60), COL(bench,"time"),"&lt;="&amp;U$1)-SUM($R60:T60)</f>
        <v>0</v>
      </c>
      <c r="V60" cm="1">
        <f t="array" aca="1" ref="V60" ca="1">_xlfn.MAXIFS(COL(bench,"wine"), COL(bench,"model"), $Q60, COL(bench,"instance"), INDEX($P:$P, ROW()-$Q60), COL(bench,"time"),"&lt;="&amp;V$1)-SUM($R60:U60)</f>
        <v>0</v>
      </c>
      <c r="W60" t="e" cm="1">
        <f t="array" ref="W60" xml:space="preserve"> _xlfn.LET(
  _xlpm.idx, _xlfn.XMATCH(1,
      (COL(summary,"model")=$Q60)*(COL(summary,"instance")=INDEX($P:$P, ROW()-$Q60))*(COL(summary,"best")=TRUE)),
  IFERROR(INDEX(COL(summary,"objective"), _xlpm.idx), #N/A)
)</f>
        <v>#N/A</v>
      </c>
      <c r="X60" cm="1">
        <f t="array" ref="X60" xml:space="preserve"> _xlfn.LET(
  _xlpm.idx, _xlfn.XMATCH(1,
      (COL(summary,"model")=$Q60)*(COL(summary,"instance")=INDEX($P:$P, ROW()-$Q60))*(COL(summary,"best")="TIMEOUT")),
  IFERROR(INDEX(COL(summary,"objective"), _xlpm.idx), #N/A)
)</f>
        <v>0</v>
      </c>
    </row>
    <row r="61" spans="1:29" x14ac:dyDescent="0.25">
      <c r="A61">
        <f ca="1">IF(_372845237_asp[[#This Row],[instance]]&lt;OFFSET(_372845237_asp[[#This Row],[instance]],-1,0), OFFSET(_372845237_asp[[#This Row],[model]],-1,0)+1, OFFSET(_372845237_asp[[#This Row],[model]],-1,0))</f>
        <v>3</v>
      </c>
      <c r="B61">
        <v>8</v>
      </c>
      <c r="H61" s="5">
        <v>6.9444444444444441E-3</v>
      </c>
      <c r="I61" s="5">
        <v>6.9444444444444441E-3</v>
      </c>
      <c r="K61"/>
      <c r="L61"/>
      <c r="M61"/>
      <c r="N61"/>
      <c r="O61" s="1"/>
    </row>
    <row r="62" spans="1:29" x14ac:dyDescent="0.25">
      <c r="A62">
        <f ca="1">IF(_372845237_asp[[#This Row],[instance]]&lt;OFFSET(_372845237_asp[[#This Row],[instance]],-1,0), OFFSET(_372845237_asp[[#This Row],[model]],-1,0)+1, OFFSET(_372845237_asp[[#This Row],[model]],-1,0))</f>
        <v>3</v>
      </c>
      <c r="B62">
        <v>9</v>
      </c>
      <c r="H62" s="5">
        <v>6.9444444444444441E-3</v>
      </c>
      <c r="I62" s="5">
        <v>6.9444444444444441E-3</v>
      </c>
      <c r="O62" s="1"/>
      <c r="P62">
        <v>13</v>
      </c>
    </row>
    <row r="63" spans="1:29" x14ac:dyDescent="0.25">
      <c r="A63">
        <f ca="1">IF(_372845237_asp[[#This Row],[instance]]&lt;OFFSET(_372845237_asp[[#This Row],[instance]],-1,0), OFFSET(_372845237_asp[[#This Row],[model]],-1,0)+1, OFFSET(_372845237_asp[[#This Row],[model]],-1,0))</f>
        <v>3</v>
      </c>
      <c r="B63">
        <v>10</v>
      </c>
      <c r="H63" s="5">
        <v>6.9444444444444441E-3</v>
      </c>
      <c r="I63" s="5">
        <v>6.9444444444444441E-3</v>
      </c>
      <c r="O63" s="1"/>
      <c r="Q63" s="2">
        <v>1</v>
      </c>
      <c r="R63" cm="1">
        <f t="array" aca="1" ref="R63" ca="1">_xlfn.MAXIFS(COL(bench,"wine"), COL(bench,"model"), $Q63, COL(bench,"instance"), INDEX($P:$P, ROW()-$Q63), COL(bench,"time"),"&lt;="&amp;R$1)</f>
        <v>0</v>
      </c>
      <c r="S63" cm="1">
        <f t="array" aca="1" ref="S63" ca="1">_xlfn.MAXIFS(COL(bench,"wine"), COL(bench,"model"), $Q63, COL(bench,"instance"), INDEX($P:$P, ROW()-$Q63), COL(bench,"time"),"&lt;="&amp;S$1)-SUM($R63:R63)</f>
        <v>0</v>
      </c>
      <c r="T63" cm="1">
        <f t="array" aca="1" ref="T63" ca="1">_xlfn.MAXIFS(COL(bench,"wine"), COL(bench,"model"), $Q63, COL(bench,"instance"), INDEX($P:$P, ROW()-$Q63), COL(bench,"time"),"&lt;="&amp;T$1)-SUM($R63:S63)</f>
        <v>0</v>
      </c>
      <c r="U63" cm="1">
        <f t="array" aca="1" ref="U63" ca="1">_xlfn.MAXIFS(COL(bench,"wine"), COL(bench,"model"), $Q63, COL(bench,"instance"), INDEX($P:$P, ROW()-$Q63), COL(bench,"time"),"&lt;="&amp;U$1)-SUM($R63:T63)</f>
        <v>0</v>
      </c>
      <c r="V63" cm="1">
        <f t="array" aca="1" ref="V63" ca="1">_xlfn.MAXIFS(COL(bench,"wine"), COL(bench,"model"), $Q63, COL(bench,"instance"), INDEX($P:$P, ROW()-$Q63), COL(bench,"time"),"&lt;="&amp;V$1)-SUM($R63:U63)</f>
        <v>0</v>
      </c>
      <c r="W63" cm="1">
        <f t="array" ref="W63" xml:space="preserve"> _xlfn.LET(
  _xlpm.idx, _xlfn.XMATCH(1,
      (COL(summary,"model")=$Q63)*(COL(summary,"instance")=INDEX($P:$P, ROW()-$Q63))*(COL(summary,"best")=TRUE)),
  IFERROR(INDEX(COL(summary,"objective"), _xlpm.idx), #N/A)
)</f>
        <v>0</v>
      </c>
      <c r="X63" t="e" cm="1">
        <f t="array" ref="X63" xml:space="preserve"> _xlfn.LET(
  _xlpm.idx, _xlfn.XMATCH(1,
      (COL(summary,"model")=$Q63)*(COL(summary,"instance")=INDEX($P:$P, ROW()-$Q63))*(COL(summary,"best")="TIMEOUT")),
  IFERROR(INDEX(COL(summary,"objective"), _xlpm.idx), #N/A)
)</f>
        <v>#N/A</v>
      </c>
    </row>
    <row r="64" spans="1:29" x14ac:dyDescent="0.25">
      <c r="A64">
        <f ca="1">IF(_372845237_asp[[#This Row],[instance]]&lt;OFFSET(_372845237_asp[[#This Row],[instance]],-1,0), OFFSET(_372845237_asp[[#This Row],[model]],-1,0)+1, OFFSET(_372845237_asp[[#This Row],[model]],-1,0))</f>
        <v>3</v>
      </c>
      <c r="B64">
        <v>11</v>
      </c>
      <c r="H64" s="5">
        <v>6.9444444444444441E-3</v>
      </c>
      <c r="I64" s="5">
        <v>6.9444444444444441E-3</v>
      </c>
      <c r="O64" s="1"/>
      <c r="Q64" s="2">
        <v>2</v>
      </c>
      <c r="R64" cm="1">
        <f t="array" aca="1" ref="R64" ca="1">_xlfn.MAXIFS(COL(bench,"wine"), COL(bench,"model"), $Q64, COL(bench,"instance"), INDEX($P:$P, ROW()-$Q64), COL(bench,"time"),"&lt;="&amp;R$1)</f>
        <v>0</v>
      </c>
      <c r="S64" cm="1">
        <f t="array" aca="1" ref="S64" ca="1">_xlfn.MAXIFS(COL(bench,"wine"), COL(bench,"model"), $Q64, COL(bench,"instance"), INDEX($P:$P, ROW()-$Q64), COL(bench,"time"),"&lt;="&amp;S$1)-SUM($R64:R64)</f>
        <v>0</v>
      </c>
      <c r="T64" cm="1">
        <f t="array" aca="1" ref="T64" ca="1">_xlfn.MAXIFS(COL(bench,"wine"), COL(bench,"model"), $Q64, COL(bench,"instance"), INDEX($P:$P, ROW()-$Q64), COL(bench,"time"),"&lt;="&amp;T$1)-SUM($R64:S64)</f>
        <v>0</v>
      </c>
      <c r="U64" cm="1">
        <f t="array" aca="1" ref="U64" ca="1">_xlfn.MAXIFS(COL(bench,"wine"), COL(bench,"model"), $Q64, COL(bench,"instance"), INDEX($P:$P, ROW()-$Q64), COL(bench,"time"),"&lt;="&amp;U$1)-SUM($R64:T64)</f>
        <v>0</v>
      </c>
      <c r="V64" cm="1">
        <f t="array" aca="1" ref="V64" ca="1">_xlfn.MAXIFS(COL(bench,"wine"), COL(bench,"model"), $Q64, COL(bench,"instance"), INDEX($P:$P, ROW()-$Q64), COL(bench,"time"),"&lt;="&amp;V$1)-SUM($R64:U64)</f>
        <v>0</v>
      </c>
      <c r="W64" cm="1">
        <f t="array" ref="W64" xml:space="preserve"> _xlfn.LET(
  _xlpm.idx, _xlfn.XMATCH(1,
      (COL(summary,"model")=$Q64)*(COL(summary,"instance")=INDEX($P:$P, ROW()-$Q64))*(COL(summary,"best")=TRUE)),
  IFERROR(INDEX(COL(summary,"objective"), _xlpm.idx), #N/A)
)</f>
        <v>0</v>
      </c>
      <c r="X64" t="e" cm="1">
        <f t="array" ref="X64" xml:space="preserve"> _xlfn.LET(
  _xlpm.idx, _xlfn.XMATCH(1,
      (COL(summary,"model")=$Q64)*(COL(summary,"instance")=INDEX($P:$P, ROW()-$Q64))*(COL(summary,"best")="TIMEOUT")),
  IFERROR(INDEX(COL(summary,"objective"), _xlpm.idx), #N/A)
)</f>
        <v>#N/A</v>
      </c>
    </row>
    <row r="65" spans="1:24" x14ac:dyDescent="0.25">
      <c r="A65">
        <f ca="1">IF(_372845237_asp[[#This Row],[instance]]&lt;OFFSET(_372845237_asp[[#This Row],[instance]],-1,0), OFFSET(_372845237_asp[[#This Row],[model]],-1,0)+1, OFFSET(_372845237_asp[[#This Row],[model]],-1,0))</f>
        <v>3</v>
      </c>
      <c r="B65">
        <v>12</v>
      </c>
      <c r="H65" s="5">
        <v>6.9444444444444441E-3</v>
      </c>
      <c r="I65" s="5">
        <v>6.9444444444444441E-3</v>
      </c>
      <c r="O65" s="1"/>
      <c r="Q65" s="2">
        <v>3</v>
      </c>
      <c r="R65" cm="1">
        <f t="array" aca="1" ref="R65" ca="1">_xlfn.MAXIFS(COL(bench,"wine"), COL(bench,"model"), $Q65, COL(bench,"instance"), INDEX($P:$P, ROW()-$Q65), COL(bench,"time"),"&lt;="&amp;R$1)</f>
        <v>0</v>
      </c>
      <c r="S65" cm="1">
        <f t="array" aca="1" ref="S65" ca="1">_xlfn.MAXIFS(COL(bench,"wine"), COL(bench,"model"), $Q65, COL(bench,"instance"), INDEX($P:$P, ROW()-$Q65), COL(bench,"time"),"&lt;="&amp;S$1)-SUM($R65:R65)</f>
        <v>0</v>
      </c>
      <c r="T65" cm="1">
        <f t="array" aca="1" ref="T65" ca="1">_xlfn.MAXIFS(COL(bench,"wine"), COL(bench,"model"), $Q65, COL(bench,"instance"), INDEX($P:$P, ROW()-$Q65), COL(bench,"time"),"&lt;="&amp;T$1)-SUM($R65:S65)</f>
        <v>0</v>
      </c>
      <c r="U65" cm="1">
        <f t="array" aca="1" ref="U65" ca="1">_xlfn.MAXIFS(COL(bench,"wine"), COL(bench,"model"), $Q65, COL(bench,"instance"), INDEX($P:$P, ROW()-$Q65), COL(bench,"time"),"&lt;="&amp;U$1)-SUM($R65:T65)</f>
        <v>0</v>
      </c>
      <c r="V65" cm="1">
        <f t="array" aca="1" ref="V65" ca="1">_xlfn.MAXIFS(COL(bench,"wine"), COL(bench,"model"), $Q65, COL(bench,"instance"), INDEX($P:$P, ROW()-$Q65), COL(bench,"time"),"&lt;="&amp;V$1)-SUM($R65:U65)</f>
        <v>0</v>
      </c>
      <c r="W65" t="e" cm="1">
        <f t="array" ref="W65" xml:space="preserve"> _xlfn.LET(
  _xlpm.idx, _xlfn.XMATCH(1,
      (COL(summary,"model")=$Q65)*(COL(summary,"instance")=INDEX($P:$P, ROW()-$Q65))*(COL(summary,"best")=TRUE)),
  IFERROR(INDEX(COL(summary,"objective"), _xlpm.idx), #N/A)
)</f>
        <v>#N/A</v>
      </c>
      <c r="X65" cm="1">
        <f t="array" ref="X65" xml:space="preserve"> _xlfn.LET(
  _xlpm.idx, _xlfn.XMATCH(1,
      (COL(summary,"model")=$Q65)*(COL(summary,"instance")=INDEX($P:$P, ROW()-$Q65))*(COL(summary,"best")="TIMEOUT")),
  IFERROR(INDEX(COL(summary,"objective"), _xlpm.idx), #N/A)
)</f>
        <v>0</v>
      </c>
    </row>
    <row r="66" spans="1:24" x14ac:dyDescent="0.25">
      <c r="A66">
        <f ca="1">IF(_372845237_asp[[#This Row],[instance]]&lt;OFFSET(_372845237_asp[[#This Row],[instance]],-1,0), OFFSET(_372845237_asp[[#This Row],[model]],-1,0)+1, OFFSET(_372845237_asp[[#This Row],[model]],-1,0))</f>
        <v>3</v>
      </c>
      <c r="B66">
        <v>13</v>
      </c>
      <c r="H66" s="5">
        <v>6.9444444444444441E-3</v>
      </c>
      <c r="I66" s="5">
        <v>6.9444444444444441E-3</v>
      </c>
      <c r="O66" s="1"/>
    </row>
    <row r="67" spans="1:24" x14ac:dyDescent="0.25">
      <c r="A67">
        <f ca="1">IF(_372845237_asp[[#This Row],[instance]]&lt;OFFSET(_372845237_asp[[#This Row],[instance]],-1,0), OFFSET(_372845237_asp[[#This Row],[model]],-1,0)+1, OFFSET(_372845237_asp[[#This Row],[model]],-1,0))</f>
        <v>3</v>
      </c>
      <c r="B67">
        <v>14</v>
      </c>
      <c r="H67" s="5">
        <v>6.9444444444444441E-3</v>
      </c>
      <c r="I67" s="5">
        <v>6.9444444444444441E-3</v>
      </c>
      <c r="O67" s="1"/>
      <c r="P67">
        <v>14</v>
      </c>
    </row>
    <row r="68" spans="1:24" x14ac:dyDescent="0.25">
      <c r="A68">
        <f ca="1">IF(_372845237_asp[[#This Row],[instance]]&lt;OFFSET(_372845237_asp[[#This Row],[instance]],-1,0), OFFSET(_372845237_asp[[#This Row],[model]],-1,0)+1, OFFSET(_372845237_asp[[#This Row],[model]],-1,0))</f>
        <v>3</v>
      </c>
      <c r="B68">
        <v>15</v>
      </c>
      <c r="H68" s="5">
        <v>6.9444444444444441E-3</v>
      </c>
      <c r="I68" s="5">
        <v>6.9444444444444441E-3</v>
      </c>
      <c r="O68" s="1"/>
      <c r="Q68" s="2">
        <v>1</v>
      </c>
      <c r="R68" cm="1">
        <f t="array" aca="1" ref="R68" ca="1">_xlfn.MAXIFS(COL(bench,"wine"), COL(bench,"model"), $Q68, COL(bench,"instance"), INDEX($P:$P, ROW()-$Q68), COL(bench,"time"),"&lt;="&amp;R$1)</f>
        <v>0</v>
      </c>
      <c r="S68" cm="1">
        <f t="array" aca="1" ref="S68" ca="1">_xlfn.MAXIFS(COL(bench,"wine"), COL(bench,"model"), $Q68, COL(bench,"instance"), INDEX($P:$P, ROW()-$Q68), COL(bench,"time"),"&lt;="&amp;S$1)-SUM($R68:R68)</f>
        <v>0</v>
      </c>
      <c r="T68" cm="1">
        <f t="array" aca="1" ref="T68" ca="1">_xlfn.MAXIFS(COL(bench,"wine"), COL(bench,"model"), $Q68, COL(bench,"instance"), INDEX($P:$P, ROW()-$Q68), COL(bench,"time"),"&lt;="&amp;T$1)-SUM($R68:S68)</f>
        <v>0</v>
      </c>
      <c r="U68" cm="1">
        <f t="array" aca="1" ref="U68" ca="1">_xlfn.MAXIFS(COL(bench,"wine"), COL(bench,"model"), $Q68, COL(bench,"instance"), INDEX($P:$P, ROW()-$Q68), COL(bench,"time"),"&lt;="&amp;U$1)-SUM($R68:T68)</f>
        <v>0</v>
      </c>
      <c r="V68" cm="1">
        <f t="array" aca="1" ref="V68" ca="1">_xlfn.MAXIFS(COL(bench,"wine"), COL(bench,"model"), $Q68, COL(bench,"instance"), INDEX($P:$P, ROW()-$Q68), COL(bench,"time"),"&lt;="&amp;V$1)-SUM($R68:U68)</f>
        <v>0</v>
      </c>
      <c r="W68" cm="1">
        <f t="array" ref="W68" xml:space="preserve"> _xlfn.LET(
  _xlpm.idx, _xlfn.XMATCH(1,
      (COL(summary,"model")=$Q68)*(COL(summary,"instance")=INDEX($P:$P, ROW()-$Q68))*(COL(summary,"best")=TRUE)),
  IFERROR(INDEX(COL(summary,"objective"), _xlpm.idx), #N/A)
)</f>
        <v>0</v>
      </c>
      <c r="X68" t="e" cm="1">
        <f t="array" ref="X68" xml:space="preserve"> _xlfn.LET(
  _xlpm.idx, _xlfn.XMATCH(1,
      (COL(summary,"model")=$Q68)*(COL(summary,"instance")=INDEX($P:$P, ROW()-$Q68))*(COL(summary,"best")="TIMEOUT")),
  IFERROR(INDEX(COL(summary,"objective"), _xlpm.idx), #N/A)
)</f>
        <v>#N/A</v>
      </c>
    </row>
    <row r="69" spans="1:24" x14ac:dyDescent="0.25">
      <c r="O69" s="1"/>
      <c r="Q69" s="2">
        <v>2</v>
      </c>
      <c r="R69" cm="1">
        <f t="array" aca="1" ref="R69" ca="1">_xlfn.MAXIFS(COL(bench,"wine"), COL(bench,"model"), $Q69, COL(bench,"instance"), INDEX($P:$P, ROW()-$Q69), COL(bench,"time"),"&lt;="&amp;R$1)</f>
        <v>0</v>
      </c>
      <c r="S69" cm="1">
        <f t="array" aca="1" ref="S69" ca="1">_xlfn.MAXIFS(COL(bench,"wine"), COL(bench,"model"), $Q69, COL(bench,"instance"), INDEX($P:$P, ROW()-$Q69), COL(bench,"time"),"&lt;="&amp;S$1)-SUM($R69:R69)</f>
        <v>0</v>
      </c>
      <c r="T69" cm="1">
        <f t="array" aca="1" ref="T69" ca="1">_xlfn.MAXIFS(COL(bench,"wine"), COL(bench,"model"), $Q69, COL(bench,"instance"), INDEX($P:$P, ROW()-$Q69), COL(bench,"time"),"&lt;="&amp;T$1)-SUM($R69:S69)</f>
        <v>0</v>
      </c>
      <c r="U69" cm="1">
        <f t="array" aca="1" ref="U69" ca="1">_xlfn.MAXIFS(COL(bench,"wine"), COL(bench,"model"), $Q69, COL(bench,"instance"), INDEX($P:$P, ROW()-$Q69), COL(bench,"time"),"&lt;="&amp;U$1)-SUM($R69:T69)</f>
        <v>0</v>
      </c>
      <c r="V69" cm="1">
        <f t="array" aca="1" ref="V69" ca="1">_xlfn.MAXIFS(COL(bench,"wine"), COL(bench,"model"), $Q69, COL(bench,"instance"), INDEX($P:$P, ROW()-$Q69), COL(bench,"time"),"&lt;="&amp;V$1)-SUM($R69:U69)</f>
        <v>0</v>
      </c>
      <c r="W69" cm="1">
        <f t="array" ref="W69" xml:space="preserve"> _xlfn.LET(
  _xlpm.idx, _xlfn.XMATCH(1,
      (COL(summary,"model")=$Q69)*(COL(summary,"instance")=INDEX($P:$P, ROW()-$Q69))*(COL(summary,"best")=TRUE)),
  IFERROR(INDEX(COL(summary,"objective"), _xlpm.idx), #N/A)
)</f>
        <v>0</v>
      </c>
      <c r="X69" t="e" cm="1">
        <f t="array" ref="X69" xml:space="preserve"> _xlfn.LET(
  _xlpm.idx, _xlfn.XMATCH(1,
      (COL(summary,"model")=$Q69)*(COL(summary,"instance")=INDEX($P:$P, ROW()-$Q69))*(COL(summary,"best")="TIMEOUT")),
  IFERROR(INDEX(COL(summary,"objective"), _xlpm.idx), #N/A)
)</f>
        <v>#N/A</v>
      </c>
    </row>
    <row r="70" spans="1:24" x14ac:dyDescent="0.25">
      <c r="O70" s="1"/>
      <c r="Q70" s="2">
        <v>3</v>
      </c>
      <c r="R70" cm="1">
        <f t="array" aca="1" ref="R70" ca="1">_xlfn.MAXIFS(COL(bench,"wine"), COL(bench,"model"), $Q70, COL(bench,"instance"), INDEX($P:$P, ROW()-$Q70), COL(bench,"time"),"&lt;="&amp;R$1)</f>
        <v>0</v>
      </c>
      <c r="S70" cm="1">
        <f t="array" aca="1" ref="S70" ca="1">_xlfn.MAXIFS(COL(bench,"wine"), COL(bench,"model"), $Q70, COL(bench,"instance"), INDEX($P:$P, ROW()-$Q70), COL(bench,"time"),"&lt;="&amp;S$1)-SUM($R70:R70)</f>
        <v>0</v>
      </c>
      <c r="T70" cm="1">
        <f t="array" aca="1" ref="T70" ca="1">_xlfn.MAXIFS(COL(bench,"wine"), COL(bench,"model"), $Q70, COL(bench,"instance"), INDEX($P:$P, ROW()-$Q70), COL(bench,"time"),"&lt;="&amp;T$1)-SUM($R70:S70)</f>
        <v>0</v>
      </c>
      <c r="U70" cm="1">
        <f t="array" aca="1" ref="U70" ca="1">_xlfn.MAXIFS(COL(bench,"wine"), COL(bench,"model"), $Q70, COL(bench,"instance"), INDEX($P:$P, ROW()-$Q70), COL(bench,"time"),"&lt;="&amp;U$1)-SUM($R70:T70)</f>
        <v>0</v>
      </c>
      <c r="V70" cm="1">
        <f t="array" aca="1" ref="V70" ca="1">_xlfn.MAXIFS(COL(bench,"wine"), COL(bench,"model"), $Q70, COL(bench,"instance"), INDEX($P:$P, ROW()-$Q70), COL(bench,"time"),"&lt;="&amp;V$1)-SUM($R70:U70)</f>
        <v>0</v>
      </c>
      <c r="W70" t="e" cm="1">
        <f t="array" ref="W70" xml:space="preserve"> _xlfn.LET(
  _xlpm.idx, _xlfn.XMATCH(1,
      (COL(summary,"model")=$Q70)*(COL(summary,"instance")=INDEX($P:$P, ROW()-$Q70))*(COL(summary,"best")=TRUE)),
  IFERROR(INDEX(COL(summary,"objective"), _xlpm.idx), #N/A)
)</f>
        <v>#N/A</v>
      </c>
      <c r="X70" cm="1">
        <f t="array" ref="X70" xml:space="preserve"> _xlfn.LET(
  _xlpm.idx, _xlfn.XMATCH(1,
      (COL(summary,"model")=$Q70)*(COL(summary,"instance")=INDEX($P:$P, ROW()-$Q70))*(COL(summary,"best")="TIMEOUT")),
  IFERROR(INDEX(COL(summary,"objective"), _xlpm.idx), #N/A)
)</f>
        <v>0</v>
      </c>
    </row>
    <row r="71" spans="1:24" x14ac:dyDescent="0.25">
      <c r="O71" s="1"/>
    </row>
    <row r="72" spans="1:24" x14ac:dyDescent="0.25">
      <c r="O72" s="1"/>
      <c r="P72">
        <v>15</v>
      </c>
    </row>
    <row r="73" spans="1:24" x14ac:dyDescent="0.25">
      <c r="O73" s="1"/>
      <c r="Q73" s="2">
        <v>1</v>
      </c>
      <c r="R73" cm="1">
        <f t="array" aca="1" ref="R73" ca="1">_xlfn.MAXIFS(COL(bench,"wine"), COL(bench,"model"), $Q73, COL(bench,"instance"), INDEX($P:$P, ROW()-$Q73), COL(bench,"time"),"&lt;="&amp;R$1)</f>
        <v>0</v>
      </c>
      <c r="S73" cm="1">
        <f t="array" aca="1" ref="S73" ca="1">_xlfn.MAXIFS(COL(bench,"wine"), COL(bench,"model"), $Q73, COL(bench,"instance"), INDEX($P:$P, ROW()-$Q73), COL(bench,"time"),"&lt;="&amp;S$1)-SUM($R73:R73)</f>
        <v>0</v>
      </c>
      <c r="T73" cm="1">
        <f t="array" aca="1" ref="T73" ca="1">_xlfn.MAXIFS(COL(bench,"wine"), COL(bench,"model"), $Q73, COL(bench,"instance"), INDEX($P:$P, ROW()-$Q73), COL(bench,"time"),"&lt;="&amp;T$1)-SUM($R73:S73)</f>
        <v>0</v>
      </c>
      <c r="U73" cm="1">
        <f t="array" aca="1" ref="U73" ca="1">_xlfn.MAXIFS(COL(bench,"wine"), COL(bench,"model"), $Q73, COL(bench,"instance"), INDEX($P:$P, ROW()-$Q73), COL(bench,"time"),"&lt;="&amp;U$1)-SUM($R73:T73)</f>
        <v>0</v>
      </c>
      <c r="V73" cm="1">
        <f t="array" aca="1" ref="V73" ca="1">_xlfn.MAXIFS(COL(bench,"wine"), COL(bench,"model"), $Q73, COL(bench,"instance"), INDEX($P:$P, ROW()-$Q73), COL(bench,"time"),"&lt;="&amp;V$1)-SUM($R73:U73)</f>
        <v>0</v>
      </c>
      <c r="W73" t="e" cm="1">
        <f t="array" ref="W73" xml:space="preserve"> _xlfn.LET(
  _xlpm.idx, _xlfn.XMATCH(1,
      (COL(summary,"model")=$Q73)*(COL(summary,"instance")=INDEX($P:$P, ROW()-$Q73))*(COL(summary,"best")=TRUE)),
  IFERROR(INDEX(COL(summary,"objective"), _xlpm.idx), #N/A)
)</f>
        <v>#N/A</v>
      </c>
      <c r="X73" cm="1">
        <f t="array" ref="X73" xml:space="preserve"> _xlfn.LET(
  _xlpm.idx, _xlfn.XMATCH(1,
      (COL(summary,"model")=$Q73)*(COL(summary,"instance")=INDEX($P:$P, ROW()-$Q73))*(COL(summary,"best")="TIMEOUT")),
  IFERROR(INDEX(COL(summary,"objective"), _xlpm.idx), #N/A)
)</f>
        <v>0</v>
      </c>
    </row>
    <row r="74" spans="1:24" x14ac:dyDescent="0.25">
      <c r="O74" s="1"/>
      <c r="Q74" s="2">
        <v>2</v>
      </c>
      <c r="R74" cm="1">
        <f t="array" aca="1" ref="R74" ca="1">_xlfn.MAXIFS(COL(bench,"wine"), COL(bench,"model"), $Q74, COL(bench,"instance"), INDEX($P:$P, ROW()-$Q74), COL(bench,"time"),"&lt;="&amp;R$1)</f>
        <v>0</v>
      </c>
      <c r="S74" cm="1">
        <f t="array" aca="1" ref="S74" ca="1">_xlfn.MAXIFS(COL(bench,"wine"), COL(bench,"model"), $Q74, COL(bench,"instance"), INDEX($P:$P, ROW()-$Q74), COL(bench,"time"),"&lt;="&amp;S$1)-SUM($R74:R74)</f>
        <v>0</v>
      </c>
      <c r="T74" cm="1">
        <f t="array" aca="1" ref="T74" ca="1">_xlfn.MAXIFS(COL(bench,"wine"), COL(bench,"model"), $Q74, COL(bench,"instance"), INDEX($P:$P, ROW()-$Q74), COL(bench,"time"),"&lt;="&amp;T$1)-SUM($R74:S74)</f>
        <v>0</v>
      </c>
      <c r="U74" cm="1">
        <f t="array" aca="1" ref="U74" ca="1">_xlfn.MAXIFS(COL(bench,"wine"), COL(bench,"model"), $Q74, COL(bench,"instance"), INDEX($P:$P, ROW()-$Q74), COL(bench,"time"),"&lt;="&amp;U$1)-SUM($R74:T74)</f>
        <v>0</v>
      </c>
      <c r="V74" cm="1">
        <f t="array" aca="1" ref="V74" ca="1">_xlfn.MAXIFS(COL(bench,"wine"), COL(bench,"model"), $Q74, COL(bench,"instance"), INDEX($P:$P, ROW()-$Q74), COL(bench,"time"),"&lt;="&amp;V$1)-SUM($R74:U74)</f>
        <v>0</v>
      </c>
      <c r="W74" t="e" cm="1">
        <f t="array" ref="W74" xml:space="preserve"> _xlfn.LET(
  _xlpm.idx, _xlfn.XMATCH(1,
      (COL(summary,"model")=$Q74)*(COL(summary,"instance")=INDEX($P:$P, ROW()-$Q74))*(COL(summary,"best")=TRUE)),
  IFERROR(INDEX(COL(summary,"objective"), _xlpm.idx), #N/A)
)</f>
        <v>#N/A</v>
      </c>
      <c r="X74" cm="1">
        <f t="array" ref="X74" xml:space="preserve"> _xlfn.LET(
  _xlpm.idx, _xlfn.XMATCH(1,
      (COL(summary,"model")=$Q74)*(COL(summary,"instance")=INDEX($P:$P, ROW()-$Q74))*(COL(summary,"best")="TIMEOUT")),
  IFERROR(INDEX(COL(summary,"objective"), _xlpm.idx), #N/A)
)</f>
        <v>0</v>
      </c>
    </row>
    <row r="75" spans="1:24" x14ac:dyDescent="0.25">
      <c r="O75" s="1"/>
      <c r="Q75" s="2">
        <v>3</v>
      </c>
      <c r="R75" cm="1">
        <f t="array" aca="1" ref="R75" ca="1">_xlfn.MAXIFS(COL(bench,"wine"), COL(bench,"model"), $Q75, COL(bench,"instance"), INDEX($P:$P, ROW()-$Q75), COL(bench,"time"),"&lt;="&amp;R$1)</f>
        <v>0</v>
      </c>
      <c r="S75" cm="1">
        <f t="array" aca="1" ref="S75" ca="1">_xlfn.MAXIFS(COL(bench,"wine"), COL(bench,"model"), $Q75, COL(bench,"instance"), INDEX($P:$P, ROW()-$Q75), COL(bench,"time"),"&lt;="&amp;S$1)-SUM($R75:R75)</f>
        <v>0</v>
      </c>
      <c r="T75" cm="1">
        <f t="array" aca="1" ref="T75" ca="1">_xlfn.MAXIFS(COL(bench,"wine"), COL(bench,"model"), $Q75, COL(bench,"instance"), INDEX($P:$P, ROW()-$Q75), COL(bench,"time"),"&lt;="&amp;T$1)-SUM($R75:S75)</f>
        <v>0</v>
      </c>
      <c r="U75" cm="1">
        <f t="array" aca="1" ref="U75" ca="1">_xlfn.MAXIFS(COL(bench,"wine"), COL(bench,"model"), $Q75, COL(bench,"instance"), INDEX($P:$P, ROW()-$Q75), COL(bench,"time"),"&lt;="&amp;U$1)-SUM($R75:T75)</f>
        <v>0</v>
      </c>
      <c r="V75" cm="1">
        <f t="array" aca="1" ref="V75" ca="1">_xlfn.MAXIFS(COL(bench,"wine"), COL(bench,"model"), $Q75, COL(bench,"instance"), INDEX($P:$P, ROW()-$Q75), COL(bench,"time"),"&lt;="&amp;V$1)-SUM($R75:U75)</f>
        <v>0</v>
      </c>
      <c r="W75" t="e" cm="1">
        <f t="array" ref="W75" xml:space="preserve"> _xlfn.LET(
  _xlpm.idx, _xlfn.XMATCH(1,
      (COL(summary,"model")=$Q75)*(COL(summary,"instance")=INDEX($P:$P, ROW()-$Q75))*(COL(summary,"best")=TRUE)),
  IFERROR(INDEX(COL(summary,"objective"), _xlpm.idx), #N/A)
)</f>
        <v>#N/A</v>
      </c>
      <c r="X75" cm="1">
        <f t="array" ref="X75" xml:space="preserve"> _xlfn.LET(
  _xlpm.idx, _xlfn.XMATCH(1,
      (COL(summary,"model")=$Q75)*(COL(summary,"instance")=INDEX($P:$P, ROW()-$Q75))*(COL(summary,"best")="TIMEOUT")),
  IFERROR(INDEX(COL(summary,"objective"), _xlpm.idx), #N/A)
)</f>
        <v>0</v>
      </c>
    </row>
    <row r="76" spans="1:24" x14ac:dyDescent="0.25">
      <c r="O76" s="1"/>
    </row>
    <row r="77" spans="1:24" x14ac:dyDescent="0.25">
      <c r="O77" s="1"/>
      <c r="P77">
        <v>16</v>
      </c>
    </row>
    <row r="78" spans="1:24" x14ac:dyDescent="0.25">
      <c r="O78" s="1"/>
    </row>
    <row r="79" spans="1:24" x14ac:dyDescent="0.25">
      <c r="O79" s="1"/>
    </row>
    <row r="80" spans="1:24" x14ac:dyDescent="0.25">
      <c r="O80" s="1"/>
    </row>
    <row r="81" spans="15:15" x14ac:dyDescent="0.25">
      <c r="O81" s="1"/>
    </row>
    <row r="82" spans="15:15" x14ac:dyDescent="0.25">
      <c r="O82" s="1"/>
    </row>
    <row r="83" spans="15:15" x14ac:dyDescent="0.25">
      <c r="O83" s="1"/>
    </row>
    <row r="84" spans="15:15" x14ac:dyDescent="0.25">
      <c r="O84" s="1"/>
    </row>
    <row r="85" spans="15:15" x14ac:dyDescent="0.25">
      <c r="O85" s="1"/>
    </row>
    <row r="86" spans="15:15" x14ac:dyDescent="0.25">
      <c r="O86" s="1"/>
    </row>
    <row r="87" spans="15:15" x14ac:dyDescent="0.25">
      <c r="O87" s="1"/>
    </row>
    <row r="88" spans="15:15" x14ac:dyDescent="0.25">
      <c r="O88" s="1"/>
    </row>
    <row r="89" spans="15:15" x14ac:dyDescent="0.25">
      <c r="O89" s="1"/>
    </row>
    <row r="90" spans="15:15" x14ac:dyDescent="0.25">
      <c r="O90" s="1"/>
    </row>
    <row r="91" spans="15:15" x14ac:dyDescent="0.25">
      <c r="O91" s="1"/>
    </row>
    <row r="92" spans="15:15" x14ac:dyDescent="0.25">
      <c r="O92" s="1"/>
    </row>
    <row r="93" spans="15:15" x14ac:dyDescent="0.25">
      <c r="O93" s="1"/>
    </row>
    <row r="94" spans="15:15" x14ac:dyDescent="0.25">
      <c r="O94" s="1"/>
    </row>
    <row r="95" spans="15:15" x14ac:dyDescent="0.25">
      <c r="O95" s="1"/>
    </row>
    <row r="96" spans="15:15" x14ac:dyDescent="0.25">
      <c r="O96" s="1"/>
    </row>
    <row r="97" spans="15:15" x14ac:dyDescent="0.25">
      <c r="O97" s="1"/>
    </row>
    <row r="98" spans="15:15" x14ac:dyDescent="0.25">
      <c r="O98" s="1"/>
    </row>
    <row r="99" spans="15:15" x14ac:dyDescent="0.25">
      <c r="O99" s="1"/>
    </row>
    <row r="100" spans="15:15" x14ac:dyDescent="0.25">
      <c r="O100" s="1"/>
    </row>
    <row r="101" spans="15:15" x14ac:dyDescent="0.25">
      <c r="O101" s="1"/>
    </row>
    <row r="102" spans="15:15" x14ac:dyDescent="0.25">
      <c r="O102" s="1"/>
    </row>
    <row r="103" spans="15:15" x14ac:dyDescent="0.25">
      <c r="O103" s="1"/>
    </row>
    <row r="104" spans="15:15" x14ac:dyDescent="0.25">
      <c r="O104" s="1"/>
    </row>
    <row r="105" spans="15:15" x14ac:dyDescent="0.25">
      <c r="O105" s="1"/>
    </row>
    <row r="106" spans="15:15" x14ac:dyDescent="0.25">
      <c r="O106" s="1"/>
    </row>
    <row r="107" spans="15:15" x14ac:dyDescent="0.25">
      <c r="O107" s="1"/>
    </row>
    <row r="108" spans="15:15" x14ac:dyDescent="0.25">
      <c r="O108" s="1"/>
    </row>
    <row r="109" spans="15:15" x14ac:dyDescent="0.25">
      <c r="O109" s="1"/>
    </row>
    <row r="110" spans="15:15" x14ac:dyDescent="0.25">
      <c r="O110" s="1"/>
    </row>
    <row r="111" spans="15:15" x14ac:dyDescent="0.25">
      <c r="O111" s="1"/>
    </row>
    <row r="112" spans="15:15" x14ac:dyDescent="0.25">
      <c r="O112" s="1"/>
    </row>
    <row r="113" spans="15:15" x14ac:dyDescent="0.25">
      <c r="O113" s="1"/>
    </row>
    <row r="114" spans="15:15" x14ac:dyDescent="0.25">
      <c r="O114" s="1"/>
    </row>
    <row r="115" spans="15:15" x14ac:dyDescent="0.25">
      <c r="O115" s="1"/>
    </row>
    <row r="116" spans="15:15" x14ac:dyDescent="0.25">
      <c r="O116" s="1"/>
    </row>
    <row r="117" spans="15:15" x14ac:dyDescent="0.25">
      <c r="O117" s="1"/>
    </row>
    <row r="118" spans="15:15" x14ac:dyDescent="0.25">
      <c r="O118" s="1"/>
    </row>
    <row r="119" spans="15:15" x14ac:dyDescent="0.25">
      <c r="O119" s="1"/>
    </row>
    <row r="120" spans="15:15" x14ac:dyDescent="0.25">
      <c r="O120" s="1"/>
    </row>
    <row r="121" spans="15:15" x14ac:dyDescent="0.25">
      <c r="O121" s="1"/>
    </row>
    <row r="122" spans="15:15" x14ac:dyDescent="0.25">
      <c r="O122" s="1"/>
    </row>
    <row r="123" spans="15:15" x14ac:dyDescent="0.25">
      <c r="O123" s="1"/>
    </row>
    <row r="124" spans="15:15" x14ac:dyDescent="0.25">
      <c r="O124" s="1"/>
    </row>
    <row r="125" spans="15:15" x14ac:dyDescent="0.25">
      <c r="O125" s="1"/>
    </row>
    <row r="126" spans="15:15" x14ac:dyDescent="0.25">
      <c r="O126" s="1"/>
    </row>
    <row r="127" spans="15:15" x14ac:dyDescent="0.25">
      <c r="O127" s="1"/>
    </row>
    <row r="128" spans="15:15" x14ac:dyDescent="0.25">
      <c r="O128" s="1"/>
    </row>
    <row r="129" spans="15:15" x14ac:dyDescent="0.25">
      <c r="O129" s="1"/>
    </row>
    <row r="130" spans="15:15" x14ac:dyDescent="0.25">
      <c r="O130" s="1"/>
    </row>
    <row r="131" spans="15:15" x14ac:dyDescent="0.25">
      <c r="O131" s="1"/>
    </row>
    <row r="132" spans="15:15" x14ac:dyDescent="0.25">
      <c r="O132" s="1"/>
    </row>
    <row r="133" spans="15:15" x14ac:dyDescent="0.25">
      <c r="O133" s="1"/>
    </row>
    <row r="134" spans="15:15" x14ac:dyDescent="0.25">
      <c r="O134" s="1"/>
    </row>
    <row r="135" spans="15:15" x14ac:dyDescent="0.25">
      <c r="O135" s="1"/>
    </row>
    <row r="136" spans="15:15" x14ac:dyDescent="0.25">
      <c r="O136" s="1"/>
    </row>
    <row r="137" spans="15:15" x14ac:dyDescent="0.25">
      <c r="O137" s="1"/>
    </row>
    <row r="138" spans="15:15" x14ac:dyDescent="0.25">
      <c r="O138" s="1"/>
    </row>
    <row r="139" spans="15:15" x14ac:dyDescent="0.25">
      <c r="O139" s="1"/>
    </row>
    <row r="140" spans="15:15" x14ac:dyDescent="0.25">
      <c r="O140" s="1"/>
    </row>
    <row r="141" spans="15:15" x14ac:dyDescent="0.25">
      <c r="O141" s="1"/>
    </row>
    <row r="142" spans="15:15" x14ac:dyDescent="0.25">
      <c r="O142" s="1"/>
    </row>
    <row r="143" spans="15:15" x14ac:dyDescent="0.25">
      <c r="O143" s="1"/>
    </row>
    <row r="144" spans="15:15" x14ac:dyDescent="0.25">
      <c r="O144" s="1"/>
    </row>
    <row r="145" spans="15:15" x14ac:dyDescent="0.25">
      <c r="O145" s="1"/>
    </row>
    <row r="146" spans="15:15" x14ac:dyDescent="0.25">
      <c r="O146" s="1"/>
    </row>
    <row r="147" spans="15:15" x14ac:dyDescent="0.25">
      <c r="O147" s="1"/>
    </row>
    <row r="148" spans="15:15" x14ac:dyDescent="0.25">
      <c r="O148" s="1"/>
    </row>
    <row r="149" spans="15:15" x14ac:dyDescent="0.25">
      <c r="O149" s="1"/>
    </row>
    <row r="150" spans="15:15" x14ac:dyDescent="0.25">
      <c r="O150" s="1"/>
    </row>
    <row r="151" spans="15:15" x14ac:dyDescent="0.25">
      <c r="O151" s="1"/>
    </row>
    <row r="152" spans="15:15" x14ac:dyDescent="0.25">
      <c r="O152" s="1"/>
    </row>
    <row r="153" spans="15:15" x14ac:dyDescent="0.25">
      <c r="O153" s="1"/>
    </row>
    <row r="154" spans="15:15" x14ac:dyDescent="0.25">
      <c r="O154" s="1"/>
    </row>
    <row r="155" spans="15:15" x14ac:dyDescent="0.25">
      <c r="O155" s="1"/>
    </row>
    <row r="156" spans="15:15" x14ac:dyDescent="0.25">
      <c r="O156" s="1"/>
    </row>
    <row r="157" spans="15:15" x14ac:dyDescent="0.25">
      <c r="O157" s="1"/>
    </row>
    <row r="158" spans="15:15" x14ac:dyDescent="0.25">
      <c r="O158" s="1"/>
    </row>
    <row r="159" spans="15:15" x14ac:dyDescent="0.25">
      <c r="O159" s="1"/>
    </row>
    <row r="160" spans="15:15" x14ac:dyDescent="0.25">
      <c r="O160" s="1"/>
    </row>
    <row r="161" spans="15:15" x14ac:dyDescent="0.25">
      <c r="O161" s="1"/>
    </row>
    <row r="162" spans="15:15" x14ac:dyDescent="0.25">
      <c r="O162" s="1"/>
    </row>
    <row r="163" spans="15:15" x14ac:dyDescent="0.25">
      <c r="O163" s="1"/>
    </row>
    <row r="164" spans="15:15" x14ac:dyDescent="0.25">
      <c r="O164" s="1"/>
    </row>
    <row r="165" spans="15:15" x14ac:dyDescent="0.25">
      <c r="O165" s="1"/>
    </row>
    <row r="166" spans="15:15" x14ac:dyDescent="0.25">
      <c r="O166" s="1"/>
    </row>
    <row r="167" spans="15:15" x14ac:dyDescent="0.25">
      <c r="O167" s="1"/>
    </row>
    <row r="168" spans="15:15" x14ac:dyDescent="0.25">
      <c r="O168" s="1"/>
    </row>
    <row r="169" spans="15:15" x14ac:dyDescent="0.25">
      <c r="O169" s="1"/>
    </row>
    <row r="170" spans="15:15" x14ac:dyDescent="0.25">
      <c r="O170" s="1"/>
    </row>
    <row r="171" spans="15:15" x14ac:dyDescent="0.25">
      <c r="O171" s="1"/>
    </row>
    <row r="172" spans="15:15" x14ac:dyDescent="0.25">
      <c r="O172" s="1"/>
    </row>
    <row r="173" spans="15:15" x14ac:dyDescent="0.25">
      <c r="O173" s="1"/>
    </row>
    <row r="174" spans="15:15" x14ac:dyDescent="0.25">
      <c r="O174" s="1"/>
    </row>
    <row r="175" spans="15:15" x14ac:dyDescent="0.25">
      <c r="O175" s="1"/>
    </row>
    <row r="176" spans="15:15" x14ac:dyDescent="0.25">
      <c r="O176" s="1"/>
    </row>
    <row r="177" spans="15:15" x14ac:dyDescent="0.25">
      <c r="O177" s="1"/>
    </row>
    <row r="178" spans="15:15" x14ac:dyDescent="0.25">
      <c r="O178" s="1"/>
    </row>
    <row r="179" spans="15:15" x14ac:dyDescent="0.25">
      <c r="O179" s="1"/>
    </row>
    <row r="180" spans="15:15" x14ac:dyDescent="0.25">
      <c r="O180" s="1"/>
    </row>
    <row r="181" spans="15:15" x14ac:dyDescent="0.25">
      <c r="O181" s="1"/>
    </row>
    <row r="182" spans="15:15" x14ac:dyDescent="0.25">
      <c r="O182" s="1"/>
    </row>
    <row r="183" spans="15:15" x14ac:dyDescent="0.25">
      <c r="O183" s="1"/>
    </row>
    <row r="184" spans="15:15" x14ac:dyDescent="0.25">
      <c r="O184" s="1"/>
    </row>
    <row r="185" spans="15:15" x14ac:dyDescent="0.25">
      <c r="O185" s="1"/>
    </row>
    <row r="186" spans="15:15" x14ac:dyDescent="0.25">
      <c r="O186" s="1"/>
    </row>
    <row r="187" spans="15:15" x14ac:dyDescent="0.25">
      <c r="O187" s="1"/>
    </row>
    <row r="188" spans="15:15" x14ac:dyDescent="0.25">
      <c r="O188" s="1"/>
    </row>
    <row r="189" spans="15:15" x14ac:dyDescent="0.25">
      <c r="O189" s="1"/>
    </row>
    <row r="190" spans="15:15" x14ac:dyDescent="0.25">
      <c r="O190" s="1"/>
    </row>
    <row r="191" spans="15:15" x14ac:dyDescent="0.25">
      <c r="O191" s="1"/>
    </row>
    <row r="192" spans="15:15" x14ac:dyDescent="0.25">
      <c r="O192" s="1"/>
    </row>
    <row r="193" spans="15:15" x14ac:dyDescent="0.25">
      <c r="O193" s="1"/>
    </row>
    <row r="194" spans="15:15" x14ac:dyDescent="0.25">
      <c r="O194" s="1"/>
    </row>
    <row r="195" spans="15:15" x14ac:dyDescent="0.25">
      <c r="O195" s="1"/>
    </row>
    <row r="196" spans="15:15" x14ac:dyDescent="0.25">
      <c r="O196" s="1"/>
    </row>
    <row r="197" spans="15:15" x14ac:dyDescent="0.25">
      <c r="O197" s="1"/>
    </row>
    <row r="198" spans="15:15" x14ac:dyDescent="0.25">
      <c r="O198" s="1"/>
    </row>
    <row r="199" spans="15:15" x14ac:dyDescent="0.25">
      <c r="O199" s="1"/>
    </row>
    <row r="200" spans="15:15" x14ac:dyDescent="0.25">
      <c r="O200" s="1"/>
    </row>
    <row r="201" spans="15:15" x14ac:dyDescent="0.25">
      <c r="O201" s="1"/>
    </row>
    <row r="202" spans="15:15" x14ac:dyDescent="0.25">
      <c r="O202" s="1"/>
    </row>
    <row r="203" spans="15:15" x14ac:dyDescent="0.25">
      <c r="O203" s="1"/>
    </row>
    <row r="204" spans="15:15" x14ac:dyDescent="0.25">
      <c r="O204" s="1"/>
    </row>
    <row r="205" spans="15:15" x14ac:dyDescent="0.25">
      <c r="O205" s="1"/>
    </row>
    <row r="206" spans="15:15" x14ac:dyDescent="0.25">
      <c r="O206" s="1"/>
    </row>
    <row r="207" spans="15:15" x14ac:dyDescent="0.25">
      <c r="O207" s="1"/>
    </row>
    <row r="208" spans="15:15" x14ac:dyDescent="0.25">
      <c r="O208" s="1"/>
    </row>
    <row r="209" spans="15:15" x14ac:dyDescent="0.25">
      <c r="O209" s="1"/>
    </row>
    <row r="210" spans="15:15" x14ac:dyDescent="0.25">
      <c r="O210" s="1"/>
    </row>
    <row r="211" spans="15:15" x14ac:dyDescent="0.25">
      <c r="O211" s="1"/>
    </row>
    <row r="212" spans="15:15" x14ac:dyDescent="0.25">
      <c r="O212" s="1"/>
    </row>
    <row r="213" spans="15:15" x14ac:dyDescent="0.25">
      <c r="O213" s="1"/>
    </row>
    <row r="214" spans="15:15" x14ac:dyDescent="0.25">
      <c r="O214" s="1"/>
    </row>
    <row r="215" spans="15:15" x14ac:dyDescent="0.25">
      <c r="O215" s="1"/>
    </row>
    <row r="216" spans="15:15" x14ac:dyDescent="0.25">
      <c r="O216" s="1"/>
    </row>
    <row r="217" spans="15:15" x14ac:dyDescent="0.25">
      <c r="O217" s="1"/>
    </row>
    <row r="218" spans="15:15" x14ac:dyDescent="0.25">
      <c r="O218" s="1"/>
    </row>
    <row r="219" spans="15:15" x14ac:dyDescent="0.25">
      <c r="O219" s="1"/>
    </row>
    <row r="220" spans="15:15" x14ac:dyDescent="0.25">
      <c r="O220" s="1"/>
    </row>
    <row r="221" spans="15:15" x14ac:dyDescent="0.25">
      <c r="O221" s="1"/>
    </row>
    <row r="222" spans="15:15" x14ac:dyDescent="0.25">
      <c r="O222" s="1"/>
    </row>
    <row r="223" spans="15:15" x14ac:dyDescent="0.25">
      <c r="O223" s="1"/>
    </row>
    <row r="224" spans="15:15" x14ac:dyDescent="0.25">
      <c r="O224" s="1"/>
    </row>
    <row r="225" spans="15:15" x14ac:dyDescent="0.25">
      <c r="O225" s="1"/>
    </row>
    <row r="226" spans="15:15" x14ac:dyDescent="0.25">
      <c r="O226" s="1"/>
    </row>
    <row r="227" spans="15:15" x14ac:dyDescent="0.25">
      <c r="O227" s="1"/>
    </row>
    <row r="228" spans="15:15" x14ac:dyDescent="0.25">
      <c r="O228" s="1"/>
    </row>
    <row r="229" spans="15:15" x14ac:dyDescent="0.25">
      <c r="O229" s="1"/>
    </row>
    <row r="230" spans="15:15" x14ac:dyDescent="0.25">
      <c r="O230" s="1"/>
    </row>
    <row r="231" spans="15:15" x14ac:dyDescent="0.25">
      <c r="O231" s="1"/>
    </row>
    <row r="232" spans="15:15" x14ac:dyDescent="0.25">
      <c r="O232" s="1"/>
    </row>
    <row r="233" spans="15:15" x14ac:dyDescent="0.25">
      <c r="O233" s="1"/>
    </row>
    <row r="234" spans="15:15" x14ac:dyDescent="0.25">
      <c r="O234" s="1"/>
    </row>
    <row r="235" spans="15:15" x14ac:dyDescent="0.25">
      <c r="O235" s="1"/>
    </row>
    <row r="236" spans="15:15" x14ac:dyDescent="0.25">
      <c r="O236" s="1"/>
    </row>
    <row r="237" spans="15:15" x14ac:dyDescent="0.25">
      <c r="O237" s="1"/>
    </row>
    <row r="238" spans="15:15" x14ac:dyDescent="0.25">
      <c r="O238" s="1"/>
    </row>
    <row r="239" spans="15:15" x14ac:dyDescent="0.25">
      <c r="O239" s="1"/>
    </row>
    <row r="240" spans="15:15" x14ac:dyDescent="0.25">
      <c r="O240" s="1"/>
    </row>
    <row r="241" spans="15:15" x14ac:dyDescent="0.25">
      <c r="O241" s="1"/>
    </row>
    <row r="242" spans="15:15" x14ac:dyDescent="0.25">
      <c r="O242" s="1"/>
    </row>
    <row r="243" spans="15:15" x14ac:dyDescent="0.25">
      <c r="O243" s="1"/>
    </row>
    <row r="244" spans="15:15" x14ac:dyDescent="0.25">
      <c r="O244" s="1"/>
    </row>
    <row r="245" spans="15:15" x14ac:dyDescent="0.25">
      <c r="O245" s="1"/>
    </row>
    <row r="246" spans="15:15" x14ac:dyDescent="0.25">
      <c r="O246" s="1"/>
    </row>
    <row r="247" spans="15:15" x14ac:dyDescent="0.25">
      <c r="O247" s="1"/>
    </row>
    <row r="248" spans="15:15" x14ac:dyDescent="0.25">
      <c r="O248" s="1"/>
    </row>
    <row r="249" spans="15:15" x14ac:dyDescent="0.25">
      <c r="O249" s="1"/>
    </row>
    <row r="250" spans="15:15" x14ac:dyDescent="0.25">
      <c r="O250" s="1"/>
    </row>
    <row r="251" spans="15:15" x14ac:dyDescent="0.25">
      <c r="O251" s="1"/>
    </row>
    <row r="252" spans="15:15" x14ac:dyDescent="0.25">
      <c r="O252" s="1"/>
    </row>
    <row r="253" spans="15:15" x14ac:dyDescent="0.25">
      <c r="O253" s="1"/>
    </row>
    <row r="254" spans="15:15" x14ac:dyDescent="0.25">
      <c r="O254" s="1"/>
    </row>
    <row r="255" spans="15:15" x14ac:dyDescent="0.25">
      <c r="O255" s="1"/>
    </row>
    <row r="256" spans="15:15" x14ac:dyDescent="0.25">
      <c r="O256" s="1"/>
    </row>
    <row r="257" spans="15:15" x14ac:dyDescent="0.25">
      <c r="O257" s="1"/>
    </row>
    <row r="258" spans="15:15" x14ac:dyDescent="0.25">
      <c r="O258" s="1"/>
    </row>
    <row r="259" spans="15:15" x14ac:dyDescent="0.25">
      <c r="O259" s="1"/>
    </row>
    <row r="260" spans="15:15" x14ac:dyDescent="0.25">
      <c r="O260" s="1"/>
    </row>
    <row r="261" spans="15:15" x14ac:dyDescent="0.25">
      <c r="O261" s="1"/>
    </row>
    <row r="262" spans="15:15" x14ac:dyDescent="0.25">
      <c r="O262" s="1"/>
    </row>
    <row r="263" spans="15:15" x14ac:dyDescent="0.25">
      <c r="O263" s="1"/>
    </row>
    <row r="264" spans="15:15" x14ac:dyDescent="0.25">
      <c r="O264" s="1"/>
    </row>
    <row r="265" spans="15:15" x14ac:dyDescent="0.25">
      <c r="O265" s="1"/>
    </row>
    <row r="266" spans="15:15" x14ac:dyDescent="0.25">
      <c r="O266" s="1"/>
    </row>
    <row r="267" spans="15:15" x14ac:dyDescent="0.25">
      <c r="O267" s="1"/>
    </row>
    <row r="268" spans="15:15" x14ac:dyDescent="0.25">
      <c r="O268" s="1"/>
    </row>
    <row r="269" spans="15:15" x14ac:dyDescent="0.25">
      <c r="O269" s="1"/>
    </row>
    <row r="270" spans="15:15" x14ac:dyDescent="0.25">
      <c r="O270" s="1"/>
    </row>
    <row r="271" spans="15:15" x14ac:dyDescent="0.25">
      <c r="O271" s="1"/>
    </row>
    <row r="272" spans="15:15" x14ac:dyDescent="0.25">
      <c r="O272" s="1"/>
    </row>
    <row r="273" spans="15:15" x14ac:dyDescent="0.25">
      <c r="O273" s="1"/>
    </row>
    <row r="274" spans="15:15" x14ac:dyDescent="0.25">
      <c r="O274" s="1"/>
    </row>
    <row r="275" spans="15:15" x14ac:dyDescent="0.25">
      <c r="O275" s="1"/>
    </row>
    <row r="276" spans="15:15" x14ac:dyDescent="0.25">
      <c r="O276" s="1"/>
    </row>
    <row r="277" spans="15:15" x14ac:dyDescent="0.25">
      <c r="O277" s="1"/>
    </row>
    <row r="278" spans="15:15" x14ac:dyDescent="0.25">
      <c r="O278" s="1"/>
    </row>
    <row r="279" spans="15:15" x14ac:dyDescent="0.25">
      <c r="O279" s="1"/>
    </row>
    <row r="280" spans="15:15" x14ac:dyDescent="0.25">
      <c r="O280" s="1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41FE-CB62-4396-962C-3F173F2D220B}">
  <dimension ref="A1:AC280"/>
  <sheetViews>
    <sheetView topLeftCell="D1" zoomScale="60" zoomScaleNormal="60" workbookViewId="0">
      <selection activeCell="AF38" sqref="AF38"/>
    </sheetView>
  </sheetViews>
  <sheetFormatPr defaultRowHeight="15" x14ac:dyDescent="0.25"/>
  <cols>
    <col min="1" max="1" width="13.28515625" bestFit="1" customWidth="1"/>
    <col min="2" max="2" width="16.140625" bestFit="1" customWidth="1"/>
    <col min="3" max="3" width="14.7109375" style="5" bestFit="1" customWidth="1"/>
    <col min="4" max="4" width="11.140625" bestFit="1" customWidth="1"/>
    <col min="5" max="5" width="14.42578125" bestFit="1" customWidth="1"/>
    <col min="6" max="6" width="13" bestFit="1" customWidth="1"/>
    <col min="7" max="7" width="24.42578125" style="5" bestFit="1" customWidth="1"/>
    <col min="8" max="8" width="17.5703125" style="5" bestFit="1" customWidth="1"/>
    <col min="9" max="9" width="21.5703125" style="5" bestFit="1" customWidth="1"/>
    <col min="10" max="10" width="28" style="5" bestFit="1" customWidth="1"/>
    <col min="11" max="11" width="13.28515625" style="5" bestFit="1" customWidth="1"/>
    <col min="12" max="12" width="16.140625" style="5" bestFit="1" customWidth="1"/>
    <col min="13" max="13" width="17" style="5" bestFit="1" customWidth="1"/>
    <col min="14" max="14" width="11.140625" style="5" bestFit="1" customWidth="1"/>
    <col min="15" max="15" width="10.28515625" customWidth="1"/>
    <col min="16" max="16" width="9.85546875" bestFit="1" customWidth="1"/>
    <col min="17" max="17" width="7.7109375" style="2" bestFit="1" customWidth="1"/>
    <col min="18" max="18" width="6.28515625" bestFit="1" customWidth="1"/>
    <col min="19" max="19" width="6.85546875" bestFit="1" customWidth="1"/>
    <col min="20" max="20" width="6.28515625" bestFit="1" customWidth="1"/>
    <col min="21" max="21" width="6.85546875" bestFit="1" customWidth="1"/>
    <col min="22" max="22" width="6.28515625" bestFit="1" customWidth="1"/>
    <col min="23" max="23" width="8.7109375" bestFit="1" customWidth="1"/>
    <col min="24" max="24" width="8.7109375" customWidth="1"/>
  </cols>
  <sheetData>
    <row r="1" spans="1:24" x14ac:dyDescent="0.25">
      <c r="A1" s="5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12</v>
      </c>
      <c r="H1" s="5" t="s">
        <v>6</v>
      </c>
      <c r="I1" s="5" t="s">
        <v>7</v>
      </c>
      <c r="K1" t="s">
        <v>9</v>
      </c>
      <c r="L1" t="s">
        <v>0</v>
      </c>
      <c r="M1" t="s">
        <v>10</v>
      </c>
      <c r="N1" t="s">
        <v>11</v>
      </c>
      <c r="P1" t="s">
        <v>0</v>
      </c>
      <c r="Q1" s="2" t="s">
        <v>9</v>
      </c>
      <c r="R1" s="3">
        <f>TIME(0,0,10)</f>
        <v>1.1574074074074075E-4</v>
      </c>
      <c r="S1" s="3">
        <f>TIME(0,0,30)</f>
        <v>3.4722222222222224E-4</v>
      </c>
      <c r="T1" s="3">
        <f>TIME(0,1,0)</f>
        <v>6.9444444444444447E-4</v>
      </c>
      <c r="U1" s="3">
        <f>TIME(0,5,0)</f>
        <v>3.472222222222222E-3</v>
      </c>
      <c r="V1" s="3">
        <f>TIME(0,10,0)</f>
        <v>6.9444444444444441E-3</v>
      </c>
      <c r="W1" s="8" t="s">
        <v>11</v>
      </c>
      <c r="X1" s="8" t="s">
        <v>14</v>
      </c>
    </row>
    <row r="2" spans="1:24" x14ac:dyDescent="0.25">
      <c r="A2">
        <v>1</v>
      </c>
      <c r="B2">
        <v>1</v>
      </c>
      <c r="C2" s="5">
        <v>8.900462962962962E-5</v>
      </c>
      <c r="D2">
        <v>0</v>
      </c>
      <c r="E2">
        <v>0</v>
      </c>
      <c r="F2">
        <v>0</v>
      </c>
      <c r="G2" s="5">
        <v>6.666666666666667E-5</v>
      </c>
      <c r="H2" s="5">
        <v>7.1064814814814819E-5</v>
      </c>
      <c r="I2" s="5">
        <v>4.8451388888888884E-3</v>
      </c>
      <c r="K2">
        <v>1</v>
      </c>
      <c r="L2">
        <v>1</v>
      </c>
      <c r="M2">
        <v>6</v>
      </c>
      <c r="N2" t="b">
        <v>1</v>
      </c>
      <c r="O2" s="1"/>
      <c r="P2">
        <v>1</v>
      </c>
    </row>
    <row r="3" spans="1:24" x14ac:dyDescent="0.25">
      <c r="A3">
        <f ca="1">IF(_34445073613_asp[[#This Row],[instance]]&lt;OFFSET(_34445073613_asp[[#This Row],[instance]],-1,0), OFFSET(_34445073613_asp[[#This Row],[model]],-1,0)+1, OFFSET(_34445073613_asp[[#This Row],[model]],-1,0))</f>
        <v>1</v>
      </c>
      <c r="B3">
        <v>1</v>
      </c>
      <c r="C3" s="5">
        <v>8.900462962962962E-5</v>
      </c>
      <c r="D3">
        <v>3</v>
      </c>
      <c r="E3">
        <v>1</v>
      </c>
      <c r="F3">
        <v>1</v>
      </c>
      <c r="G3" s="5">
        <v>6.666666666666667E-5</v>
      </c>
      <c r="H3" s="5">
        <v>7.1064814814814819E-5</v>
      </c>
      <c r="I3" s="5">
        <v>4.8451388888888884E-3</v>
      </c>
      <c r="K3">
        <v>1</v>
      </c>
      <c r="L3">
        <v>2</v>
      </c>
      <c r="M3"/>
      <c r="N3" t="s">
        <v>13</v>
      </c>
      <c r="O3" s="1"/>
      <c r="Q3" s="2">
        <v>1</v>
      </c>
      <c r="R3" cm="1">
        <f t="array" aca="1" ref="R3" ca="1">_xlfn.MAXIFS(COL(bench,"wine"), COL(bench,"model"), $Q3, COL(bench,"instance"), INDEX($P:$P, ROW()-$Q3), COL(bench,"time"),"&lt;="&amp;R$1)</f>
        <v>6</v>
      </c>
      <c r="S3" cm="1">
        <f t="array" aca="1" ref="S3" ca="1">_xlfn.MAXIFS(COL(bench,"wine"), COL(bench,"model"), $Q3, COL(bench,"instance"), INDEX($P:$P, ROW()-$Q3), COL(bench,"time"),"&lt;="&amp;S$1)-SUM($R3:R3)</f>
        <v>0</v>
      </c>
      <c r="T3" cm="1">
        <f t="array" aca="1" ref="T3" ca="1">_xlfn.MAXIFS(COL(bench,"wine"), COL(bench,"model"), $Q3, COL(bench,"instance"), INDEX($P:$P, ROW()-$Q3), COL(bench,"time"),"&lt;="&amp;T$1)-SUM($R3:S3)</f>
        <v>0</v>
      </c>
      <c r="U3" cm="1">
        <f t="array" aca="1" ref="U3" ca="1">_xlfn.MAXIFS(COL(bench,"wine"), COL(bench,"model"), $Q3, COL(bench,"instance"), INDEX($P:$P, ROW()-$Q3), COL(bench,"time"),"&lt;="&amp;U$1)-SUM($R3:T3)</f>
        <v>0</v>
      </c>
      <c r="V3" cm="1">
        <f t="array" aca="1" ref="V3" ca="1">_xlfn.MAXIFS(COL(bench,"wine"), COL(bench,"model"), $Q3, COL(bench,"instance"), INDEX($P:$P, ROW()-$Q3), COL(bench,"time"),"&lt;="&amp;V$1)-SUM($R3:U3)</f>
        <v>0</v>
      </c>
      <c r="W3" cm="1">
        <f t="array" ref="W3" xml:space="preserve"> _xlfn.LET(
  _xlpm.idx, _xlfn.XMATCH(1,
      (COL(summary,"model")=$Q3)*(COL(summary,"instance")=INDEX($P:$P, ROW()-$Q3))*(COL(summary,"best")=TRUE)),
  IFERROR(INDEX(COL(summary,"objective"), _xlpm.idx), #N/A)
)</f>
        <v>6</v>
      </c>
      <c r="X3" t="e" cm="1">
        <f t="array" ref="X3" xml:space="preserve"> _xlfn.LET(
  _xlpm.idx, _xlfn.XMATCH(1,
      (COL(summary,"model")=$Q3)*(COL(summary,"instance")=INDEX($P:$P, ROW()-$Q3))*(COL(summary,"best")="TIMEOUT")),
  IFERROR(INDEX(COL(summary,"objective"), _xlpm.idx), #N/A)
)</f>
        <v>#N/A</v>
      </c>
    </row>
    <row r="4" spans="1:24" x14ac:dyDescent="0.25">
      <c r="A4">
        <f ca="1">IF(_34445073613_asp[[#This Row],[instance]]&lt;OFFSET(_34445073613_asp[[#This Row],[instance]],-1,0), OFFSET(_34445073613_asp[[#This Row],[model]],-1,0)+1, OFFSET(_34445073613_asp[[#This Row],[model]],-1,0))</f>
        <v>1</v>
      </c>
      <c r="B4">
        <v>1</v>
      </c>
      <c r="C4" s="5">
        <v>8.900462962962962E-5</v>
      </c>
      <c r="D4">
        <v>6</v>
      </c>
      <c r="E4">
        <v>2</v>
      </c>
      <c r="F4">
        <v>2</v>
      </c>
      <c r="G4" s="5">
        <v>6.666666666666667E-5</v>
      </c>
      <c r="H4" s="5">
        <v>7.1064814814814819E-5</v>
      </c>
      <c r="I4" s="5">
        <v>4.8451388888888884E-3</v>
      </c>
      <c r="K4">
        <v>1</v>
      </c>
      <c r="L4">
        <v>5</v>
      </c>
      <c r="M4">
        <v>7.75</v>
      </c>
      <c r="N4" t="b">
        <v>1</v>
      </c>
      <c r="O4" s="1"/>
      <c r="Q4" s="2">
        <v>2</v>
      </c>
      <c r="R4" cm="1">
        <f t="array" aca="1" ref="R4" ca="1">_xlfn.MAXIFS(COL(bench,"wine"), COL(bench,"model"), $Q4, COL(bench,"instance"), INDEX($P:$P, ROW()-$Q4), COL(bench,"time"),"&lt;="&amp;R$1)</f>
        <v>6</v>
      </c>
      <c r="S4" cm="1">
        <f t="array" aca="1" ref="S4" ca="1">_xlfn.MAXIFS(COL(bench,"wine"), COL(bench,"model"), $Q4, COL(bench,"instance"), INDEX($P:$P, ROW()-$Q4), COL(bench,"time"),"&lt;="&amp;S$1)-SUM($R4:R4)</f>
        <v>0</v>
      </c>
      <c r="T4" cm="1">
        <f t="array" aca="1" ref="T4" ca="1">_xlfn.MAXIFS(COL(bench,"wine"), COL(bench,"model"), $Q4, COL(bench,"instance"), INDEX($P:$P, ROW()-$Q4), COL(bench,"time"),"&lt;="&amp;T$1)-SUM($R4:S4)</f>
        <v>0</v>
      </c>
      <c r="U4" cm="1">
        <f t="array" aca="1" ref="U4" ca="1">_xlfn.MAXIFS(COL(bench,"wine"), COL(bench,"model"), $Q4, COL(bench,"instance"), INDEX($P:$P, ROW()-$Q4), COL(bench,"time"),"&lt;="&amp;U$1)-SUM($R4:T4)</f>
        <v>0</v>
      </c>
      <c r="V4" cm="1">
        <f t="array" aca="1" ref="V4" ca="1">_xlfn.MAXIFS(COL(bench,"wine"), COL(bench,"model"), $Q4, COL(bench,"instance"), INDEX($P:$P, ROW()-$Q4), COL(bench,"time"),"&lt;="&amp;V$1)-SUM($R4:U4)</f>
        <v>0</v>
      </c>
      <c r="W4" cm="1">
        <f t="array" ref="W4" xml:space="preserve"> _xlfn.LET(
  _xlpm.idx, _xlfn.XMATCH(1,
      (COL(summary,"model")=$Q4)*(COL(summary,"instance")=INDEX($P:$P, ROW()-$Q4))*(COL(summary,"best")=TRUE)),
  IFERROR(INDEX(COL(summary,"objective"), _xlpm.idx), #N/A)
)</f>
        <v>6</v>
      </c>
      <c r="X4" t="e" cm="1">
        <f t="array" ref="X4" xml:space="preserve"> _xlfn.LET(
  _xlpm.idx, _xlfn.XMATCH(1,
      (COL(summary,"model")=$Q4)*(COL(summary,"instance")=INDEX($P:$P, ROW()-$Q4))*(COL(summary,"best")="TIMEOUT")),
  IFERROR(INDEX(COL(summary,"objective"), _xlpm.idx), #N/A)
)</f>
        <v>#N/A</v>
      </c>
    </row>
    <row r="5" spans="1:24" x14ac:dyDescent="0.25">
      <c r="A5">
        <f ca="1">IF(_34445073613_asp[[#This Row],[instance]]&lt;OFFSET(_34445073613_asp[[#This Row],[instance]],-1,0), OFFSET(_34445073613_asp[[#This Row],[model]],-1,0)+1, OFFSET(_34445073613_asp[[#This Row],[model]],-1,0))</f>
        <v>1</v>
      </c>
      <c r="B5">
        <v>2</v>
      </c>
      <c r="H5" s="5">
        <v>6.9444444444444441E-3</v>
      </c>
      <c r="I5" s="5">
        <v>4.8451388888888884E-3</v>
      </c>
      <c r="K5">
        <v>1</v>
      </c>
      <c r="L5">
        <v>7</v>
      </c>
      <c r="M5">
        <v>12</v>
      </c>
      <c r="N5" t="b">
        <v>1</v>
      </c>
      <c r="O5" s="1"/>
      <c r="Q5" s="2">
        <v>3</v>
      </c>
      <c r="R5" cm="1">
        <f t="array" aca="1" ref="R5" ca="1">_xlfn.MAXIFS(COL(bench,"wine"), COL(bench,"model"), $Q5, COL(bench,"instance"), INDEX($P:$P, ROW()-$Q5), COL(bench,"time"),"&lt;="&amp;R$1)</f>
        <v>0</v>
      </c>
      <c r="S5" cm="1">
        <f t="array" aca="1" ref="S5" ca="1">_xlfn.MAXIFS(COL(bench,"wine"), COL(bench,"model"), $Q5, COL(bench,"instance"), INDEX($P:$P, ROW()-$Q5), COL(bench,"time"),"&lt;="&amp;S$1)-SUM($R5:R5)</f>
        <v>0</v>
      </c>
      <c r="T5" cm="1">
        <f t="array" aca="1" ref="T5" ca="1">_xlfn.MAXIFS(COL(bench,"wine"), COL(bench,"model"), $Q5, COL(bench,"instance"), INDEX($P:$P, ROW()-$Q5), COL(bench,"time"),"&lt;="&amp;T$1)-SUM($R5:S5)</f>
        <v>0</v>
      </c>
      <c r="U5" cm="1">
        <f t="array" aca="1" ref="U5" ca="1">_xlfn.MAXIFS(COL(bench,"wine"), COL(bench,"model"), $Q5, COL(bench,"instance"), INDEX($P:$P, ROW()-$Q5), COL(bench,"time"),"&lt;="&amp;U$1)-SUM($R5:T5)</f>
        <v>0</v>
      </c>
      <c r="V5" cm="1">
        <f t="array" aca="1" ref="V5" ca="1">_xlfn.MAXIFS(COL(bench,"wine"), COL(bench,"model"), $Q5, COL(bench,"instance"), INDEX($P:$P, ROW()-$Q5), COL(bench,"time"),"&lt;="&amp;V$1)-SUM($R5:U5)</f>
        <v>0</v>
      </c>
      <c r="W5" t="e" cm="1">
        <f t="array" ref="W5" xml:space="preserve"> _xlfn.LET(
  _xlpm.idx, _xlfn.XMATCH(1,
      (COL(summary,"model")=$Q5)*(COL(summary,"instance")=INDEX($P:$P, ROW()-$Q5))*(COL(summary,"best")=TRUE)),
  IFERROR(INDEX(COL(summary,"objective"), _xlpm.idx), #N/A)
)</f>
        <v>#N/A</v>
      </c>
      <c r="X5" cm="1">
        <f t="array" ref="X5" xml:space="preserve"> _xlfn.LET(
  _xlpm.idx, _xlfn.XMATCH(1,
      (COL(summary,"model")=$Q5)*(COL(summary,"instance")=INDEX($P:$P, ROW()-$Q5))*(COL(summary,"best")="TIMEOUT")),
  IFERROR(INDEX(COL(summary,"objective"), _xlpm.idx), #N/A)
)</f>
        <v>0</v>
      </c>
    </row>
    <row r="6" spans="1:24" x14ac:dyDescent="0.25">
      <c r="A6">
        <f ca="1">IF(_34445073613_asp[[#This Row],[instance]]&lt;OFFSET(_34445073613_asp[[#This Row],[instance]],-1,0), OFFSET(_34445073613_asp[[#This Row],[model]],-1,0)+1, OFFSET(_34445073613_asp[[#This Row],[model]],-1,0))</f>
        <v>1</v>
      </c>
      <c r="B6">
        <v>3</v>
      </c>
      <c r="C6" s="5">
        <v>3.701273148148148E-3</v>
      </c>
      <c r="D6">
        <v>0</v>
      </c>
      <c r="E6">
        <v>0</v>
      </c>
      <c r="F6">
        <v>0</v>
      </c>
      <c r="H6" s="5">
        <v>6.9444444444444441E-3</v>
      </c>
      <c r="I6" s="5">
        <v>4.8451388888888884E-3</v>
      </c>
      <c r="K6">
        <v>1</v>
      </c>
      <c r="L6">
        <v>8</v>
      </c>
      <c r="M6"/>
      <c r="N6" t="s">
        <v>13</v>
      </c>
      <c r="O6" s="1"/>
    </row>
    <row r="7" spans="1:24" x14ac:dyDescent="0.25">
      <c r="A7">
        <f ca="1">IF(_34445073613_asp[[#This Row],[instance]]&lt;OFFSET(_34445073613_asp[[#This Row],[instance]],-1,0), OFFSET(_34445073613_asp[[#This Row],[model]],-1,0)+1, OFFSET(_34445073613_asp[[#This Row],[model]],-1,0))</f>
        <v>1</v>
      </c>
      <c r="B7">
        <v>3</v>
      </c>
      <c r="C7" s="5">
        <v>3.701273148148148E-3</v>
      </c>
      <c r="D7">
        <v>1.5</v>
      </c>
      <c r="E7">
        <v>1</v>
      </c>
      <c r="F7">
        <v>1</v>
      </c>
      <c r="H7" s="5">
        <v>6.9444444444444441E-3</v>
      </c>
      <c r="I7" s="5">
        <v>4.8451388888888884E-3</v>
      </c>
      <c r="K7">
        <v>1</v>
      </c>
      <c r="L7">
        <v>9</v>
      </c>
      <c r="M7">
        <v>0</v>
      </c>
      <c r="N7" t="b">
        <v>1</v>
      </c>
      <c r="O7" s="1"/>
      <c r="P7">
        <v>2</v>
      </c>
    </row>
    <row r="8" spans="1:24" x14ac:dyDescent="0.25">
      <c r="A8">
        <f ca="1">IF(_34445073613_asp[[#This Row],[instance]]&lt;OFFSET(_34445073613_asp[[#This Row],[instance]],-1,0), OFFSET(_34445073613_asp[[#This Row],[model]],-1,0)+1, OFFSET(_34445073613_asp[[#This Row],[model]],-1,0))</f>
        <v>1</v>
      </c>
      <c r="B8">
        <v>3</v>
      </c>
      <c r="C8" s="5">
        <v>3.701273148148148E-3</v>
      </c>
      <c r="D8">
        <v>2.25</v>
      </c>
      <c r="E8">
        <v>2</v>
      </c>
      <c r="F8">
        <v>1</v>
      </c>
      <c r="H8" s="5">
        <v>6.9444444444444441E-3</v>
      </c>
      <c r="I8" s="5">
        <v>4.8451388888888884E-3</v>
      </c>
      <c r="K8">
        <v>1</v>
      </c>
      <c r="L8">
        <v>10</v>
      </c>
      <c r="M8">
        <v>5</v>
      </c>
      <c r="N8" t="b">
        <v>1</v>
      </c>
      <c r="O8" s="1"/>
      <c r="Q8" s="2">
        <v>1</v>
      </c>
      <c r="R8" cm="1">
        <f t="array" aca="1" ref="R8" ca="1">_xlfn.MAXIFS(COL(bench,"wine"), COL(bench,"model"), $Q8, COL(bench,"instance"), INDEX($P:$P, ROW()-$Q8), COL(bench,"time"),"&lt;="&amp;R$1)</f>
        <v>0</v>
      </c>
      <c r="S8" cm="1">
        <f t="array" aca="1" ref="S8" ca="1">_xlfn.MAXIFS(COL(bench,"wine"), COL(bench,"model"), $Q8, COL(bench,"instance"), INDEX($P:$P, ROW()-$Q8), COL(bench,"time"),"&lt;="&amp;S$1)-SUM($R8:R8)</f>
        <v>0</v>
      </c>
      <c r="T8" cm="1">
        <f t="array" aca="1" ref="T8" ca="1">_xlfn.MAXIFS(COL(bench,"wine"), COL(bench,"model"), $Q8, COL(bench,"instance"), INDEX($P:$P, ROW()-$Q8), COL(bench,"time"),"&lt;="&amp;T$1)-SUM($R8:S8)</f>
        <v>0</v>
      </c>
      <c r="U8" cm="1">
        <f t="array" aca="1" ref="U8" ca="1">_xlfn.MAXIFS(COL(bench,"wine"), COL(bench,"model"), $Q8, COL(bench,"instance"), INDEX($P:$P, ROW()-$Q8), COL(bench,"time"),"&lt;="&amp;U$1)-SUM($R8:T8)</f>
        <v>0</v>
      </c>
      <c r="V8" cm="1">
        <f t="array" aca="1" ref="V8" ca="1">_xlfn.MAXIFS(COL(bench,"wine"), COL(bench,"model"), $Q8, COL(bench,"instance"), INDEX($P:$P, ROW()-$Q8), COL(bench,"time"),"&lt;="&amp;V$1)-SUM($R8:U8)</f>
        <v>0</v>
      </c>
      <c r="W8" t="e" cm="1">
        <f t="array" ref="W8" xml:space="preserve"> _xlfn.LET(
  _xlpm.idx, _xlfn.XMATCH(1,
      (COL(summary,"model")=$Q8)*(COL(summary,"instance")=INDEX($P:$P, ROW()-$Q8))*(COL(summary,"best")=TRUE)),
  IFERROR(INDEX(COL(summary,"objective"), _xlpm.idx), #N/A)
)</f>
        <v>#N/A</v>
      </c>
      <c r="X8" cm="1">
        <f t="array" ref="X8" xml:space="preserve"> _xlfn.LET(
  _xlpm.idx, _xlfn.XMATCH(1,
      (COL(summary,"model")=$Q8)*(COL(summary,"instance")=INDEX($P:$P, ROW()-$Q8))*(COL(summary,"best")="TIMEOUT")),
  IFERROR(INDEX(COL(summary,"objective"), _xlpm.idx), #N/A)
)</f>
        <v>0</v>
      </c>
    </row>
    <row r="9" spans="1:24" x14ac:dyDescent="0.25">
      <c r="A9">
        <f ca="1">IF(_34445073613_asp[[#This Row],[instance]]&lt;OFFSET(_34445073613_asp[[#This Row],[instance]],-1,0), OFFSET(_34445073613_asp[[#This Row],[model]],-1,0)+1, OFFSET(_34445073613_asp[[#This Row],[model]],-1,0))</f>
        <v>1</v>
      </c>
      <c r="B9">
        <v>3</v>
      </c>
      <c r="C9" s="5">
        <v>3.7013888888888886E-3</v>
      </c>
      <c r="D9">
        <v>3</v>
      </c>
      <c r="E9">
        <v>3</v>
      </c>
      <c r="F9">
        <v>2</v>
      </c>
      <c r="H9" s="5">
        <v>6.9444444444444441E-3</v>
      </c>
      <c r="I9" s="5">
        <v>4.8451388888888884E-3</v>
      </c>
      <c r="K9">
        <v>1</v>
      </c>
      <c r="L9">
        <v>11</v>
      </c>
      <c r="M9"/>
      <c r="N9" t="s">
        <v>13</v>
      </c>
      <c r="O9" s="1"/>
      <c r="Q9" s="2">
        <v>2</v>
      </c>
      <c r="R9" cm="1">
        <f t="array" aca="1" ref="R9" ca="1">_xlfn.MAXIFS(COL(bench,"wine"), COL(bench,"model"), $Q9, COL(bench,"instance"), INDEX($P:$P, ROW()-$Q9), COL(bench,"time"),"&lt;="&amp;R$1)</f>
        <v>0</v>
      </c>
      <c r="S9" cm="1">
        <f t="array" aca="1" ref="S9" ca="1">_xlfn.MAXIFS(COL(bench,"wine"), COL(bench,"model"), $Q9, COL(bench,"instance"), INDEX($P:$P, ROW()-$Q9), COL(bench,"time"),"&lt;="&amp;S$1)-SUM($R9:R9)</f>
        <v>0</v>
      </c>
      <c r="T9" cm="1">
        <f t="array" aca="1" ref="T9" ca="1">_xlfn.MAXIFS(COL(bench,"wine"), COL(bench,"model"), $Q9, COL(bench,"instance"), INDEX($P:$P, ROW()-$Q9), COL(bench,"time"),"&lt;="&amp;T$1)-SUM($R9:S9)</f>
        <v>0</v>
      </c>
      <c r="U9" cm="1">
        <f t="array" aca="1" ref="U9" ca="1">_xlfn.MAXIFS(COL(bench,"wine"), COL(bench,"model"), $Q9, COL(bench,"instance"), INDEX($P:$P, ROW()-$Q9), COL(bench,"time"),"&lt;="&amp;U$1)-SUM($R9:T9)</f>
        <v>0</v>
      </c>
      <c r="V9" cm="1">
        <f t="array" aca="1" ref="V9" ca="1">_xlfn.MAXIFS(COL(bench,"wine"), COL(bench,"model"), $Q9, COL(bench,"instance"), INDEX($P:$P, ROW()-$Q9), COL(bench,"time"),"&lt;="&amp;V$1)-SUM($R9:U9)</f>
        <v>0</v>
      </c>
      <c r="W9" t="e" cm="1">
        <f t="array" ref="W9" xml:space="preserve"> _xlfn.LET(
  _xlpm.idx, _xlfn.XMATCH(1,
      (COL(summary,"model")=$Q9)*(COL(summary,"instance")=INDEX($P:$P, ROW()-$Q9))*(COL(summary,"best")=TRUE)),
  IFERROR(INDEX(COL(summary,"objective"), _xlpm.idx), #N/A)
)</f>
        <v>#N/A</v>
      </c>
      <c r="X9" cm="1">
        <f t="array" ref="X9" xml:space="preserve"> _xlfn.LET(
  _xlpm.idx, _xlfn.XMATCH(1,
      (COL(summary,"model")=$Q9)*(COL(summary,"instance")=INDEX($P:$P, ROW()-$Q9))*(COL(summary,"best")="TIMEOUT")),
  IFERROR(INDEX(COL(summary,"objective"), _xlpm.idx), #N/A)
)</f>
        <v>0</v>
      </c>
    </row>
    <row r="10" spans="1:24" x14ac:dyDescent="0.25">
      <c r="A10">
        <f ca="1">IF(_34445073613_asp[[#This Row],[instance]]&lt;OFFSET(_34445073613_asp[[#This Row],[instance]],-1,0), OFFSET(_34445073613_asp[[#This Row],[model]],-1,0)+1, OFFSET(_34445073613_asp[[#This Row],[model]],-1,0))</f>
        <v>1</v>
      </c>
      <c r="B10">
        <v>3</v>
      </c>
      <c r="C10" s="5">
        <v>3.7013888888888886E-3</v>
      </c>
      <c r="D10">
        <v>3.375</v>
      </c>
      <c r="E10">
        <v>4</v>
      </c>
      <c r="F10">
        <v>1</v>
      </c>
      <c r="H10" s="5">
        <v>6.9444444444444441E-3</v>
      </c>
      <c r="I10" s="5">
        <v>4.8451388888888884E-3</v>
      </c>
      <c r="K10">
        <v>1</v>
      </c>
      <c r="L10">
        <v>12</v>
      </c>
      <c r="M10">
        <v>12</v>
      </c>
      <c r="N10" t="b">
        <v>1</v>
      </c>
      <c r="O10" s="1"/>
      <c r="Q10" s="2">
        <v>3</v>
      </c>
      <c r="R10" cm="1">
        <f t="array" aca="1" ref="R10" ca="1">_xlfn.MAXIFS(COL(bench,"wine"), COL(bench,"model"), $Q10, COL(bench,"instance"), INDEX($P:$P, ROW()-$Q10), COL(bench,"time"),"&lt;="&amp;R$1)</f>
        <v>0</v>
      </c>
      <c r="S10" cm="1">
        <f t="array" aca="1" ref="S10" ca="1">_xlfn.MAXIFS(COL(bench,"wine"), COL(bench,"model"), $Q10, COL(bench,"instance"), INDEX($P:$P, ROW()-$Q10), COL(bench,"time"),"&lt;="&amp;S$1)-SUM($R10:R10)</f>
        <v>0</v>
      </c>
      <c r="T10" cm="1">
        <f t="array" aca="1" ref="T10" ca="1">_xlfn.MAXIFS(COL(bench,"wine"), COL(bench,"model"), $Q10, COL(bench,"instance"), INDEX($P:$P, ROW()-$Q10), COL(bench,"time"),"&lt;="&amp;T$1)-SUM($R10:S10)</f>
        <v>0</v>
      </c>
      <c r="U10" cm="1">
        <f t="array" aca="1" ref="U10" ca="1">_xlfn.MAXIFS(COL(bench,"wine"), COL(bench,"model"), $Q10, COL(bench,"instance"), INDEX($P:$P, ROW()-$Q10), COL(bench,"time"),"&lt;="&amp;U$1)-SUM($R10:T10)</f>
        <v>0</v>
      </c>
      <c r="V10" cm="1">
        <f t="array" aca="1" ref="V10" ca="1">_xlfn.MAXIFS(COL(bench,"wine"), COL(bench,"model"), $Q10, COL(bench,"instance"), INDEX($P:$P, ROW()-$Q10), COL(bench,"time"),"&lt;="&amp;V$1)-SUM($R10:U10)</f>
        <v>0</v>
      </c>
      <c r="W10" t="e" cm="1">
        <f t="array" ref="W10" xml:space="preserve"> _xlfn.LET(
  _xlpm.idx, _xlfn.XMATCH(1,
      (COL(summary,"model")=$Q10)*(COL(summary,"instance")=INDEX($P:$P, ROW()-$Q10))*(COL(summary,"best")=TRUE)),
  IFERROR(INDEX(COL(summary,"objective"), _xlpm.idx), #N/A)
)</f>
        <v>#N/A</v>
      </c>
      <c r="X10" cm="1">
        <f t="array" ref="X10" xml:space="preserve"> _xlfn.LET(
  _xlpm.idx, _xlfn.XMATCH(1,
      (COL(summary,"model")=$Q10)*(COL(summary,"instance")=INDEX($P:$P, ROW()-$Q10))*(COL(summary,"best")="TIMEOUT")),
  IFERROR(INDEX(COL(summary,"objective"), _xlpm.idx), #N/A)
)</f>
        <v>0</v>
      </c>
    </row>
    <row r="11" spans="1:24" x14ac:dyDescent="0.25">
      <c r="A11">
        <f ca="1">IF(_34445073613_asp[[#This Row],[instance]]&lt;OFFSET(_34445073613_asp[[#This Row],[instance]],-1,0), OFFSET(_34445073613_asp[[#This Row],[model]],-1,0)+1, OFFSET(_34445073613_asp[[#This Row],[model]],-1,0))</f>
        <v>1</v>
      </c>
      <c r="B11">
        <v>3</v>
      </c>
      <c r="C11" s="5">
        <v>3.7013888888888886E-3</v>
      </c>
      <c r="D11">
        <v>3.75</v>
      </c>
      <c r="E11">
        <v>4</v>
      </c>
      <c r="F11">
        <v>2</v>
      </c>
      <c r="H11" s="5">
        <v>6.9444444444444441E-3</v>
      </c>
      <c r="I11" s="5">
        <v>4.8451388888888884E-3</v>
      </c>
      <c r="K11">
        <v>1</v>
      </c>
      <c r="L11">
        <v>14</v>
      </c>
      <c r="M11"/>
      <c r="N11" t="s">
        <v>13</v>
      </c>
      <c r="O11" s="1"/>
    </row>
    <row r="12" spans="1:24" x14ac:dyDescent="0.25">
      <c r="A12">
        <f ca="1">IF(_34445073613_asp[[#This Row],[instance]]&lt;OFFSET(_34445073613_asp[[#This Row],[instance]],-1,0), OFFSET(_34445073613_asp[[#This Row],[model]],-1,0)+1, OFFSET(_34445073613_asp[[#This Row],[model]],-1,0))</f>
        <v>1</v>
      </c>
      <c r="B12">
        <v>3</v>
      </c>
      <c r="C12" s="5">
        <v>3.7013888888888886E-3</v>
      </c>
      <c r="D12">
        <v>4</v>
      </c>
      <c r="E12">
        <v>4</v>
      </c>
      <c r="F12">
        <v>2</v>
      </c>
      <c r="H12" s="5">
        <v>6.9444444444444441E-3</v>
      </c>
      <c r="I12" s="5">
        <v>4.8451388888888884E-3</v>
      </c>
      <c r="K12">
        <v>1</v>
      </c>
      <c r="L12">
        <v>15</v>
      </c>
      <c r="M12"/>
      <c r="N12" t="s">
        <v>13</v>
      </c>
      <c r="O12" s="1"/>
      <c r="P12">
        <v>3</v>
      </c>
    </row>
    <row r="13" spans="1:24" x14ac:dyDescent="0.25">
      <c r="A13">
        <f ca="1">IF(_34445073613_asp[[#This Row],[instance]]&lt;OFFSET(_34445073613_asp[[#This Row],[instance]],-1,0), OFFSET(_34445073613_asp[[#This Row],[model]],-1,0)+1, OFFSET(_34445073613_asp[[#This Row],[model]],-1,0))</f>
        <v>1</v>
      </c>
      <c r="B13">
        <v>3</v>
      </c>
      <c r="C13" s="5">
        <v>3.7013888888888886E-3</v>
      </c>
      <c r="D13">
        <v>4.75</v>
      </c>
      <c r="E13">
        <v>5</v>
      </c>
      <c r="F13">
        <v>2</v>
      </c>
      <c r="H13" s="5">
        <v>6.9444444444444441E-3</v>
      </c>
      <c r="I13" s="5">
        <v>4.8451388888888884E-3</v>
      </c>
      <c r="K13">
        <v>2</v>
      </c>
      <c r="L13">
        <v>1</v>
      </c>
      <c r="M13">
        <v>6</v>
      </c>
      <c r="N13" t="b">
        <v>1</v>
      </c>
      <c r="O13" s="1"/>
      <c r="Q13" s="2">
        <v>1</v>
      </c>
      <c r="R13" cm="1">
        <f t="array" aca="1" ref="R13" ca="1">_xlfn.MAXIFS(COL(bench,"wine"), COL(bench,"model"), $Q13, COL(bench,"instance"), INDEX($P:$P, ROW()-$Q13), COL(bench,"time"),"&lt;="&amp;R$1)</f>
        <v>0</v>
      </c>
      <c r="S13" cm="1">
        <f t="array" aca="1" ref="S13" ca="1">_xlfn.MAXIFS(COL(bench,"wine"), COL(bench,"model"), $Q13, COL(bench,"instance"), INDEX($P:$P, ROW()-$Q13), COL(bench,"time"),"&lt;="&amp;S$1)-SUM($R13:R13)</f>
        <v>0</v>
      </c>
      <c r="T13" cm="1">
        <f t="array" aca="1" ref="T13" ca="1">_xlfn.MAXIFS(COL(bench,"wine"), COL(bench,"model"), $Q13, COL(bench,"instance"), INDEX($P:$P, ROW()-$Q13), COL(bench,"time"),"&lt;="&amp;T$1)-SUM($R13:S13)</f>
        <v>0</v>
      </c>
      <c r="U13" cm="1">
        <f t="array" aca="1" ref="U13" ca="1">_xlfn.MAXIFS(COL(bench,"wine"), COL(bench,"model"), $Q13, COL(bench,"instance"), INDEX($P:$P, ROW()-$Q13), COL(bench,"time"),"&lt;="&amp;U$1)-SUM($R13:T13)</f>
        <v>0</v>
      </c>
      <c r="V13" cm="1">
        <f t="array" aca="1" ref="V13" ca="1">_xlfn.MAXIFS(COL(bench,"wine"), COL(bench,"model"), $Q13, COL(bench,"instance"), INDEX($P:$P, ROW()-$Q13), COL(bench,"time"),"&lt;="&amp;V$1)-SUM($R13:U13)</f>
        <v>9.625</v>
      </c>
      <c r="W13" t="e" cm="1">
        <f t="array" ref="W13" xml:space="preserve"> _xlfn.LET(
  _xlpm.idx, _xlfn.XMATCH(1,
      (COL(summary,"model")=$Q13)*(COL(summary,"instance")=INDEX($P:$P, ROW()-$Q13))*(COL(summary,"best")=TRUE)),
  IFERROR(INDEX(COL(summary,"objective"), _xlpm.idx), #N/A)
)</f>
        <v>#N/A</v>
      </c>
      <c r="X13" t="e" cm="1">
        <f t="array" ref="X13" xml:space="preserve"> _xlfn.LET(
  _xlpm.idx, _xlfn.XMATCH(1,
      (COL(summary,"model")=$Q13)*(COL(summary,"instance")=INDEX($P:$P, ROW()-$Q13))*(COL(summary,"best")="TIMEOUT")),
  IFERROR(INDEX(COL(summary,"objective"), _xlpm.idx), #N/A)
)</f>
        <v>#N/A</v>
      </c>
    </row>
    <row r="14" spans="1:24" x14ac:dyDescent="0.25">
      <c r="A14">
        <f ca="1">IF(_34445073613_asp[[#This Row],[instance]]&lt;OFFSET(_34445073613_asp[[#This Row],[instance]],-1,0), OFFSET(_34445073613_asp[[#This Row],[model]],-1,0)+1, OFFSET(_34445073613_asp[[#This Row],[model]],-1,0))</f>
        <v>1</v>
      </c>
      <c r="B14">
        <v>3</v>
      </c>
      <c r="C14" s="5">
        <v>3.7013888888888886E-3</v>
      </c>
      <c r="D14">
        <v>5.5</v>
      </c>
      <c r="E14">
        <v>6</v>
      </c>
      <c r="F14">
        <v>2</v>
      </c>
      <c r="H14" s="5">
        <v>6.9444444444444441E-3</v>
      </c>
      <c r="I14" s="5">
        <v>4.8451388888888884E-3</v>
      </c>
      <c r="K14">
        <v>2</v>
      </c>
      <c r="L14">
        <v>2</v>
      </c>
      <c r="M14"/>
      <c r="N14" t="s">
        <v>13</v>
      </c>
      <c r="O14" s="1"/>
      <c r="Q14" s="2">
        <v>2</v>
      </c>
      <c r="R14" cm="1">
        <f t="array" aca="1" ref="R14" ca="1">_xlfn.MAXIFS(COL(bench,"wine"), COL(bench,"model"), $Q14, COL(bench,"instance"), INDEX($P:$P, ROW()-$Q14), COL(bench,"time"),"&lt;="&amp;R$1)</f>
        <v>0</v>
      </c>
      <c r="S14" cm="1">
        <f t="array" aca="1" ref="S14" ca="1">_xlfn.MAXIFS(COL(bench,"wine"), COL(bench,"model"), $Q14, COL(bench,"instance"), INDEX($P:$P, ROW()-$Q14), COL(bench,"time"),"&lt;="&amp;S$1)-SUM($R14:R14)</f>
        <v>0</v>
      </c>
      <c r="T14" cm="1">
        <f t="array" aca="1" ref="T14" ca="1">_xlfn.MAXIFS(COL(bench,"wine"), COL(bench,"model"), $Q14, COL(bench,"instance"), INDEX($P:$P, ROW()-$Q14), COL(bench,"time"),"&lt;="&amp;T$1)-SUM($R14:S14)</f>
        <v>0</v>
      </c>
      <c r="U14" cm="1">
        <f t="array" aca="1" ref="U14" ca="1">_xlfn.MAXIFS(COL(bench,"wine"), COL(bench,"model"), $Q14, COL(bench,"instance"), INDEX($P:$P, ROW()-$Q14), COL(bench,"time"),"&lt;="&amp;U$1)-SUM($R14:T14)</f>
        <v>0</v>
      </c>
      <c r="V14" cm="1">
        <f t="array" aca="1" ref="V14" ca="1">_xlfn.MAXIFS(COL(bench,"wine"), COL(bench,"model"), $Q14, COL(bench,"instance"), INDEX($P:$P, ROW()-$Q14), COL(bench,"time"),"&lt;="&amp;V$1)-SUM($R14:U14)</f>
        <v>9.625</v>
      </c>
      <c r="W14" t="e" cm="1">
        <f t="array" ref="W14" xml:space="preserve"> _xlfn.LET(
  _xlpm.idx, _xlfn.XMATCH(1,
      (COL(summary,"model")=$Q14)*(COL(summary,"instance")=INDEX($P:$P, ROW()-$Q14))*(COL(summary,"best")=TRUE)),
  IFERROR(INDEX(COL(summary,"objective"), _xlpm.idx), #N/A)
)</f>
        <v>#N/A</v>
      </c>
      <c r="X14" t="e" cm="1">
        <f t="array" ref="X14" xml:space="preserve"> _xlfn.LET(
  _xlpm.idx, _xlfn.XMATCH(1,
      (COL(summary,"model")=$Q14)*(COL(summary,"instance")=INDEX($P:$P, ROW()-$Q14))*(COL(summary,"best")="TIMEOUT")),
  IFERROR(INDEX(COL(summary,"objective"), _xlpm.idx), #N/A)
)</f>
        <v>#N/A</v>
      </c>
    </row>
    <row r="15" spans="1:24" x14ac:dyDescent="0.25">
      <c r="A15">
        <f ca="1">IF(_34445073613_asp[[#This Row],[instance]]&lt;OFFSET(_34445073613_asp[[#This Row],[instance]],-1,0), OFFSET(_34445073613_asp[[#This Row],[model]],-1,0)+1, OFFSET(_34445073613_asp[[#This Row],[model]],-1,0))</f>
        <v>1</v>
      </c>
      <c r="B15">
        <v>3</v>
      </c>
      <c r="C15" s="5">
        <v>3.7013888888888886E-3</v>
      </c>
      <c r="D15">
        <v>5.75</v>
      </c>
      <c r="E15">
        <v>6</v>
      </c>
      <c r="F15">
        <v>2</v>
      </c>
      <c r="H15" s="5">
        <v>6.9444444444444441E-3</v>
      </c>
      <c r="I15" s="5">
        <v>4.8451388888888884E-3</v>
      </c>
      <c r="K15">
        <v>2</v>
      </c>
      <c r="L15">
        <v>5</v>
      </c>
      <c r="M15">
        <v>7.75</v>
      </c>
      <c r="N15" t="b">
        <v>1</v>
      </c>
      <c r="O15" s="1"/>
      <c r="Q15" s="2">
        <v>3</v>
      </c>
      <c r="R15" cm="1">
        <f t="array" aca="1" ref="R15" ca="1">_xlfn.MAXIFS(COL(bench,"wine"), COL(bench,"model"), $Q15, COL(bench,"instance"), INDEX($P:$P, ROW()-$Q15), COL(bench,"time"),"&lt;="&amp;R$1)</f>
        <v>0</v>
      </c>
      <c r="S15" cm="1">
        <f t="array" aca="1" ref="S15" ca="1">_xlfn.MAXIFS(COL(bench,"wine"), COL(bench,"model"), $Q15, COL(bench,"instance"), INDEX($P:$P, ROW()-$Q15), COL(bench,"time"),"&lt;="&amp;S$1)-SUM($R15:R15)</f>
        <v>0</v>
      </c>
      <c r="T15" cm="1">
        <f t="array" aca="1" ref="T15" ca="1">_xlfn.MAXIFS(COL(bench,"wine"), COL(bench,"model"), $Q15, COL(bench,"instance"), INDEX($P:$P, ROW()-$Q15), COL(bench,"time"),"&lt;="&amp;T$1)-SUM($R15:S15)</f>
        <v>0</v>
      </c>
      <c r="U15" cm="1">
        <f t="array" aca="1" ref="U15" ca="1">_xlfn.MAXIFS(COL(bench,"wine"), COL(bench,"model"), $Q15, COL(bench,"instance"), INDEX($P:$P, ROW()-$Q15), COL(bench,"time"),"&lt;="&amp;U$1)-SUM($R15:T15)</f>
        <v>0</v>
      </c>
      <c r="V15" cm="1">
        <f t="array" aca="1" ref="V15" ca="1">_xlfn.MAXIFS(COL(bench,"wine"), COL(bench,"model"), $Q15, COL(bench,"instance"), INDEX($P:$P, ROW()-$Q15), COL(bench,"time"),"&lt;="&amp;V$1)-SUM($R15:U15)</f>
        <v>0</v>
      </c>
      <c r="W15" t="e" cm="1">
        <f t="array" ref="W15" xml:space="preserve"> _xlfn.LET(
  _xlpm.idx, _xlfn.XMATCH(1,
      (COL(summary,"model")=$Q15)*(COL(summary,"instance")=INDEX($P:$P, ROW()-$Q15))*(COL(summary,"best")=TRUE)),
  IFERROR(INDEX(COL(summary,"objective"), _xlpm.idx), #N/A)
)</f>
        <v>#N/A</v>
      </c>
      <c r="X15" cm="1">
        <f t="array" ref="X15" xml:space="preserve"> _xlfn.LET(
  _xlpm.idx, _xlfn.XMATCH(1,
      (COL(summary,"model")=$Q15)*(COL(summary,"instance")=INDEX($P:$P, ROW()-$Q15))*(COL(summary,"best")="TIMEOUT")),
  IFERROR(INDEX(COL(summary,"objective"), _xlpm.idx), #N/A)
)</f>
        <v>0</v>
      </c>
    </row>
    <row r="16" spans="1:24" x14ac:dyDescent="0.25">
      <c r="A16">
        <f ca="1">IF(_34445073613_asp[[#This Row],[instance]]&lt;OFFSET(_34445073613_asp[[#This Row],[instance]],-1,0), OFFSET(_34445073613_asp[[#This Row],[model]],-1,0)+1, OFFSET(_34445073613_asp[[#This Row],[model]],-1,0))</f>
        <v>1</v>
      </c>
      <c r="B16">
        <v>3</v>
      </c>
      <c r="C16" s="5">
        <v>3.7015046296296297E-3</v>
      </c>
      <c r="D16">
        <v>6.625</v>
      </c>
      <c r="E16">
        <v>7</v>
      </c>
      <c r="F16">
        <v>2</v>
      </c>
      <c r="H16" s="5">
        <v>6.9444444444444441E-3</v>
      </c>
      <c r="I16" s="5">
        <v>4.8451388888888884E-3</v>
      </c>
      <c r="K16">
        <v>2</v>
      </c>
      <c r="L16">
        <v>7</v>
      </c>
      <c r="M16">
        <v>12</v>
      </c>
      <c r="N16" t="b">
        <v>1</v>
      </c>
      <c r="O16" s="1"/>
    </row>
    <row r="17" spans="1:24" x14ac:dyDescent="0.25">
      <c r="A17">
        <f ca="1">IF(_34445073613_asp[[#This Row],[instance]]&lt;OFFSET(_34445073613_asp[[#This Row],[instance]],-1,0), OFFSET(_34445073613_asp[[#This Row],[model]],-1,0)+1, OFFSET(_34445073613_asp[[#This Row],[model]],-1,0))</f>
        <v>1</v>
      </c>
      <c r="B17">
        <v>3</v>
      </c>
      <c r="C17" s="5">
        <v>3.7016203703703703E-3</v>
      </c>
      <c r="D17">
        <v>7.375</v>
      </c>
      <c r="E17">
        <v>8</v>
      </c>
      <c r="F17">
        <v>3</v>
      </c>
      <c r="H17" s="5">
        <v>6.9444444444444441E-3</v>
      </c>
      <c r="I17" s="5">
        <v>4.8451388888888884E-3</v>
      </c>
      <c r="K17">
        <v>2</v>
      </c>
      <c r="L17">
        <v>8</v>
      </c>
      <c r="M17"/>
      <c r="N17" t="s">
        <v>13</v>
      </c>
      <c r="O17" s="1"/>
      <c r="P17">
        <v>4</v>
      </c>
    </row>
    <row r="18" spans="1:24" x14ac:dyDescent="0.25">
      <c r="A18">
        <f ca="1">IF(_34445073613_asp[[#This Row],[instance]]&lt;OFFSET(_34445073613_asp[[#This Row],[instance]],-1,0), OFFSET(_34445073613_asp[[#This Row],[model]],-1,0)+1, OFFSET(_34445073613_asp[[#This Row],[model]],-1,0))</f>
        <v>1</v>
      </c>
      <c r="B18">
        <v>3</v>
      </c>
      <c r="C18" s="5">
        <v>3.7018518518518516E-3</v>
      </c>
      <c r="D18">
        <v>8.125</v>
      </c>
      <c r="E18">
        <v>9</v>
      </c>
      <c r="F18">
        <v>4</v>
      </c>
      <c r="H18" s="5">
        <v>6.9444444444444441E-3</v>
      </c>
      <c r="I18" s="5">
        <v>4.8451388888888884E-3</v>
      </c>
      <c r="K18">
        <v>2</v>
      </c>
      <c r="L18">
        <v>9</v>
      </c>
      <c r="M18">
        <v>0</v>
      </c>
      <c r="N18" t="b">
        <v>1</v>
      </c>
      <c r="O18" s="1"/>
      <c r="Q18" s="2">
        <v>1</v>
      </c>
      <c r="R18" cm="1">
        <f t="array" aca="1" ref="R18" ca="1">_xlfn.MAXIFS(COL(bench,"wine"), COL(bench,"model"), $Q18, COL(bench,"instance"), INDEX($P:$P, ROW()-$Q18), COL(bench,"time"),"&lt;="&amp;R$1)</f>
        <v>0</v>
      </c>
      <c r="S18" cm="1">
        <f t="array" aca="1" ref="S18" ca="1">_xlfn.MAXIFS(COL(bench,"wine"), COL(bench,"model"), $Q18, COL(bench,"instance"), INDEX($P:$P, ROW()-$Q18), COL(bench,"time"),"&lt;="&amp;S$1)-SUM($R18:R18)</f>
        <v>0</v>
      </c>
      <c r="T18" cm="1">
        <f t="array" aca="1" ref="T18" ca="1">_xlfn.MAXIFS(COL(bench,"wine"), COL(bench,"model"), $Q18, COL(bench,"instance"), INDEX($P:$P, ROW()-$Q18), COL(bench,"time"),"&lt;="&amp;T$1)-SUM($R18:S18)</f>
        <v>0</v>
      </c>
      <c r="U18" cm="1">
        <f t="array" aca="1" ref="U18" ca="1">_xlfn.MAXIFS(COL(bench,"wine"), COL(bench,"model"), $Q18, COL(bench,"instance"), INDEX($P:$P, ROW()-$Q18), COL(bench,"time"),"&lt;="&amp;U$1)-SUM($R18:T18)</f>
        <v>4.5</v>
      </c>
      <c r="V18" cm="1">
        <f t="array" aca="1" ref="V18" ca="1">_xlfn.MAXIFS(COL(bench,"wine"), COL(bench,"model"), $Q18, COL(bench,"instance"), INDEX($P:$P, ROW()-$Q18), COL(bench,"time"),"&lt;="&amp;V$1)-SUM($R18:U18)</f>
        <v>0</v>
      </c>
      <c r="W18" t="e" cm="1">
        <f t="array" ref="W18" xml:space="preserve"> _xlfn.LET(
  _xlpm.idx, _xlfn.XMATCH(1,
      (COL(summary,"model")=$Q18)*(COL(summary,"instance")=INDEX($P:$P, ROW()-$Q18))*(COL(summary,"best")=TRUE)),
  IFERROR(INDEX(COL(summary,"objective"), _xlpm.idx), #N/A)
)</f>
        <v>#N/A</v>
      </c>
      <c r="X18" t="e" cm="1">
        <f t="array" ref="X18" xml:space="preserve"> _xlfn.LET(
  _xlpm.idx, _xlfn.XMATCH(1,
      (COL(summary,"model")=$Q18)*(COL(summary,"instance")=INDEX($P:$P, ROW()-$Q18))*(COL(summary,"best")="TIMEOUT")),
  IFERROR(INDEX(COL(summary,"objective"), _xlpm.idx), #N/A)
)</f>
        <v>#N/A</v>
      </c>
    </row>
    <row r="19" spans="1:24" x14ac:dyDescent="0.25">
      <c r="A19">
        <f ca="1">IF(_34445073613_asp[[#This Row],[instance]]&lt;OFFSET(_34445073613_asp[[#This Row],[instance]],-1,0), OFFSET(_34445073613_asp[[#This Row],[model]],-1,0)+1, OFFSET(_34445073613_asp[[#This Row],[model]],-1,0))</f>
        <v>1</v>
      </c>
      <c r="B19">
        <v>3</v>
      </c>
      <c r="C19" s="5">
        <v>3.7019675925925926E-3</v>
      </c>
      <c r="D19">
        <v>8.875</v>
      </c>
      <c r="E19">
        <v>10</v>
      </c>
      <c r="F19">
        <v>5</v>
      </c>
      <c r="H19" s="5">
        <v>6.9444444444444441E-3</v>
      </c>
      <c r="I19" s="5">
        <v>4.8451388888888884E-3</v>
      </c>
      <c r="K19">
        <v>2</v>
      </c>
      <c r="L19">
        <v>10</v>
      </c>
      <c r="M19">
        <v>5</v>
      </c>
      <c r="N19" t="b">
        <v>1</v>
      </c>
      <c r="O19" s="1"/>
      <c r="Q19" s="2">
        <v>2</v>
      </c>
      <c r="R19" cm="1">
        <f t="array" aca="1" ref="R19" ca="1">_xlfn.MAXIFS(COL(bench,"wine"), COL(bench,"model"), $Q19, COL(bench,"instance"), INDEX($P:$P, ROW()-$Q19), COL(bench,"time"),"&lt;="&amp;R$1)</f>
        <v>0</v>
      </c>
      <c r="S19" cm="1">
        <f t="array" aca="1" ref="S19" ca="1">_xlfn.MAXIFS(COL(bench,"wine"), COL(bench,"model"), $Q19, COL(bench,"instance"), INDEX($P:$P, ROW()-$Q19), COL(bench,"time"),"&lt;="&amp;S$1)-SUM($R19:R19)</f>
        <v>0</v>
      </c>
      <c r="T19" cm="1">
        <f t="array" aca="1" ref="T19" ca="1">_xlfn.MAXIFS(COL(bench,"wine"), COL(bench,"model"), $Q19, COL(bench,"instance"), INDEX($P:$P, ROW()-$Q19), COL(bench,"time"),"&lt;="&amp;T$1)-SUM($R19:S19)</f>
        <v>0</v>
      </c>
      <c r="U19" cm="1">
        <f t="array" aca="1" ref="U19" ca="1">_xlfn.MAXIFS(COL(bench,"wine"), COL(bench,"model"), $Q19, COL(bench,"instance"), INDEX($P:$P, ROW()-$Q19), COL(bench,"time"),"&lt;="&amp;U$1)-SUM($R19:T19)</f>
        <v>4.5</v>
      </c>
      <c r="V19" cm="1">
        <f t="array" aca="1" ref="V19" ca="1">_xlfn.MAXIFS(COL(bench,"wine"), COL(bench,"model"), $Q19, COL(bench,"instance"), INDEX($P:$P, ROW()-$Q19), COL(bench,"time"),"&lt;="&amp;V$1)-SUM($R19:U19)</f>
        <v>0</v>
      </c>
      <c r="W19" t="e" cm="1">
        <f t="array" ref="W19" xml:space="preserve"> _xlfn.LET(
  _xlpm.idx, _xlfn.XMATCH(1,
      (COL(summary,"model")=$Q19)*(COL(summary,"instance")=INDEX($P:$P, ROW()-$Q19))*(COL(summary,"best")=TRUE)),
  IFERROR(INDEX(COL(summary,"objective"), _xlpm.idx), #N/A)
)</f>
        <v>#N/A</v>
      </c>
      <c r="X19" t="e" cm="1">
        <f t="array" ref="X19" xml:space="preserve"> _xlfn.LET(
  _xlpm.idx, _xlfn.XMATCH(1,
      (COL(summary,"model")=$Q19)*(COL(summary,"instance")=INDEX($P:$P, ROW()-$Q19))*(COL(summary,"best")="TIMEOUT")),
  IFERROR(INDEX(COL(summary,"objective"), _xlpm.idx), #N/A)
)</f>
        <v>#N/A</v>
      </c>
    </row>
    <row r="20" spans="1:24" x14ac:dyDescent="0.25">
      <c r="A20">
        <f ca="1">IF(_34445073613_asp[[#This Row],[instance]]&lt;OFFSET(_34445073613_asp[[#This Row],[instance]],-1,0), OFFSET(_34445073613_asp[[#This Row],[model]],-1,0)+1, OFFSET(_34445073613_asp[[#This Row],[model]],-1,0))</f>
        <v>1</v>
      </c>
      <c r="B20">
        <v>3</v>
      </c>
      <c r="C20" s="5">
        <v>3.7020833333333333E-3</v>
      </c>
      <c r="D20">
        <v>9.25</v>
      </c>
      <c r="E20">
        <v>11</v>
      </c>
      <c r="F20">
        <v>5</v>
      </c>
      <c r="H20" s="5">
        <v>6.9444444444444441E-3</v>
      </c>
      <c r="I20" s="5">
        <v>4.8451388888888884E-3</v>
      </c>
      <c r="K20">
        <v>2</v>
      </c>
      <c r="L20">
        <v>11</v>
      </c>
      <c r="M20"/>
      <c r="N20" t="s">
        <v>13</v>
      </c>
      <c r="O20" s="1"/>
      <c r="Q20" s="2">
        <v>3</v>
      </c>
      <c r="R20" cm="1">
        <f t="array" aca="1" ref="R20" ca="1">_xlfn.MAXIFS(COL(bench,"wine"), COL(bench,"model"), $Q20, COL(bench,"instance"), INDEX($P:$P, ROW()-$Q20), COL(bench,"time"),"&lt;="&amp;R$1)</f>
        <v>0</v>
      </c>
      <c r="S20" cm="1">
        <f t="array" aca="1" ref="S20" ca="1">_xlfn.MAXIFS(COL(bench,"wine"), COL(bench,"model"), $Q20, COL(bench,"instance"), INDEX($P:$P, ROW()-$Q20), COL(bench,"time"),"&lt;="&amp;S$1)-SUM($R20:R20)</f>
        <v>0</v>
      </c>
      <c r="T20" cm="1">
        <f t="array" aca="1" ref="T20" ca="1">_xlfn.MAXIFS(COL(bench,"wine"), COL(bench,"model"), $Q20, COL(bench,"instance"), INDEX($P:$P, ROW()-$Q20), COL(bench,"time"),"&lt;="&amp;T$1)-SUM($R20:S20)</f>
        <v>0</v>
      </c>
      <c r="U20" cm="1">
        <f t="array" aca="1" ref="U20" ca="1">_xlfn.MAXIFS(COL(bench,"wine"), COL(bench,"model"), $Q20, COL(bench,"instance"), INDEX($P:$P, ROW()-$Q20), COL(bench,"time"),"&lt;="&amp;U$1)-SUM($R20:T20)</f>
        <v>0</v>
      </c>
      <c r="V20" cm="1">
        <f t="array" aca="1" ref="V20" ca="1">_xlfn.MAXIFS(COL(bench,"wine"), COL(bench,"model"), $Q20, COL(bench,"instance"), INDEX($P:$P, ROW()-$Q20), COL(bench,"time"),"&lt;="&amp;V$1)-SUM($R20:U20)</f>
        <v>0</v>
      </c>
      <c r="W20" t="e" cm="1">
        <f t="array" ref="W20" xml:space="preserve"> _xlfn.LET(
  _xlpm.idx, _xlfn.XMATCH(1,
      (COL(summary,"model")=$Q20)*(COL(summary,"instance")=INDEX($P:$P, ROW()-$Q20))*(COL(summary,"best")=TRUE)),
  IFERROR(INDEX(COL(summary,"objective"), _xlpm.idx), #N/A)
)</f>
        <v>#N/A</v>
      </c>
      <c r="X20" cm="1">
        <f t="array" ref="X20" xml:space="preserve"> _xlfn.LET(
  _xlpm.idx, _xlfn.XMATCH(1,
      (COL(summary,"model")=$Q20)*(COL(summary,"instance")=INDEX($P:$P, ROW()-$Q20))*(COL(summary,"best")="TIMEOUT")),
  IFERROR(INDEX(COL(summary,"objective"), _xlpm.idx), #N/A)
)</f>
        <v>0</v>
      </c>
    </row>
    <row r="21" spans="1:24" x14ac:dyDescent="0.25">
      <c r="A21">
        <f ca="1">IF(_34445073613_asp[[#This Row],[instance]]&lt;OFFSET(_34445073613_asp[[#This Row],[instance]],-1,0), OFFSET(_34445073613_asp[[#This Row],[model]],-1,0)+1, OFFSET(_34445073613_asp[[#This Row],[model]],-1,0))</f>
        <v>1</v>
      </c>
      <c r="B21">
        <v>3</v>
      </c>
      <c r="C21" s="5">
        <v>3.7020833333333333E-3</v>
      </c>
      <c r="D21">
        <v>9.25</v>
      </c>
      <c r="E21">
        <v>11</v>
      </c>
      <c r="F21">
        <v>4</v>
      </c>
      <c r="H21" s="5">
        <v>6.9444444444444441E-3</v>
      </c>
      <c r="I21" s="5">
        <v>4.8451388888888884E-3</v>
      </c>
      <c r="K21">
        <v>2</v>
      </c>
      <c r="L21">
        <v>12</v>
      </c>
      <c r="M21">
        <v>12</v>
      </c>
      <c r="N21" t="b">
        <v>1</v>
      </c>
      <c r="O21" s="1"/>
    </row>
    <row r="22" spans="1:24" x14ac:dyDescent="0.25">
      <c r="A22">
        <f ca="1">IF(_34445073613_asp[[#This Row],[instance]]&lt;OFFSET(_34445073613_asp[[#This Row],[instance]],-1,0), OFFSET(_34445073613_asp[[#This Row],[model]],-1,0)+1, OFFSET(_34445073613_asp[[#This Row],[model]],-1,0))</f>
        <v>1</v>
      </c>
      <c r="B22">
        <v>3</v>
      </c>
      <c r="C22" s="5">
        <v>3.7021990740740739E-3</v>
      </c>
      <c r="D22">
        <v>9.625</v>
      </c>
      <c r="E22">
        <v>12</v>
      </c>
      <c r="F22">
        <v>4</v>
      </c>
      <c r="H22" s="5">
        <v>6.9444444444444441E-3</v>
      </c>
      <c r="I22" s="5">
        <v>4.8451388888888884E-3</v>
      </c>
      <c r="K22">
        <v>2</v>
      </c>
      <c r="L22">
        <v>14</v>
      </c>
      <c r="M22"/>
      <c r="N22" t="s">
        <v>13</v>
      </c>
      <c r="O22" s="1"/>
      <c r="P22">
        <v>5</v>
      </c>
    </row>
    <row r="23" spans="1:24" x14ac:dyDescent="0.25">
      <c r="A23">
        <f ca="1">IF(_34445073613_asp[[#This Row],[instance]]&lt;OFFSET(_34445073613_asp[[#This Row],[instance]],-1,0), OFFSET(_34445073613_asp[[#This Row],[model]],-1,0)+1, OFFSET(_34445073613_asp[[#This Row],[model]],-1,0))</f>
        <v>1</v>
      </c>
      <c r="B23">
        <v>3</v>
      </c>
      <c r="C23" s="5">
        <v>3.7023148148148145E-3</v>
      </c>
      <c r="D23">
        <v>9.625</v>
      </c>
      <c r="E23">
        <v>12</v>
      </c>
      <c r="F23">
        <v>3</v>
      </c>
      <c r="H23" s="5">
        <v>6.9444444444444441E-3</v>
      </c>
      <c r="I23" s="5">
        <v>4.8451388888888884E-3</v>
      </c>
      <c r="K23">
        <v>2</v>
      </c>
      <c r="L23">
        <v>15</v>
      </c>
      <c r="M23"/>
      <c r="N23" t="s">
        <v>13</v>
      </c>
      <c r="O23" s="1"/>
      <c r="Q23" s="2">
        <v>1</v>
      </c>
      <c r="R23" cm="1">
        <f t="array" aca="1" ref="R23" ca="1">_xlfn.MAXIFS(COL(bench,"wine"), COL(bench,"model"), $Q23, COL(bench,"instance"), INDEX($P:$P, ROW()-$Q23), COL(bench,"time"),"&lt;="&amp;R$1)</f>
        <v>0</v>
      </c>
      <c r="S23" cm="1">
        <f t="array" aca="1" ref="S23" ca="1">_xlfn.MAXIFS(COL(bench,"wine"), COL(bench,"model"), $Q23, COL(bench,"instance"), INDEX($P:$P, ROW()-$Q23), COL(bench,"time"),"&lt;="&amp;S$1)-SUM($R23:R23)</f>
        <v>0</v>
      </c>
      <c r="T23" cm="1">
        <f t="array" aca="1" ref="T23" ca="1">_xlfn.MAXIFS(COL(bench,"wine"), COL(bench,"model"), $Q23, COL(bench,"instance"), INDEX($P:$P, ROW()-$Q23), COL(bench,"time"),"&lt;="&amp;T$1)-SUM($R23:S23)</f>
        <v>0</v>
      </c>
      <c r="U23" cm="1">
        <f t="array" aca="1" ref="U23" ca="1">_xlfn.MAXIFS(COL(bench,"wine"), COL(bench,"model"), $Q23, COL(bench,"instance"), INDEX($P:$P, ROW()-$Q23), COL(bench,"time"),"&lt;="&amp;U$1)-SUM($R23:T23)</f>
        <v>7.75</v>
      </c>
      <c r="V23" cm="1">
        <f t="array" aca="1" ref="V23" ca="1">_xlfn.MAXIFS(COL(bench,"wine"), COL(bench,"model"), $Q23, COL(bench,"instance"), INDEX($P:$P, ROW()-$Q23), COL(bench,"time"),"&lt;="&amp;V$1)-SUM($R23:U23)</f>
        <v>0</v>
      </c>
      <c r="W23" cm="1">
        <f t="array" ref="W23" xml:space="preserve"> _xlfn.LET(
  _xlpm.idx, _xlfn.XMATCH(1,
      (COL(summary,"model")=$Q23)*(COL(summary,"instance")=INDEX($P:$P, ROW()-$Q23))*(COL(summary,"best")=TRUE)),
  IFERROR(INDEX(COL(summary,"objective"), _xlpm.idx), #N/A)
)</f>
        <v>7.75</v>
      </c>
      <c r="X23" t="e" cm="1">
        <f t="array" ref="X23" xml:space="preserve"> _xlfn.LET(
  _xlpm.idx, _xlfn.XMATCH(1,
      (COL(summary,"model")=$Q23)*(COL(summary,"instance")=INDEX($P:$P, ROW()-$Q23))*(COL(summary,"best")="TIMEOUT")),
  IFERROR(INDEX(COL(summary,"objective"), _xlpm.idx), #N/A)
)</f>
        <v>#N/A</v>
      </c>
    </row>
    <row r="24" spans="1:24" x14ac:dyDescent="0.25">
      <c r="A24">
        <f ca="1">IF(_34445073613_asp[[#This Row],[instance]]&lt;OFFSET(_34445073613_asp[[#This Row],[instance]],-1,0), OFFSET(_34445073613_asp[[#This Row],[model]],-1,0)+1, OFFSET(_34445073613_asp[[#This Row],[model]],-1,0))</f>
        <v>1</v>
      </c>
      <c r="B24">
        <v>4</v>
      </c>
      <c r="C24" s="5">
        <v>2.2648148148148146E-3</v>
      </c>
      <c r="D24">
        <v>0</v>
      </c>
      <c r="E24">
        <v>0</v>
      </c>
      <c r="F24">
        <v>0</v>
      </c>
      <c r="H24" s="5">
        <v>6.9444444444444441E-3</v>
      </c>
      <c r="I24" s="5">
        <v>4.8451388888888884E-3</v>
      </c>
      <c r="K24">
        <v>3</v>
      </c>
      <c r="L24">
        <v>1</v>
      </c>
      <c r="M24"/>
      <c r="N24" t="s">
        <v>13</v>
      </c>
      <c r="O24" s="1"/>
      <c r="Q24" s="2">
        <v>2</v>
      </c>
      <c r="R24" cm="1">
        <f t="array" aca="1" ref="R24" ca="1">_xlfn.MAXIFS(COL(bench,"wine"), COL(bench,"model"), $Q24, COL(bench,"instance"), INDEX($P:$P, ROW()-$Q24), COL(bench,"time"),"&lt;="&amp;R$1)</f>
        <v>0</v>
      </c>
      <c r="S24" cm="1">
        <f t="array" aca="1" ref="S24" ca="1">_xlfn.MAXIFS(COL(bench,"wine"), COL(bench,"model"), $Q24, COL(bench,"instance"), INDEX($P:$P, ROW()-$Q24), COL(bench,"time"),"&lt;="&amp;S$1)-SUM($R24:R24)</f>
        <v>0</v>
      </c>
      <c r="T24" cm="1">
        <f t="array" aca="1" ref="T24" ca="1">_xlfn.MAXIFS(COL(bench,"wine"), COL(bench,"model"), $Q24, COL(bench,"instance"), INDEX($P:$P, ROW()-$Q24), COL(bench,"time"),"&lt;="&amp;T$1)-SUM($R24:S24)</f>
        <v>0</v>
      </c>
      <c r="U24" cm="1">
        <f t="array" aca="1" ref="U24" ca="1">_xlfn.MAXIFS(COL(bench,"wine"), COL(bench,"model"), $Q24, COL(bench,"instance"), INDEX($P:$P, ROW()-$Q24), COL(bench,"time"),"&lt;="&amp;U$1)-SUM($R24:T24)</f>
        <v>7.75</v>
      </c>
      <c r="V24" cm="1">
        <f t="array" aca="1" ref="V24" ca="1">_xlfn.MAXIFS(COL(bench,"wine"), COL(bench,"model"), $Q24, COL(bench,"instance"), INDEX($P:$P, ROW()-$Q24), COL(bench,"time"),"&lt;="&amp;V$1)-SUM($R24:U24)</f>
        <v>0</v>
      </c>
      <c r="W24" cm="1">
        <f t="array" ref="W24" xml:space="preserve"> _xlfn.LET(
  _xlpm.idx, _xlfn.XMATCH(1,
      (COL(summary,"model")=$Q24)*(COL(summary,"instance")=INDEX($P:$P, ROW()-$Q24))*(COL(summary,"best")=TRUE)),
  IFERROR(INDEX(COL(summary,"objective"), _xlpm.idx), #N/A)
)</f>
        <v>7.75</v>
      </c>
      <c r="X24" t="e" cm="1">
        <f t="array" ref="X24" xml:space="preserve"> _xlfn.LET(
  _xlpm.idx, _xlfn.XMATCH(1,
      (COL(summary,"model")=$Q24)*(COL(summary,"instance")=INDEX($P:$P, ROW()-$Q24))*(COL(summary,"best")="TIMEOUT")),
  IFERROR(INDEX(COL(summary,"objective"), _xlpm.idx), #N/A)
)</f>
        <v>#N/A</v>
      </c>
    </row>
    <row r="25" spans="1:24" x14ac:dyDescent="0.25">
      <c r="A25">
        <f ca="1">IF(_34445073613_asp[[#This Row],[instance]]&lt;OFFSET(_34445073613_asp[[#This Row],[instance]],-1,0), OFFSET(_34445073613_asp[[#This Row],[model]],-1,0)+1, OFFSET(_34445073613_asp[[#This Row],[model]],-1,0))</f>
        <v>1</v>
      </c>
      <c r="B25">
        <v>4</v>
      </c>
      <c r="C25" s="5">
        <v>2.2649305555555556E-3</v>
      </c>
      <c r="D25">
        <v>3</v>
      </c>
      <c r="E25">
        <v>4</v>
      </c>
      <c r="F25">
        <v>1</v>
      </c>
      <c r="H25" s="5">
        <v>6.9444444444444441E-3</v>
      </c>
      <c r="I25" s="5">
        <v>4.8451388888888884E-3</v>
      </c>
      <c r="K25">
        <v>3</v>
      </c>
      <c r="L25">
        <v>2</v>
      </c>
      <c r="M25"/>
      <c r="N25" t="s">
        <v>13</v>
      </c>
      <c r="O25" s="1"/>
      <c r="Q25" s="2">
        <v>3</v>
      </c>
      <c r="R25" cm="1">
        <f t="array" aca="1" ref="R25" ca="1">_xlfn.MAXIFS(COL(bench,"wine"), COL(bench,"model"), $Q25, COL(bench,"instance"), INDEX($P:$P, ROW()-$Q25), COL(bench,"time"),"&lt;="&amp;R$1)</f>
        <v>0</v>
      </c>
      <c r="S25" cm="1">
        <f t="array" aca="1" ref="S25" ca="1">_xlfn.MAXIFS(COL(bench,"wine"), COL(bench,"model"), $Q25, COL(bench,"instance"), INDEX($P:$P, ROW()-$Q25), COL(bench,"time"),"&lt;="&amp;S$1)-SUM($R25:R25)</f>
        <v>0</v>
      </c>
      <c r="T25" cm="1">
        <f t="array" aca="1" ref="T25" ca="1">_xlfn.MAXIFS(COL(bench,"wine"), COL(bench,"model"), $Q25, COL(bench,"instance"), INDEX($P:$P, ROW()-$Q25), COL(bench,"time"),"&lt;="&amp;T$1)-SUM($R25:S25)</f>
        <v>0</v>
      </c>
      <c r="U25" cm="1">
        <f t="array" aca="1" ref="U25" ca="1">_xlfn.MAXIFS(COL(bench,"wine"), COL(bench,"model"), $Q25, COL(bench,"instance"), INDEX($P:$P, ROW()-$Q25), COL(bench,"time"),"&lt;="&amp;U$1)-SUM($R25:T25)</f>
        <v>0</v>
      </c>
      <c r="V25" cm="1">
        <f t="array" aca="1" ref="V25" ca="1">_xlfn.MAXIFS(COL(bench,"wine"), COL(bench,"model"), $Q25, COL(bench,"instance"), INDEX($P:$P, ROW()-$Q25), COL(bench,"time"),"&lt;="&amp;V$1)-SUM($R25:U25)</f>
        <v>0</v>
      </c>
      <c r="W25" t="e" cm="1">
        <f t="array" ref="W25" xml:space="preserve"> _xlfn.LET(
  _xlpm.idx, _xlfn.XMATCH(1,
      (COL(summary,"model")=$Q25)*(COL(summary,"instance")=INDEX($P:$P, ROW()-$Q25))*(COL(summary,"best")=TRUE)),
  IFERROR(INDEX(COL(summary,"objective"), _xlpm.idx), #N/A)
)</f>
        <v>#N/A</v>
      </c>
      <c r="X25" cm="1">
        <f t="array" ref="X25" xml:space="preserve"> _xlfn.LET(
  _xlpm.idx, _xlfn.XMATCH(1,
      (COL(summary,"model")=$Q25)*(COL(summary,"instance")=INDEX($P:$P, ROW()-$Q25))*(COL(summary,"best")="TIMEOUT")),
  IFERROR(INDEX(COL(summary,"objective"), _xlpm.idx), #N/A)
)</f>
        <v>0</v>
      </c>
    </row>
    <row r="26" spans="1:24" x14ac:dyDescent="0.25">
      <c r="A26">
        <f ca="1">IF(_34445073613_asp[[#This Row],[instance]]&lt;OFFSET(_34445073613_asp[[#This Row],[instance]],-1,0), OFFSET(_34445073613_asp[[#This Row],[model]],-1,0)+1, OFFSET(_34445073613_asp[[#This Row],[model]],-1,0))</f>
        <v>1</v>
      </c>
      <c r="B26">
        <v>4</v>
      </c>
      <c r="C26" s="5">
        <v>2.2649305555555556E-3</v>
      </c>
      <c r="D26">
        <v>3.75</v>
      </c>
      <c r="E26">
        <v>5</v>
      </c>
      <c r="F26">
        <v>1</v>
      </c>
      <c r="H26" s="5">
        <v>6.9444444444444441E-3</v>
      </c>
      <c r="I26" s="5">
        <v>4.8451388888888884E-3</v>
      </c>
      <c r="K26">
        <v>3</v>
      </c>
      <c r="L26">
        <v>3</v>
      </c>
      <c r="M26"/>
      <c r="N26" t="s">
        <v>13</v>
      </c>
      <c r="O26" s="1"/>
    </row>
    <row r="27" spans="1:24" x14ac:dyDescent="0.25">
      <c r="A27">
        <f ca="1">IF(_34445073613_asp[[#This Row],[instance]]&lt;OFFSET(_34445073613_asp[[#This Row],[instance]],-1,0), OFFSET(_34445073613_asp[[#This Row],[model]],-1,0)+1, OFFSET(_34445073613_asp[[#This Row],[model]],-1,0))</f>
        <v>1</v>
      </c>
      <c r="B27">
        <v>4</v>
      </c>
      <c r="C27" s="5">
        <v>2.2649305555555556E-3</v>
      </c>
      <c r="D27">
        <v>4.5</v>
      </c>
      <c r="E27">
        <v>6</v>
      </c>
      <c r="F27">
        <v>1</v>
      </c>
      <c r="H27" s="5">
        <v>6.9444444444444441E-3</v>
      </c>
      <c r="I27" s="5">
        <v>4.8451388888888884E-3</v>
      </c>
      <c r="K27">
        <v>3</v>
      </c>
      <c r="L27">
        <v>4</v>
      </c>
      <c r="M27"/>
      <c r="N27" t="s">
        <v>13</v>
      </c>
      <c r="O27" s="1"/>
      <c r="P27">
        <v>6</v>
      </c>
    </row>
    <row r="28" spans="1:24" x14ac:dyDescent="0.25">
      <c r="A28">
        <f ca="1">IF(_34445073613_asp[[#This Row],[instance]]&lt;OFFSET(_34445073613_asp[[#This Row],[instance]],-1,0), OFFSET(_34445073613_asp[[#This Row],[model]],-1,0)+1, OFFSET(_34445073613_asp[[#This Row],[model]],-1,0))</f>
        <v>1</v>
      </c>
      <c r="B28">
        <v>5</v>
      </c>
      <c r="C28" s="5">
        <v>1.2386574074074073E-3</v>
      </c>
      <c r="D28">
        <v>0</v>
      </c>
      <c r="E28">
        <v>0</v>
      </c>
      <c r="F28">
        <v>0</v>
      </c>
      <c r="G28" s="5">
        <v>1.2340277777777777E-3</v>
      </c>
      <c r="H28" s="5">
        <v>1.2734953703703704E-3</v>
      </c>
      <c r="I28" s="5">
        <v>4.8451388888888884E-3</v>
      </c>
      <c r="K28">
        <v>3</v>
      </c>
      <c r="L28">
        <v>5</v>
      </c>
      <c r="M28"/>
      <c r="N28" t="s">
        <v>13</v>
      </c>
      <c r="O28" s="1"/>
      <c r="Q28" s="2">
        <v>1</v>
      </c>
      <c r="R28" cm="1">
        <f t="array" aca="1" ref="R28" ca="1">_xlfn.MAXIFS(COL(bench,"wine"), COL(bench,"model"), $Q28, COL(bench,"instance"), INDEX($P:$P, ROW()-$Q28), COL(bench,"time"),"&lt;="&amp;R$1)</f>
        <v>0</v>
      </c>
      <c r="S28" cm="1">
        <f t="array" aca="1" ref="S28" ca="1">_xlfn.MAXIFS(COL(bench,"wine"), COL(bench,"model"), $Q28, COL(bench,"instance"), INDEX($P:$P, ROW()-$Q28), COL(bench,"time"),"&lt;="&amp;S$1)-SUM($R28:R28)</f>
        <v>0</v>
      </c>
      <c r="T28" cm="1">
        <f t="array" aca="1" ref="T28" ca="1">_xlfn.MAXIFS(COL(bench,"wine"), COL(bench,"model"), $Q28, COL(bench,"instance"), INDEX($P:$P, ROW()-$Q28), COL(bench,"time"),"&lt;="&amp;T$1)-SUM($R28:S28)</f>
        <v>0</v>
      </c>
      <c r="U28" cm="1">
        <f t="array" aca="1" ref="U28" ca="1">_xlfn.MAXIFS(COL(bench,"wine"), COL(bench,"model"), $Q28, COL(bench,"instance"), INDEX($P:$P, ROW()-$Q28), COL(bench,"time"),"&lt;="&amp;U$1)-SUM($R28:T28)</f>
        <v>17.625</v>
      </c>
      <c r="V28" cm="1">
        <f t="array" aca="1" ref="V28" ca="1">_xlfn.MAXIFS(COL(bench,"wine"), COL(bench,"model"), $Q28, COL(bench,"instance"), INDEX($P:$P, ROW()-$Q28), COL(bench,"time"),"&lt;="&amp;V$1)-SUM($R28:U28)</f>
        <v>0</v>
      </c>
      <c r="W28" t="e" cm="1">
        <f t="array" ref="W28" xml:space="preserve"> _xlfn.LET(
  _xlpm.idx, _xlfn.XMATCH(1,
      (COL(summary,"model")=$Q28)*(COL(summary,"instance")=INDEX($P:$P, ROW()-$Q28))*(COL(summary,"best")=TRUE)),
  IFERROR(INDEX(COL(summary,"objective"), _xlpm.idx), #N/A)
)</f>
        <v>#N/A</v>
      </c>
      <c r="X28" t="e" cm="1">
        <f t="array" ref="X28" xml:space="preserve"> _xlfn.LET(
  _xlpm.idx, _xlfn.XMATCH(1,
      (COL(summary,"model")=$Q28)*(COL(summary,"instance")=INDEX($P:$P, ROW()-$Q28))*(COL(summary,"best")="TIMEOUT")),
  IFERROR(INDEX(COL(summary,"objective"), _xlpm.idx), #N/A)
)</f>
        <v>#N/A</v>
      </c>
    </row>
    <row r="29" spans="1:24" x14ac:dyDescent="0.25">
      <c r="A29">
        <f ca="1">IF(_34445073613_asp[[#This Row],[instance]]&lt;OFFSET(_34445073613_asp[[#This Row],[instance]],-1,0), OFFSET(_34445073613_asp[[#This Row],[model]],-1,0)+1, OFFSET(_34445073613_asp[[#This Row],[model]],-1,0))</f>
        <v>1</v>
      </c>
      <c r="B29">
        <v>5</v>
      </c>
      <c r="C29" s="5">
        <v>1.2387731481481481E-3</v>
      </c>
      <c r="D29">
        <v>1.875</v>
      </c>
      <c r="E29">
        <v>2</v>
      </c>
      <c r="F29">
        <v>1</v>
      </c>
      <c r="G29" s="5">
        <v>1.2340277777777777E-3</v>
      </c>
      <c r="H29" s="5">
        <v>1.2734953703703704E-3</v>
      </c>
      <c r="I29" s="5">
        <v>4.8451388888888884E-3</v>
      </c>
      <c r="K29">
        <v>3</v>
      </c>
      <c r="L29">
        <v>6</v>
      </c>
      <c r="M29"/>
      <c r="N29" t="s">
        <v>13</v>
      </c>
      <c r="O29" s="1"/>
      <c r="Q29" s="2">
        <v>2</v>
      </c>
      <c r="R29" cm="1">
        <f t="array" aca="1" ref="R29" ca="1">_xlfn.MAXIFS(COL(bench,"wine"), COL(bench,"model"), $Q29, COL(bench,"instance"), INDEX($P:$P, ROW()-$Q29), COL(bench,"time"),"&lt;="&amp;R$1)</f>
        <v>0</v>
      </c>
      <c r="S29" cm="1">
        <f t="array" aca="1" ref="S29" ca="1">_xlfn.MAXIFS(COL(bench,"wine"), COL(bench,"model"), $Q29, COL(bench,"instance"), INDEX($P:$P, ROW()-$Q29), COL(bench,"time"),"&lt;="&amp;S$1)-SUM($R29:R29)</f>
        <v>0</v>
      </c>
      <c r="T29" cm="1">
        <f t="array" aca="1" ref="T29" ca="1">_xlfn.MAXIFS(COL(bench,"wine"), COL(bench,"model"), $Q29, COL(bench,"instance"), INDEX($P:$P, ROW()-$Q29), COL(bench,"time"),"&lt;="&amp;T$1)-SUM($R29:S29)</f>
        <v>0</v>
      </c>
      <c r="U29" cm="1">
        <f t="array" aca="1" ref="U29" ca="1">_xlfn.MAXIFS(COL(bench,"wine"), COL(bench,"model"), $Q29, COL(bench,"instance"), INDEX($P:$P, ROW()-$Q29), COL(bench,"time"),"&lt;="&amp;U$1)-SUM($R29:T29)</f>
        <v>17.625</v>
      </c>
      <c r="V29" cm="1">
        <f t="array" aca="1" ref="V29" ca="1">_xlfn.MAXIFS(COL(bench,"wine"), COL(bench,"model"), $Q29, COL(bench,"instance"), INDEX($P:$P, ROW()-$Q29), COL(bench,"time"),"&lt;="&amp;V$1)-SUM($R29:U29)</f>
        <v>0</v>
      </c>
      <c r="W29" t="e" cm="1">
        <f t="array" ref="W29" xml:space="preserve"> _xlfn.LET(
  _xlpm.idx, _xlfn.XMATCH(1,
      (COL(summary,"model")=$Q29)*(COL(summary,"instance")=INDEX($P:$P, ROW()-$Q29))*(COL(summary,"best")=TRUE)),
  IFERROR(INDEX(COL(summary,"objective"), _xlpm.idx), #N/A)
)</f>
        <v>#N/A</v>
      </c>
      <c r="X29" t="e" cm="1">
        <f t="array" ref="X29" xml:space="preserve"> _xlfn.LET(
  _xlpm.idx, _xlfn.XMATCH(1,
      (COL(summary,"model")=$Q29)*(COL(summary,"instance")=INDEX($P:$P, ROW()-$Q29))*(COL(summary,"best")="TIMEOUT")),
  IFERROR(INDEX(COL(summary,"objective"), _xlpm.idx), #N/A)
)</f>
        <v>#N/A</v>
      </c>
    </row>
    <row r="30" spans="1:24" x14ac:dyDescent="0.25">
      <c r="A30">
        <f ca="1">IF(_34445073613_asp[[#This Row],[instance]]&lt;OFFSET(_34445073613_asp[[#This Row],[instance]],-1,0), OFFSET(_34445073613_asp[[#This Row],[model]],-1,0)+1, OFFSET(_34445073613_asp[[#This Row],[model]],-1,0))</f>
        <v>1</v>
      </c>
      <c r="B30">
        <v>5</v>
      </c>
      <c r="C30" s="5">
        <v>1.2387731481481481E-3</v>
      </c>
      <c r="D30">
        <v>3</v>
      </c>
      <c r="E30">
        <v>2</v>
      </c>
      <c r="F30">
        <v>2</v>
      </c>
      <c r="G30" s="5">
        <v>1.2340277777777777E-3</v>
      </c>
      <c r="H30" s="5">
        <v>1.2734953703703704E-3</v>
      </c>
      <c r="I30" s="5">
        <v>4.8451388888888884E-3</v>
      </c>
      <c r="K30">
        <v>3</v>
      </c>
      <c r="L30">
        <v>7</v>
      </c>
      <c r="M30"/>
      <c r="N30" t="s">
        <v>13</v>
      </c>
      <c r="O30" s="1"/>
      <c r="Q30" s="2">
        <v>3</v>
      </c>
      <c r="R30" cm="1">
        <f t="array" aca="1" ref="R30" ca="1">_xlfn.MAXIFS(COL(bench,"wine"), COL(bench,"model"), $Q30, COL(bench,"instance"), INDEX($P:$P, ROW()-$Q30), COL(bench,"time"),"&lt;="&amp;R$1)</f>
        <v>0</v>
      </c>
      <c r="S30" cm="1">
        <f t="array" aca="1" ref="S30" ca="1">_xlfn.MAXIFS(COL(bench,"wine"), COL(bench,"model"), $Q30, COL(bench,"instance"), INDEX($P:$P, ROW()-$Q30), COL(bench,"time"),"&lt;="&amp;S$1)-SUM($R30:R30)</f>
        <v>0</v>
      </c>
      <c r="T30" cm="1">
        <f t="array" aca="1" ref="T30" ca="1">_xlfn.MAXIFS(COL(bench,"wine"), COL(bench,"model"), $Q30, COL(bench,"instance"), INDEX($P:$P, ROW()-$Q30), COL(bench,"time"),"&lt;="&amp;T$1)-SUM($R30:S30)</f>
        <v>0</v>
      </c>
      <c r="U30" cm="1">
        <f t="array" aca="1" ref="U30" ca="1">_xlfn.MAXIFS(COL(bench,"wine"), COL(bench,"model"), $Q30, COL(bench,"instance"), INDEX($P:$P, ROW()-$Q30), COL(bench,"time"),"&lt;="&amp;U$1)-SUM($R30:T30)</f>
        <v>0</v>
      </c>
      <c r="V30" cm="1">
        <f t="array" aca="1" ref="V30" ca="1">_xlfn.MAXIFS(COL(bench,"wine"), COL(bench,"model"), $Q30, COL(bench,"instance"), INDEX($P:$P, ROW()-$Q30), COL(bench,"time"),"&lt;="&amp;V$1)-SUM($R30:U30)</f>
        <v>0</v>
      </c>
      <c r="W30" t="e" cm="1">
        <f t="array" ref="W30" xml:space="preserve"> _xlfn.LET(
  _xlpm.idx, _xlfn.XMATCH(1,
      (COL(summary,"model")=$Q30)*(COL(summary,"instance")=INDEX($P:$P, ROW()-$Q30))*(COL(summary,"best")=TRUE)),
  IFERROR(INDEX(COL(summary,"objective"), _xlpm.idx), #N/A)
)</f>
        <v>#N/A</v>
      </c>
      <c r="X30" cm="1">
        <f t="array" ref="X30" xml:space="preserve"> _xlfn.LET(
  _xlpm.idx, _xlfn.XMATCH(1,
      (COL(summary,"model")=$Q30)*(COL(summary,"instance")=INDEX($P:$P, ROW()-$Q30))*(COL(summary,"best")="TIMEOUT")),
  IFERROR(INDEX(COL(summary,"objective"), _xlpm.idx), #N/A)
)</f>
        <v>0</v>
      </c>
    </row>
    <row r="31" spans="1:24" x14ac:dyDescent="0.25">
      <c r="A31">
        <f ca="1">IF(_34445073613_asp[[#This Row],[instance]]&lt;OFFSET(_34445073613_asp[[#This Row],[instance]],-1,0), OFFSET(_34445073613_asp[[#This Row],[model]],-1,0)+1, OFFSET(_34445073613_asp[[#This Row],[model]],-1,0))</f>
        <v>1</v>
      </c>
      <c r="B31">
        <v>5</v>
      </c>
      <c r="C31" s="5">
        <v>1.2387731481481481E-3</v>
      </c>
      <c r="D31">
        <v>3.375</v>
      </c>
      <c r="E31">
        <v>3</v>
      </c>
      <c r="F31">
        <v>1</v>
      </c>
      <c r="G31" s="5">
        <v>1.2340277777777777E-3</v>
      </c>
      <c r="H31" s="5">
        <v>1.2734953703703704E-3</v>
      </c>
      <c r="I31" s="5">
        <v>4.8451388888888884E-3</v>
      </c>
      <c r="K31">
        <v>3</v>
      </c>
      <c r="L31">
        <v>8</v>
      </c>
      <c r="M31"/>
      <c r="N31" t="s">
        <v>13</v>
      </c>
      <c r="O31" s="1"/>
    </row>
    <row r="32" spans="1:24" x14ac:dyDescent="0.25">
      <c r="A32">
        <f ca="1">IF(_34445073613_asp[[#This Row],[instance]]&lt;OFFSET(_34445073613_asp[[#This Row],[instance]],-1,0), OFFSET(_34445073613_asp[[#This Row],[model]],-1,0)+1, OFFSET(_34445073613_asp[[#This Row],[model]],-1,0))</f>
        <v>1</v>
      </c>
      <c r="B32">
        <v>5</v>
      </c>
      <c r="C32" s="5">
        <v>1.2387731481481481E-3</v>
      </c>
      <c r="D32">
        <v>4.5</v>
      </c>
      <c r="E32">
        <v>3</v>
      </c>
      <c r="F32">
        <v>3</v>
      </c>
      <c r="G32" s="5">
        <v>1.2340277777777777E-3</v>
      </c>
      <c r="H32" s="5">
        <v>1.2734953703703704E-3</v>
      </c>
      <c r="I32" s="5">
        <v>4.8451388888888884E-3</v>
      </c>
      <c r="K32">
        <v>3</v>
      </c>
      <c r="L32">
        <v>9</v>
      </c>
      <c r="M32"/>
      <c r="N32" t="s">
        <v>13</v>
      </c>
      <c r="O32" s="1"/>
      <c r="P32">
        <v>7</v>
      </c>
    </row>
    <row r="33" spans="1:24" x14ac:dyDescent="0.25">
      <c r="A33">
        <f ca="1">IF(_34445073613_asp[[#This Row],[instance]]&lt;OFFSET(_34445073613_asp[[#This Row],[instance]],-1,0), OFFSET(_34445073613_asp[[#This Row],[model]],-1,0)+1, OFFSET(_34445073613_asp[[#This Row],[model]],-1,0))</f>
        <v>1</v>
      </c>
      <c r="B33">
        <v>5</v>
      </c>
      <c r="C33" s="5">
        <v>1.2387731481481481E-3</v>
      </c>
      <c r="D33">
        <v>4.5</v>
      </c>
      <c r="E33">
        <v>3</v>
      </c>
      <c r="F33">
        <v>2</v>
      </c>
      <c r="G33" s="5">
        <v>1.2340277777777777E-3</v>
      </c>
      <c r="H33" s="5">
        <v>1.2734953703703704E-3</v>
      </c>
      <c r="I33" s="5">
        <v>4.8451388888888884E-3</v>
      </c>
      <c r="K33">
        <v>3</v>
      </c>
      <c r="L33">
        <v>10</v>
      </c>
      <c r="M33"/>
      <c r="N33" t="s">
        <v>13</v>
      </c>
      <c r="O33" s="1"/>
      <c r="Q33" s="2">
        <v>1</v>
      </c>
      <c r="R33" cm="1">
        <f t="array" aca="1" ref="R33" ca="1">_xlfn.MAXIFS(COL(bench,"wine"), COL(bench,"model"), $Q33, COL(bench,"instance"), INDEX($P:$P, ROW()-$Q33), COL(bench,"time"),"&lt;="&amp;R$1)</f>
        <v>0</v>
      </c>
      <c r="S33" cm="1">
        <f t="array" aca="1" ref="S33" ca="1">_xlfn.MAXIFS(COL(bench,"wine"), COL(bench,"model"), $Q33, COL(bench,"instance"), INDEX($P:$P, ROW()-$Q33), COL(bench,"time"),"&lt;="&amp;S$1)-SUM($R33:R33)</f>
        <v>0</v>
      </c>
      <c r="T33" cm="1">
        <f t="array" aca="1" ref="T33" ca="1">_xlfn.MAXIFS(COL(bench,"wine"), COL(bench,"model"), $Q33, COL(bench,"instance"), INDEX($P:$P, ROW()-$Q33), COL(bench,"time"),"&lt;="&amp;T$1)-SUM($R33:S33)</f>
        <v>12</v>
      </c>
      <c r="U33" cm="1">
        <f t="array" aca="1" ref="U33" ca="1">_xlfn.MAXIFS(COL(bench,"wine"), COL(bench,"model"), $Q33, COL(bench,"instance"), INDEX($P:$P, ROW()-$Q33), COL(bench,"time"),"&lt;="&amp;U$1)-SUM($R33:T33)</f>
        <v>0</v>
      </c>
      <c r="V33" cm="1">
        <f t="array" aca="1" ref="V33" ca="1">_xlfn.MAXIFS(COL(bench,"wine"), COL(bench,"model"), $Q33, COL(bench,"instance"), INDEX($P:$P, ROW()-$Q33), COL(bench,"time"),"&lt;="&amp;V$1)-SUM($R33:U33)</f>
        <v>0</v>
      </c>
      <c r="W33" cm="1">
        <f t="array" ref="W33" xml:space="preserve"> _xlfn.LET(
  _xlpm.idx, _xlfn.XMATCH(1,
      (COL(summary,"model")=$Q33)*(COL(summary,"instance")=INDEX($P:$P, ROW()-$Q33))*(COL(summary,"best")=TRUE)),
  IFERROR(INDEX(COL(summary,"objective"), _xlpm.idx), #N/A)
)</f>
        <v>12</v>
      </c>
      <c r="X33" t="e" cm="1">
        <f t="array" ref="X33" xml:space="preserve"> _xlfn.LET(
  _xlpm.idx, _xlfn.XMATCH(1,
      (COL(summary,"model")=$Q33)*(COL(summary,"instance")=INDEX($P:$P, ROW()-$Q33))*(COL(summary,"best")="TIMEOUT")),
  IFERROR(INDEX(COL(summary,"objective"), _xlpm.idx), #N/A)
)</f>
        <v>#N/A</v>
      </c>
    </row>
    <row r="34" spans="1:24" x14ac:dyDescent="0.25">
      <c r="A34">
        <f ca="1">IF(_34445073613_asp[[#This Row],[instance]]&lt;OFFSET(_34445073613_asp[[#This Row],[instance]],-1,0), OFFSET(_34445073613_asp[[#This Row],[model]],-1,0)+1, OFFSET(_34445073613_asp[[#This Row],[model]],-1,0))</f>
        <v>1</v>
      </c>
      <c r="B34">
        <v>5</v>
      </c>
      <c r="C34" s="5">
        <v>1.2388888888888888E-3</v>
      </c>
      <c r="D34">
        <v>7</v>
      </c>
      <c r="E34">
        <v>5</v>
      </c>
      <c r="F34">
        <v>3</v>
      </c>
      <c r="G34" s="5">
        <v>1.2340277777777777E-3</v>
      </c>
      <c r="H34" s="5">
        <v>1.2734953703703704E-3</v>
      </c>
      <c r="I34" s="5">
        <v>4.8451388888888884E-3</v>
      </c>
      <c r="K34">
        <v>3</v>
      </c>
      <c r="L34">
        <v>11</v>
      </c>
      <c r="M34"/>
      <c r="N34" t="s">
        <v>13</v>
      </c>
      <c r="O34" s="1"/>
      <c r="Q34" s="2">
        <v>2</v>
      </c>
      <c r="R34" cm="1">
        <f t="array" aca="1" ref="R34" ca="1">_xlfn.MAXIFS(COL(bench,"wine"), COL(bench,"model"), $Q34, COL(bench,"instance"), INDEX($P:$P, ROW()-$Q34), COL(bench,"time"),"&lt;="&amp;R$1)</f>
        <v>0</v>
      </c>
      <c r="S34" cm="1">
        <f t="array" aca="1" ref="S34" ca="1">_xlfn.MAXIFS(COL(bench,"wine"), COL(bench,"model"), $Q34, COL(bench,"instance"), INDEX($P:$P, ROW()-$Q34), COL(bench,"time"),"&lt;="&amp;S$1)-SUM($R34:R34)</f>
        <v>0</v>
      </c>
      <c r="T34" cm="1">
        <f t="array" aca="1" ref="T34" ca="1">_xlfn.MAXIFS(COL(bench,"wine"), COL(bench,"model"), $Q34, COL(bench,"instance"), INDEX($P:$P, ROW()-$Q34), COL(bench,"time"),"&lt;="&amp;T$1)-SUM($R34:S34)</f>
        <v>12</v>
      </c>
      <c r="U34" cm="1">
        <f t="array" aca="1" ref="U34" ca="1">_xlfn.MAXIFS(COL(bench,"wine"), COL(bench,"model"), $Q34, COL(bench,"instance"), INDEX($P:$P, ROW()-$Q34), COL(bench,"time"),"&lt;="&amp;U$1)-SUM($R34:T34)</f>
        <v>0</v>
      </c>
      <c r="V34" cm="1">
        <f t="array" aca="1" ref="V34" ca="1">_xlfn.MAXIFS(COL(bench,"wine"), COL(bench,"model"), $Q34, COL(bench,"instance"), INDEX($P:$P, ROW()-$Q34), COL(bench,"time"),"&lt;="&amp;V$1)-SUM($R34:U34)</f>
        <v>0</v>
      </c>
      <c r="W34" cm="1">
        <f t="array" ref="W34" xml:space="preserve"> _xlfn.LET(
  _xlpm.idx, _xlfn.XMATCH(1,
      (COL(summary,"model")=$Q34)*(COL(summary,"instance")=INDEX($P:$P, ROW()-$Q34))*(COL(summary,"best")=TRUE)),
  IFERROR(INDEX(COL(summary,"objective"), _xlpm.idx), #N/A)
)</f>
        <v>12</v>
      </c>
      <c r="X34" t="e" cm="1">
        <f t="array" ref="X34" xml:space="preserve"> _xlfn.LET(
  _xlpm.idx, _xlfn.XMATCH(1,
      (COL(summary,"model")=$Q34)*(COL(summary,"instance")=INDEX($P:$P, ROW()-$Q34))*(COL(summary,"best")="TIMEOUT")),
  IFERROR(INDEX(COL(summary,"objective"), _xlpm.idx), #N/A)
)</f>
        <v>#N/A</v>
      </c>
    </row>
    <row r="35" spans="1:24" x14ac:dyDescent="0.25">
      <c r="A35">
        <f ca="1">IF(_34445073613_asp[[#This Row],[instance]]&lt;OFFSET(_34445073613_asp[[#This Row],[instance]],-1,0), OFFSET(_34445073613_asp[[#This Row],[model]],-1,0)+1, OFFSET(_34445073613_asp[[#This Row],[model]],-1,0))</f>
        <v>1</v>
      </c>
      <c r="B35">
        <v>5</v>
      </c>
      <c r="C35" s="5">
        <v>1.2388888888888888E-3</v>
      </c>
      <c r="D35">
        <v>7</v>
      </c>
      <c r="E35">
        <v>5</v>
      </c>
      <c r="F35">
        <v>2</v>
      </c>
      <c r="G35" s="5">
        <v>1.2340277777777777E-3</v>
      </c>
      <c r="H35" s="5">
        <v>1.2734953703703704E-3</v>
      </c>
      <c r="I35" s="5">
        <v>4.8451388888888884E-3</v>
      </c>
      <c r="K35">
        <v>3</v>
      </c>
      <c r="L35">
        <v>12</v>
      </c>
      <c r="M35"/>
      <c r="N35" t="s">
        <v>13</v>
      </c>
      <c r="O35" s="1"/>
      <c r="Q35" s="2">
        <v>3</v>
      </c>
      <c r="R35" cm="1">
        <f t="array" aca="1" ref="R35" ca="1">_xlfn.MAXIFS(COL(bench,"wine"), COL(bench,"model"), $Q35, COL(bench,"instance"), INDEX($P:$P, ROW()-$Q35), COL(bench,"time"),"&lt;="&amp;R$1)</f>
        <v>0</v>
      </c>
      <c r="S35" cm="1">
        <f t="array" aca="1" ref="S35" ca="1">_xlfn.MAXIFS(COL(bench,"wine"), COL(bench,"model"), $Q35, COL(bench,"instance"), INDEX($P:$P, ROW()-$Q35), COL(bench,"time"),"&lt;="&amp;S$1)-SUM($R35:R35)</f>
        <v>0</v>
      </c>
      <c r="T35" cm="1">
        <f t="array" aca="1" ref="T35" ca="1">_xlfn.MAXIFS(COL(bench,"wine"), COL(bench,"model"), $Q35, COL(bench,"instance"), INDEX($P:$P, ROW()-$Q35), COL(bench,"time"),"&lt;="&amp;T$1)-SUM($R35:S35)</f>
        <v>0</v>
      </c>
      <c r="U35" cm="1">
        <f t="array" aca="1" ref="U35" ca="1">_xlfn.MAXIFS(COL(bench,"wine"), COL(bench,"model"), $Q35, COL(bench,"instance"), INDEX($P:$P, ROW()-$Q35), COL(bench,"time"),"&lt;="&amp;U$1)-SUM($R35:T35)</f>
        <v>0</v>
      </c>
      <c r="V35" cm="1">
        <f t="array" aca="1" ref="V35" ca="1">_xlfn.MAXIFS(COL(bench,"wine"), COL(bench,"model"), $Q35, COL(bench,"instance"), INDEX($P:$P, ROW()-$Q35), COL(bench,"time"),"&lt;="&amp;V$1)-SUM($R35:U35)</f>
        <v>0</v>
      </c>
      <c r="W35" t="e" cm="1">
        <f t="array" ref="W35" xml:space="preserve"> _xlfn.LET(
  _xlpm.idx, _xlfn.XMATCH(1,
      (COL(summary,"model")=$Q35)*(COL(summary,"instance")=INDEX($P:$P, ROW()-$Q35))*(COL(summary,"best")=TRUE)),
  IFERROR(INDEX(COL(summary,"objective"), _xlpm.idx), #N/A)
)</f>
        <v>#N/A</v>
      </c>
      <c r="X35" cm="1">
        <f t="array" ref="X35" xml:space="preserve"> _xlfn.LET(
  _xlpm.idx, _xlfn.XMATCH(1,
      (COL(summary,"model")=$Q35)*(COL(summary,"instance")=INDEX($P:$P, ROW()-$Q35))*(COL(summary,"best")="TIMEOUT")),
  IFERROR(INDEX(COL(summary,"objective"), _xlpm.idx), #N/A)
)</f>
        <v>0</v>
      </c>
    </row>
    <row r="36" spans="1:24" x14ac:dyDescent="0.25">
      <c r="A36">
        <f ca="1">IF(_34445073613_asp[[#This Row],[instance]]&lt;OFFSET(_34445073613_asp[[#This Row],[instance]],-1,0), OFFSET(_34445073613_asp[[#This Row],[model]],-1,0)+1, OFFSET(_34445073613_asp[[#This Row],[model]],-1,0))</f>
        <v>1</v>
      </c>
      <c r="B36">
        <v>5</v>
      </c>
      <c r="C36" s="5">
        <v>1.2390046296296296E-3</v>
      </c>
      <c r="D36">
        <v>7.375</v>
      </c>
      <c r="E36">
        <v>6</v>
      </c>
      <c r="F36">
        <v>4</v>
      </c>
      <c r="G36" s="5">
        <v>1.2340277777777777E-3</v>
      </c>
      <c r="H36" s="5">
        <v>1.2734953703703704E-3</v>
      </c>
      <c r="I36" s="5">
        <v>4.8451388888888884E-3</v>
      </c>
      <c r="K36">
        <v>3</v>
      </c>
      <c r="L36">
        <v>13</v>
      </c>
      <c r="M36"/>
      <c r="N36" t="s">
        <v>13</v>
      </c>
      <c r="O36" s="1"/>
    </row>
    <row r="37" spans="1:24" x14ac:dyDescent="0.25">
      <c r="A37">
        <f ca="1">IF(_34445073613_asp[[#This Row],[instance]]&lt;OFFSET(_34445073613_asp[[#This Row],[instance]],-1,0), OFFSET(_34445073613_asp[[#This Row],[model]],-1,0)+1, OFFSET(_34445073613_asp[[#This Row],[model]],-1,0))</f>
        <v>1</v>
      </c>
      <c r="B37">
        <v>5</v>
      </c>
      <c r="C37" s="5">
        <v>1.2391203703703702E-3</v>
      </c>
      <c r="D37">
        <v>7.375</v>
      </c>
      <c r="E37">
        <v>6</v>
      </c>
      <c r="F37">
        <v>3</v>
      </c>
      <c r="G37" s="5">
        <v>1.2340277777777777E-3</v>
      </c>
      <c r="H37" s="5">
        <v>1.2734953703703704E-3</v>
      </c>
      <c r="I37" s="5">
        <v>4.8451388888888884E-3</v>
      </c>
      <c r="K37">
        <v>3</v>
      </c>
      <c r="L37">
        <v>14</v>
      </c>
      <c r="M37"/>
      <c r="N37" t="s">
        <v>13</v>
      </c>
      <c r="O37" s="1"/>
      <c r="P37">
        <v>8</v>
      </c>
    </row>
    <row r="38" spans="1:24" x14ac:dyDescent="0.25">
      <c r="A38">
        <f ca="1">IF(_34445073613_asp[[#This Row],[instance]]&lt;OFFSET(_34445073613_asp[[#This Row],[instance]],-1,0), OFFSET(_34445073613_asp[[#This Row],[model]],-1,0)+1, OFFSET(_34445073613_asp[[#This Row],[model]],-1,0))</f>
        <v>1</v>
      </c>
      <c r="B38">
        <v>5</v>
      </c>
      <c r="C38" s="5">
        <v>1.2391203703703702E-3</v>
      </c>
      <c r="D38">
        <v>7.375</v>
      </c>
      <c r="E38">
        <v>6</v>
      </c>
      <c r="F38">
        <v>2</v>
      </c>
      <c r="G38" s="5">
        <v>1.2340277777777777E-3</v>
      </c>
      <c r="H38" s="5">
        <v>1.2734953703703704E-3</v>
      </c>
      <c r="I38" s="5">
        <v>4.8451388888888884E-3</v>
      </c>
      <c r="K38">
        <v>3</v>
      </c>
      <c r="L38">
        <v>15</v>
      </c>
      <c r="M38"/>
      <c r="N38" t="s">
        <v>13</v>
      </c>
      <c r="O38" s="1"/>
      <c r="Q38" s="2">
        <v>1</v>
      </c>
      <c r="R38" cm="1">
        <f t="array" aca="1" ref="R38" ca="1">_xlfn.MAXIFS(COL(bench,"wine"), COL(bench,"model"), $Q38, COL(bench,"instance"), INDEX($P:$P, ROW()-$Q38), COL(bench,"time"),"&lt;="&amp;R$1)</f>
        <v>0</v>
      </c>
      <c r="S38" cm="1">
        <f t="array" aca="1" ref="S38" ca="1">_xlfn.MAXIFS(COL(bench,"wine"), COL(bench,"model"), $Q38, COL(bench,"instance"), INDEX($P:$P, ROW()-$Q38), COL(bench,"time"),"&lt;="&amp;S$1)-SUM($R38:R38)</f>
        <v>0</v>
      </c>
      <c r="T38" cm="1">
        <f t="array" aca="1" ref="T38" ca="1">_xlfn.MAXIFS(COL(bench,"wine"), COL(bench,"model"), $Q38, COL(bench,"instance"), INDEX($P:$P, ROW()-$Q38), COL(bench,"time"),"&lt;="&amp;T$1)-SUM($R38:S38)</f>
        <v>0</v>
      </c>
      <c r="U38" cm="1">
        <f t="array" aca="1" ref="U38" ca="1">_xlfn.MAXIFS(COL(bench,"wine"), COL(bench,"model"), $Q38, COL(bench,"instance"), INDEX($P:$P, ROW()-$Q38), COL(bench,"time"),"&lt;="&amp;U$1)-SUM($R38:T38)</f>
        <v>0</v>
      </c>
      <c r="V38" cm="1">
        <f t="array" aca="1" ref="V38" ca="1">_xlfn.MAXIFS(COL(bench,"wine"), COL(bench,"model"), $Q38, COL(bench,"instance"), INDEX($P:$P, ROW()-$Q38), COL(bench,"time"),"&lt;="&amp;V$1)-SUM($R38:U38)</f>
        <v>0</v>
      </c>
      <c r="W38" t="e" cm="1">
        <f t="array" ref="W38" xml:space="preserve"> _xlfn.LET(
  _xlpm.idx, _xlfn.XMATCH(1,
      (COL(summary,"model")=$Q38)*(COL(summary,"instance")=INDEX($P:$P, ROW()-$Q38))*(COL(summary,"best")=TRUE)),
  IFERROR(INDEX(COL(summary,"objective"), _xlpm.idx), #N/A)
)</f>
        <v>#N/A</v>
      </c>
      <c r="X38" cm="1">
        <f t="array" ref="X38" xml:space="preserve"> _xlfn.LET(
  _xlpm.idx, _xlfn.XMATCH(1,
      (COL(summary,"model")=$Q38)*(COL(summary,"instance")=INDEX($P:$P, ROW()-$Q38))*(COL(summary,"best")="TIMEOUT")),
  IFERROR(INDEX(COL(summary,"objective"), _xlpm.idx), #N/A)
)</f>
        <v>0</v>
      </c>
    </row>
    <row r="39" spans="1:24" x14ac:dyDescent="0.25">
      <c r="A39">
        <f ca="1">IF(_34445073613_asp[[#This Row],[instance]]&lt;OFFSET(_34445073613_asp[[#This Row],[instance]],-1,0), OFFSET(_34445073613_asp[[#This Row],[model]],-1,0)+1, OFFSET(_34445073613_asp[[#This Row],[model]],-1,0))</f>
        <v>1</v>
      </c>
      <c r="B39">
        <v>5</v>
      </c>
      <c r="C39" s="5">
        <v>1.2391203703703702E-3</v>
      </c>
      <c r="D39">
        <v>7.75</v>
      </c>
      <c r="E39">
        <v>7</v>
      </c>
      <c r="F39">
        <v>5</v>
      </c>
      <c r="G39" s="5">
        <v>1.2340277777777777E-3</v>
      </c>
      <c r="H39" s="5">
        <v>1.2734953703703704E-3</v>
      </c>
      <c r="I39" s="5">
        <v>4.8451388888888884E-3</v>
      </c>
      <c r="K39"/>
      <c r="L39"/>
      <c r="M39"/>
      <c r="N39"/>
      <c r="O39" s="1"/>
      <c r="Q39" s="2">
        <v>2</v>
      </c>
      <c r="R39" cm="1">
        <f t="array" aca="1" ref="R39" ca="1">_xlfn.MAXIFS(COL(bench,"wine"), COL(bench,"model"), $Q39, COL(bench,"instance"), INDEX($P:$P, ROW()-$Q39), COL(bench,"time"),"&lt;="&amp;R$1)</f>
        <v>0</v>
      </c>
      <c r="S39" cm="1">
        <f t="array" aca="1" ref="S39" ca="1">_xlfn.MAXIFS(COL(bench,"wine"), COL(bench,"model"), $Q39, COL(bench,"instance"), INDEX($P:$P, ROW()-$Q39), COL(bench,"time"),"&lt;="&amp;S$1)-SUM($R39:R39)</f>
        <v>0</v>
      </c>
      <c r="T39" cm="1">
        <f t="array" aca="1" ref="T39" ca="1">_xlfn.MAXIFS(COL(bench,"wine"), COL(bench,"model"), $Q39, COL(bench,"instance"), INDEX($P:$P, ROW()-$Q39), COL(bench,"time"),"&lt;="&amp;T$1)-SUM($R39:S39)</f>
        <v>0</v>
      </c>
      <c r="U39" cm="1">
        <f t="array" aca="1" ref="U39" ca="1">_xlfn.MAXIFS(COL(bench,"wine"), COL(bench,"model"), $Q39, COL(bench,"instance"), INDEX($P:$P, ROW()-$Q39), COL(bench,"time"),"&lt;="&amp;U$1)-SUM($R39:T39)</f>
        <v>0</v>
      </c>
      <c r="V39" cm="1">
        <f t="array" aca="1" ref="V39" ca="1">_xlfn.MAXIFS(COL(bench,"wine"), COL(bench,"model"), $Q39, COL(bench,"instance"), INDEX($P:$P, ROW()-$Q39), COL(bench,"time"),"&lt;="&amp;V$1)-SUM($R39:U39)</f>
        <v>0</v>
      </c>
      <c r="W39" t="e" cm="1">
        <f t="array" ref="W39" xml:space="preserve"> _xlfn.LET(
  _xlpm.idx, _xlfn.XMATCH(1,
      (COL(summary,"model")=$Q39)*(COL(summary,"instance")=INDEX($P:$P, ROW()-$Q39))*(COL(summary,"best")=TRUE)),
  IFERROR(INDEX(COL(summary,"objective"), _xlpm.idx), #N/A)
)</f>
        <v>#N/A</v>
      </c>
      <c r="X39" cm="1">
        <f t="array" ref="X39" xml:space="preserve"> _xlfn.LET(
  _xlpm.idx, _xlfn.XMATCH(1,
      (COL(summary,"model")=$Q39)*(COL(summary,"instance")=INDEX($P:$P, ROW()-$Q39))*(COL(summary,"best")="TIMEOUT")),
  IFERROR(INDEX(COL(summary,"objective"), _xlpm.idx), #N/A)
)</f>
        <v>0</v>
      </c>
    </row>
    <row r="40" spans="1:24" x14ac:dyDescent="0.25">
      <c r="A40">
        <f ca="1">IF(_34445073613_asp[[#This Row],[instance]]&lt;OFFSET(_34445073613_asp[[#This Row],[instance]],-1,0), OFFSET(_34445073613_asp[[#This Row],[model]],-1,0)+1, OFFSET(_34445073613_asp[[#This Row],[model]],-1,0))</f>
        <v>1</v>
      </c>
      <c r="B40">
        <v>5</v>
      </c>
      <c r="C40" s="5">
        <v>1.2392361111111111E-3</v>
      </c>
      <c r="D40">
        <v>7.75</v>
      </c>
      <c r="E40">
        <v>7</v>
      </c>
      <c r="F40">
        <v>3</v>
      </c>
      <c r="G40" s="5">
        <v>1.2340277777777777E-3</v>
      </c>
      <c r="H40" s="5">
        <v>1.2734953703703704E-3</v>
      </c>
      <c r="I40" s="5">
        <v>4.8451388888888884E-3</v>
      </c>
      <c r="K40"/>
      <c r="L40"/>
      <c r="M40"/>
      <c r="N40"/>
      <c r="O40" s="1"/>
      <c r="Q40" s="2">
        <v>3</v>
      </c>
      <c r="R40" cm="1">
        <f t="array" aca="1" ref="R40" ca="1">_xlfn.MAXIFS(COL(bench,"wine"), COL(bench,"model"), $Q40, COL(bench,"instance"), INDEX($P:$P, ROW()-$Q40), COL(bench,"time"),"&lt;="&amp;R$1)</f>
        <v>0</v>
      </c>
      <c r="S40" cm="1">
        <f t="array" aca="1" ref="S40" ca="1">_xlfn.MAXIFS(COL(bench,"wine"), COL(bench,"model"), $Q40, COL(bench,"instance"), INDEX($P:$P, ROW()-$Q40), COL(bench,"time"),"&lt;="&amp;S$1)-SUM($R40:R40)</f>
        <v>0</v>
      </c>
      <c r="T40" cm="1">
        <f t="array" aca="1" ref="T40" ca="1">_xlfn.MAXIFS(COL(bench,"wine"), COL(bench,"model"), $Q40, COL(bench,"instance"), INDEX($P:$P, ROW()-$Q40), COL(bench,"time"),"&lt;="&amp;T$1)-SUM($R40:S40)</f>
        <v>0</v>
      </c>
      <c r="U40" cm="1">
        <f t="array" aca="1" ref="U40" ca="1">_xlfn.MAXIFS(COL(bench,"wine"), COL(bench,"model"), $Q40, COL(bench,"instance"), INDEX($P:$P, ROW()-$Q40), COL(bench,"time"),"&lt;="&amp;U$1)-SUM($R40:T40)</f>
        <v>0</v>
      </c>
      <c r="V40" cm="1">
        <f t="array" aca="1" ref="V40" ca="1">_xlfn.MAXIFS(COL(bench,"wine"), COL(bench,"model"), $Q40, COL(bench,"instance"), INDEX($P:$P, ROW()-$Q40), COL(bench,"time"),"&lt;="&amp;V$1)-SUM($R40:U40)</f>
        <v>0</v>
      </c>
      <c r="W40" t="e" cm="1">
        <f t="array" ref="W40" xml:space="preserve"> _xlfn.LET(
  _xlpm.idx, _xlfn.XMATCH(1,
      (COL(summary,"model")=$Q40)*(COL(summary,"instance")=INDEX($P:$P, ROW()-$Q40))*(COL(summary,"best")=TRUE)),
  IFERROR(INDEX(COL(summary,"objective"), _xlpm.idx), #N/A)
)</f>
        <v>#N/A</v>
      </c>
      <c r="X40" cm="1">
        <f t="array" ref="X40" xml:space="preserve"> _xlfn.LET(
  _xlpm.idx, _xlfn.XMATCH(1,
      (COL(summary,"model")=$Q40)*(COL(summary,"instance")=INDEX($P:$P, ROW()-$Q40))*(COL(summary,"best")="TIMEOUT")),
  IFERROR(INDEX(COL(summary,"objective"), _xlpm.idx), #N/A)
)</f>
        <v>0</v>
      </c>
    </row>
    <row r="41" spans="1:24" x14ac:dyDescent="0.25">
      <c r="A41">
        <f ca="1">IF(_34445073613_asp[[#This Row],[instance]]&lt;OFFSET(_34445073613_asp[[#This Row],[instance]],-1,0), OFFSET(_34445073613_asp[[#This Row],[model]],-1,0)+1, OFFSET(_34445073613_asp[[#This Row],[model]],-1,0))</f>
        <v>1</v>
      </c>
      <c r="B41">
        <v>5</v>
      </c>
      <c r="C41" s="5">
        <v>1.2392361111111111E-3</v>
      </c>
      <c r="D41">
        <v>7.75</v>
      </c>
      <c r="E41">
        <v>7</v>
      </c>
      <c r="F41">
        <v>2</v>
      </c>
      <c r="G41" s="5">
        <v>1.2340277777777777E-3</v>
      </c>
      <c r="H41" s="5">
        <v>1.2734953703703704E-3</v>
      </c>
      <c r="I41" s="5">
        <v>4.8451388888888884E-3</v>
      </c>
      <c r="K41"/>
      <c r="L41"/>
      <c r="M41"/>
      <c r="N41"/>
      <c r="O41" s="1"/>
    </row>
    <row r="42" spans="1:24" x14ac:dyDescent="0.25">
      <c r="A42">
        <f ca="1">IF(_34445073613_asp[[#This Row],[instance]]&lt;OFFSET(_34445073613_asp[[#This Row],[instance]],-1,0), OFFSET(_34445073613_asp[[#This Row],[model]],-1,0)+1, OFFSET(_34445073613_asp[[#This Row],[model]],-1,0))</f>
        <v>1</v>
      </c>
      <c r="B42">
        <v>6</v>
      </c>
      <c r="C42" s="5">
        <v>2.1123842592592592E-3</v>
      </c>
      <c r="D42">
        <v>0</v>
      </c>
      <c r="E42">
        <v>0</v>
      </c>
      <c r="F42">
        <v>0</v>
      </c>
      <c r="H42" s="5">
        <v>6.9444444444444441E-3</v>
      </c>
      <c r="I42" s="5">
        <v>4.8451388888888884E-3</v>
      </c>
      <c r="K42"/>
      <c r="L42"/>
      <c r="M42"/>
      <c r="N42"/>
      <c r="O42" s="1"/>
      <c r="P42">
        <v>9</v>
      </c>
    </row>
    <row r="43" spans="1:24" x14ac:dyDescent="0.25">
      <c r="A43">
        <f ca="1">IF(_34445073613_asp[[#This Row],[instance]]&lt;OFFSET(_34445073613_asp[[#This Row],[instance]],-1,0), OFFSET(_34445073613_asp[[#This Row],[model]],-1,0)+1, OFFSET(_34445073613_asp[[#This Row],[model]],-1,0))</f>
        <v>1</v>
      </c>
      <c r="B43">
        <v>6</v>
      </c>
      <c r="C43" s="5">
        <v>2.1123842592592592E-3</v>
      </c>
      <c r="D43">
        <v>1.5</v>
      </c>
      <c r="E43">
        <v>1</v>
      </c>
      <c r="F43">
        <v>1</v>
      </c>
      <c r="H43" s="5">
        <v>6.9444444444444441E-3</v>
      </c>
      <c r="I43" s="5">
        <v>4.8451388888888884E-3</v>
      </c>
      <c r="K43"/>
      <c r="L43"/>
      <c r="M43"/>
      <c r="N43"/>
      <c r="O43" s="1"/>
      <c r="Q43" s="2">
        <v>1</v>
      </c>
      <c r="R43" cm="1">
        <f t="array" aca="1" ref="R43" ca="1">_xlfn.MAXIFS(COL(bench,"wine"), COL(bench,"model"), $Q43, COL(bench,"instance"), INDEX($P:$P, ROW()-$Q43), COL(bench,"time"),"&lt;="&amp;R$1)</f>
        <v>0</v>
      </c>
      <c r="S43" cm="1">
        <f t="array" aca="1" ref="S43" ca="1">_xlfn.MAXIFS(COL(bench,"wine"), COL(bench,"model"), $Q43, COL(bench,"instance"), INDEX($P:$P, ROW()-$Q43), COL(bench,"time"),"&lt;="&amp;S$1)-SUM($R43:R43)</f>
        <v>0</v>
      </c>
      <c r="T43" cm="1">
        <f t="array" aca="1" ref="T43" ca="1">_xlfn.MAXIFS(COL(bench,"wine"), COL(bench,"model"), $Q43, COL(bench,"instance"), INDEX($P:$P, ROW()-$Q43), COL(bench,"time"),"&lt;="&amp;T$1)-SUM($R43:S43)</f>
        <v>0</v>
      </c>
      <c r="U43" cm="1">
        <f t="array" aca="1" ref="U43" ca="1">_xlfn.MAXIFS(COL(bench,"wine"), COL(bench,"model"), $Q43, COL(bench,"instance"), INDEX($P:$P, ROW()-$Q43), COL(bench,"time"),"&lt;="&amp;U$1)-SUM($R43:T43)</f>
        <v>0</v>
      </c>
      <c r="V43" cm="1">
        <f t="array" aca="1" ref="V43" ca="1">_xlfn.MAXIFS(COL(bench,"wine"), COL(bench,"model"), $Q43, COL(bench,"instance"), INDEX($P:$P, ROW()-$Q43), COL(bench,"time"),"&lt;="&amp;V$1)-SUM($R43:U43)</f>
        <v>0</v>
      </c>
      <c r="W43" cm="1">
        <f t="array" ref="W43" xml:space="preserve"> _xlfn.LET(
  _xlpm.idx, _xlfn.XMATCH(1,
      (COL(summary,"model")=$Q43)*(COL(summary,"instance")=INDEX($P:$P, ROW()-$Q43))*(COL(summary,"best")=TRUE)),
  IFERROR(INDEX(COL(summary,"objective"), _xlpm.idx), #N/A)
)</f>
        <v>0</v>
      </c>
      <c r="X43" t="e" cm="1">
        <f t="array" ref="X43" xml:space="preserve"> _xlfn.LET(
  _xlpm.idx, _xlfn.XMATCH(1,
      (COL(summary,"model")=$Q43)*(COL(summary,"instance")=INDEX($P:$P, ROW()-$Q43))*(COL(summary,"best")="TIMEOUT")),
  IFERROR(INDEX(COL(summary,"objective"), _xlpm.idx), #N/A)
)</f>
        <v>#N/A</v>
      </c>
    </row>
    <row r="44" spans="1:24" x14ac:dyDescent="0.25">
      <c r="A44">
        <f ca="1">IF(_34445073613_asp[[#This Row],[instance]]&lt;OFFSET(_34445073613_asp[[#This Row],[instance]],-1,0), OFFSET(_34445073613_asp[[#This Row],[model]],-1,0)+1, OFFSET(_34445073613_asp[[#This Row],[model]],-1,0))</f>
        <v>1</v>
      </c>
      <c r="B44">
        <v>6</v>
      </c>
      <c r="C44" s="5">
        <v>2.1123842592592592E-3</v>
      </c>
      <c r="D44">
        <v>3</v>
      </c>
      <c r="E44">
        <v>2</v>
      </c>
      <c r="F44">
        <v>1</v>
      </c>
      <c r="H44" s="5">
        <v>6.9444444444444441E-3</v>
      </c>
      <c r="I44" s="5">
        <v>4.8451388888888884E-3</v>
      </c>
      <c r="K44"/>
      <c r="L44"/>
      <c r="M44"/>
      <c r="N44"/>
      <c r="O44" s="1"/>
      <c r="Q44" s="2">
        <v>2</v>
      </c>
      <c r="R44" cm="1">
        <f t="array" aca="1" ref="R44" ca="1">_xlfn.MAXIFS(COL(bench,"wine"), COL(bench,"model"), $Q44, COL(bench,"instance"), INDEX($P:$P, ROW()-$Q44), COL(bench,"time"),"&lt;="&amp;R$1)</f>
        <v>0</v>
      </c>
      <c r="S44" cm="1">
        <f t="array" aca="1" ref="S44" ca="1">_xlfn.MAXIFS(COL(bench,"wine"), COL(bench,"model"), $Q44, COL(bench,"instance"), INDEX($P:$P, ROW()-$Q44), COL(bench,"time"),"&lt;="&amp;S$1)-SUM($R44:R44)</f>
        <v>0</v>
      </c>
      <c r="T44" cm="1">
        <f t="array" aca="1" ref="T44" ca="1">_xlfn.MAXIFS(COL(bench,"wine"), COL(bench,"model"), $Q44, COL(bench,"instance"), INDEX($P:$P, ROW()-$Q44), COL(bench,"time"),"&lt;="&amp;T$1)-SUM($R44:S44)</f>
        <v>0</v>
      </c>
      <c r="U44" cm="1">
        <f t="array" aca="1" ref="U44" ca="1">_xlfn.MAXIFS(COL(bench,"wine"), COL(bench,"model"), $Q44, COL(bench,"instance"), INDEX($P:$P, ROW()-$Q44), COL(bench,"time"),"&lt;="&amp;U$1)-SUM($R44:T44)</f>
        <v>0</v>
      </c>
      <c r="V44" cm="1">
        <f t="array" aca="1" ref="V44" ca="1">_xlfn.MAXIFS(COL(bench,"wine"), COL(bench,"model"), $Q44, COL(bench,"instance"), INDEX($P:$P, ROW()-$Q44), COL(bench,"time"),"&lt;="&amp;V$1)-SUM($R44:U44)</f>
        <v>0</v>
      </c>
      <c r="W44" cm="1">
        <f t="array" ref="W44" xml:space="preserve"> _xlfn.LET(
  _xlpm.idx, _xlfn.XMATCH(1,
      (COL(summary,"model")=$Q44)*(COL(summary,"instance")=INDEX($P:$P, ROW()-$Q44))*(COL(summary,"best")=TRUE)),
  IFERROR(INDEX(COL(summary,"objective"), _xlpm.idx), #N/A)
)</f>
        <v>0</v>
      </c>
      <c r="X44" t="e" cm="1">
        <f t="array" ref="X44" xml:space="preserve"> _xlfn.LET(
  _xlpm.idx, _xlfn.XMATCH(1,
      (COL(summary,"model")=$Q44)*(COL(summary,"instance")=INDEX($P:$P, ROW()-$Q44))*(COL(summary,"best")="TIMEOUT")),
  IFERROR(INDEX(COL(summary,"objective"), _xlpm.idx), #N/A)
)</f>
        <v>#N/A</v>
      </c>
    </row>
    <row r="45" spans="1:24" x14ac:dyDescent="0.25">
      <c r="A45">
        <f ca="1">IF(_34445073613_asp[[#This Row],[instance]]&lt;OFFSET(_34445073613_asp[[#This Row],[instance]],-1,0), OFFSET(_34445073613_asp[[#This Row],[model]],-1,0)+1, OFFSET(_34445073613_asp[[#This Row],[model]],-1,0))</f>
        <v>1</v>
      </c>
      <c r="B45">
        <v>6</v>
      </c>
      <c r="C45" s="5">
        <v>2.1123842592592592E-3</v>
      </c>
      <c r="D45">
        <v>3.75</v>
      </c>
      <c r="E45">
        <v>3</v>
      </c>
      <c r="F45">
        <v>1</v>
      </c>
      <c r="H45" s="5">
        <v>6.9444444444444441E-3</v>
      </c>
      <c r="I45" s="5">
        <v>4.8451388888888884E-3</v>
      </c>
      <c r="K45"/>
      <c r="L45"/>
      <c r="M45"/>
      <c r="N45"/>
      <c r="O45" s="1"/>
      <c r="Q45" s="2">
        <v>3</v>
      </c>
      <c r="R45" cm="1">
        <f t="array" aca="1" ref="R45" ca="1">_xlfn.MAXIFS(COL(bench,"wine"), COL(bench,"model"), $Q45, COL(bench,"instance"), INDEX($P:$P, ROW()-$Q45), COL(bench,"time"),"&lt;="&amp;R$1)</f>
        <v>0</v>
      </c>
      <c r="S45" cm="1">
        <f t="array" aca="1" ref="S45" ca="1">_xlfn.MAXIFS(COL(bench,"wine"), COL(bench,"model"), $Q45, COL(bench,"instance"), INDEX($P:$P, ROW()-$Q45), COL(bench,"time"),"&lt;="&amp;S$1)-SUM($R45:R45)</f>
        <v>0</v>
      </c>
      <c r="T45" cm="1">
        <f t="array" aca="1" ref="T45" ca="1">_xlfn.MAXIFS(COL(bench,"wine"), COL(bench,"model"), $Q45, COL(bench,"instance"), INDEX($P:$P, ROW()-$Q45), COL(bench,"time"),"&lt;="&amp;T$1)-SUM($R45:S45)</f>
        <v>0</v>
      </c>
      <c r="U45" cm="1">
        <f t="array" aca="1" ref="U45" ca="1">_xlfn.MAXIFS(COL(bench,"wine"), COL(bench,"model"), $Q45, COL(bench,"instance"), INDEX($P:$P, ROW()-$Q45), COL(bench,"time"),"&lt;="&amp;U$1)-SUM($R45:T45)</f>
        <v>0</v>
      </c>
      <c r="V45" cm="1">
        <f t="array" aca="1" ref="V45" ca="1">_xlfn.MAXIFS(COL(bench,"wine"), COL(bench,"model"), $Q45, COL(bench,"instance"), INDEX($P:$P, ROW()-$Q45), COL(bench,"time"),"&lt;="&amp;V$1)-SUM($R45:U45)</f>
        <v>0</v>
      </c>
      <c r="W45" t="e" cm="1">
        <f t="array" ref="W45" xml:space="preserve"> _xlfn.LET(
  _xlpm.idx, _xlfn.XMATCH(1,
      (COL(summary,"model")=$Q45)*(COL(summary,"instance")=INDEX($P:$P, ROW()-$Q45))*(COL(summary,"best")=TRUE)),
  IFERROR(INDEX(COL(summary,"objective"), _xlpm.idx), #N/A)
)</f>
        <v>#N/A</v>
      </c>
      <c r="X45" cm="1">
        <f t="array" ref="X45" xml:space="preserve"> _xlfn.LET(
  _xlpm.idx, _xlfn.XMATCH(1,
      (COL(summary,"model")=$Q45)*(COL(summary,"instance")=INDEX($P:$P, ROW()-$Q45))*(COL(summary,"best")="TIMEOUT")),
  IFERROR(INDEX(COL(summary,"objective"), _xlpm.idx), #N/A)
)</f>
        <v>0</v>
      </c>
    </row>
    <row r="46" spans="1:24" x14ac:dyDescent="0.25">
      <c r="A46">
        <f ca="1">IF(_34445073613_asp[[#This Row],[instance]]&lt;OFFSET(_34445073613_asp[[#This Row],[instance]],-1,0), OFFSET(_34445073613_asp[[#This Row],[model]],-1,0)+1, OFFSET(_34445073613_asp[[#This Row],[model]],-1,0))</f>
        <v>1</v>
      </c>
      <c r="B46">
        <v>6</v>
      </c>
      <c r="C46" s="5">
        <v>2.1123842592592592E-3</v>
      </c>
      <c r="D46">
        <v>6.75</v>
      </c>
      <c r="E46">
        <v>4</v>
      </c>
      <c r="F46">
        <v>2</v>
      </c>
      <c r="H46" s="5">
        <v>6.9444444444444441E-3</v>
      </c>
      <c r="I46" s="5">
        <v>4.8451388888888884E-3</v>
      </c>
      <c r="K46"/>
      <c r="L46"/>
      <c r="M46"/>
      <c r="N46"/>
      <c r="O46" s="1"/>
    </row>
    <row r="47" spans="1:24" x14ac:dyDescent="0.25">
      <c r="A47">
        <f ca="1">IF(_34445073613_asp[[#This Row],[instance]]&lt;OFFSET(_34445073613_asp[[#This Row],[instance]],-1,0), OFFSET(_34445073613_asp[[#This Row],[model]],-1,0)+1, OFFSET(_34445073613_asp[[#This Row],[model]],-1,0))</f>
        <v>1</v>
      </c>
      <c r="B47">
        <v>6</v>
      </c>
      <c r="C47" s="5">
        <v>2.1123842592592592E-3</v>
      </c>
      <c r="D47">
        <v>9.75</v>
      </c>
      <c r="E47">
        <v>5</v>
      </c>
      <c r="F47">
        <v>3</v>
      </c>
      <c r="H47" s="5">
        <v>6.9444444444444441E-3</v>
      </c>
      <c r="I47" s="5">
        <v>4.8451388888888884E-3</v>
      </c>
      <c r="K47"/>
      <c r="L47"/>
      <c r="M47"/>
      <c r="N47"/>
      <c r="O47" s="1"/>
      <c r="P47">
        <v>10</v>
      </c>
    </row>
    <row r="48" spans="1:24" x14ac:dyDescent="0.25">
      <c r="A48">
        <f ca="1">IF(_34445073613_asp[[#This Row],[instance]]&lt;OFFSET(_34445073613_asp[[#This Row],[instance]],-1,0), OFFSET(_34445073613_asp[[#This Row],[model]],-1,0)+1, OFFSET(_34445073613_asp[[#This Row],[model]],-1,0))</f>
        <v>1</v>
      </c>
      <c r="B48">
        <v>6</v>
      </c>
      <c r="C48" s="5">
        <v>2.1123842592592592E-3</v>
      </c>
      <c r="D48">
        <v>12.75</v>
      </c>
      <c r="E48">
        <v>6</v>
      </c>
      <c r="F48">
        <v>4</v>
      </c>
      <c r="H48" s="5">
        <v>6.9444444444444441E-3</v>
      </c>
      <c r="I48" s="5">
        <v>4.8451388888888884E-3</v>
      </c>
      <c r="K48"/>
      <c r="L48"/>
      <c r="M48"/>
      <c r="N48"/>
      <c r="O48" s="1"/>
      <c r="Q48" s="2">
        <v>1</v>
      </c>
      <c r="R48" cm="1">
        <f t="array" aca="1" ref="R48" ca="1">_xlfn.MAXIFS(COL(bench,"wine"), COL(bench,"model"), $Q48, COL(bench,"instance"), INDEX($P:$P, ROW()-$Q48), COL(bench,"time"),"&lt;="&amp;R$1)</f>
        <v>0</v>
      </c>
      <c r="S48" cm="1">
        <f t="array" aca="1" ref="S48" ca="1">_xlfn.MAXIFS(COL(bench,"wine"), COL(bench,"model"), $Q48, COL(bench,"instance"), INDEX($P:$P, ROW()-$Q48), COL(bench,"time"),"&lt;="&amp;S$1)-SUM($R48:R48)</f>
        <v>0</v>
      </c>
      <c r="T48" cm="1">
        <f t="array" aca="1" ref="T48" ca="1">_xlfn.MAXIFS(COL(bench,"wine"), COL(bench,"model"), $Q48, COL(bench,"instance"), INDEX($P:$P, ROW()-$Q48), COL(bench,"time"),"&lt;="&amp;T$1)-SUM($R48:S48)</f>
        <v>0</v>
      </c>
      <c r="U48" cm="1">
        <f t="array" aca="1" ref="U48" ca="1">_xlfn.MAXIFS(COL(bench,"wine"), COL(bench,"model"), $Q48, COL(bench,"instance"), INDEX($P:$P, ROW()-$Q48), COL(bench,"time"),"&lt;="&amp;U$1)-SUM($R48:T48)</f>
        <v>5</v>
      </c>
      <c r="V48" cm="1">
        <f t="array" aca="1" ref="V48" ca="1">_xlfn.MAXIFS(COL(bench,"wine"), COL(bench,"model"), $Q48, COL(bench,"instance"), INDEX($P:$P, ROW()-$Q48), COL(bench,"time"),"&lt;="&amp;V$1)-SUM($R48:U48)</f>
        <v>0</v>
      </c>
      <c r="W48" cm="1">
        <f t="array" ref="W48" xml:space="preserve"> _xlfn.LET(
  _xlpm.idx, _xlfn.XMATCH(1,
      (COL(summary,"model")=$Q48)*(COL(summary,"instance")=INDEX($P:$P, ROW()-$Q48))*(COL(summary,"best")=TRUE)),
  IFERROR(INDEX(COL(summary,"objective"), _xlpm.idx), #N/A)
)</f>
        <v>5</v>
      </c>
      <c r="X48" t="e" cm="1">
        <f t="array" ref="X48" xml:space="preserve"> _xlfn.LET(
  _xlpm.idx, _xlfn.XMATCH(1,
      (COL(summary,"model")=$Q48)*(COL(summary,"instance")=INDEX($P:$P, ROW()-$Q48))*(COL(summary,"best")="TIMEOUT")),
  IFERROR(INDEX(COL(summary,"objective"), _xlpm.idx), #N/A)
)</f>
        <v>#N/A</v>
      </c>
    </row>
    <row r="49" spans="1:29" x14ac:dyDescent="0.25">
      <c r="A49">
        <f ca="1">IF(_34445073613_asp[[#This Row],[instance]]&lt;OFFSET(_34445073613_asp[[#This Row],[instance]],-1,0), OFFSET(_34445073613_asp[[#This Row],[model]],-1,0)+1, OFFSET(_34445073613_asp[[#This Row],[model]],-1,0))</f>
        <v>1</v>
      </c>
      <c r="B49">
        <v>6</v>
      </c>
      <c r="C49" s="5">
        <v>2.1124999999999998E-3</v>
      </c>
      <c r="D49">
        <v>17.625</v>
      </c>
      <c r="E49">
        <v>12</v>
      </c>
      <c r="F49">
        <v>7</v>
      </c>
      <c r="H49" s="5">
        <v>6.9444444444444441E-3</v>
      </c>
      <c r="I49" s="5">
        <v>4.8451388888888884E-3</v>
      </c>
      <c r="K49"/>
      <c r="L49"/>
      <c r="M49"/>
      <c r="N49"/>
      <c r="O49" s="1"/>
      <c r="Q49" s="2">
        <v>2</v>
      </c>
      <c r="R49" cm="1">
        <f t="array" aca="1" ref="R49" ca="1">_xlfn.MAXIFS(COL(bench,"wine"), COL(bench,"model"), $Q49, COL(bench,"instance"), INDEX($P:$P, ROW()-$Q49), COL(bench,"time"),"&lt;="&amp;R$1)</f>
        <v>0</v>
      </c>
      <c r="S49" cm="1">
        <f t="array" aca="1" ref="S49" ca="1">_xlfn.MAXIFS(COL(bench,"wine"), COL(bench,"model"), $Q49, COL(bench,"instance"), INDEX($P:$P, ROW()-$Q49), COL(bench,"time"),"&lt;="&amp;S$1)-SUM($R49:R49)</f>
        <v>0</v>
      </c>
      <c r="T49" cm="1">
        <f t="array" aca="1" ref="T49" ca="1">_xlfn.MAXIFS(COL(bench,"wine"), COL(bench,"model"), $Q49, COL(bench,"instance"), INDEX($P:$P, ROW()-$Q49), COL(bench,"time"),"&lt;="&amp;T$1)-SUM($R49:S49)</f>
        <v>0</v>
      </c>
      <c r="U49" cm="1">
        <f t="array" aca="1" ref="U49" ca="1">_xlfn.MAXIFS(COL(bench,"wine"), COL(bench,"model"), $Q49, COL(bench,"instance"), INDEX($P:$P, ROW()-$Q49), COL(bench,"time"),"&lt;="&amp;U$1)-SUM($R49:T49)</f>
        <v>5</v>
      </c>
      <c r="V49" cm="1">
        <f t="array" aca="1" ref="V49" ca="1">_xlfn.MAXIFS(COL(bench,"wine"), COL(bench,"model"), $Q49, COL(bench,"instance"), INDEX($P:$P, ROW()-$Q49), COL(bench,"time"),"&lt;="&amp;V$1)-SUM($R49:U49)</f>
        <v>0</v>
      </c>
      <c r="W49" cm="1">
        <f t="array" ref="W49" xml:space="preserve"> _xlfn.LET(
  _xlpm.idx, _xlfn.XMATCH(1,
      (COL(summary,"model")=$Q49)*(COL(summary,"instance")=INDEX($P:$P, ROW()-$Q49))*(COL(summary,"best")=TRUE)),
  IFERROR(INDEX(COL(summary,"objective"), _xlpm.idx), #N/A)
)</f>
        <v>5</v>
      </c>
      <c r="X49" t="e" cm="1">
        <f t="array" ref="X49" xml:space="preserve"> _xlfn.LET(
  _xlpm.idx, _xlfn.XMATCH(1,
      (COL(summary,"model")=$Q49)*(COL(summary,"instance")=INDEX($P:$P, ROW()-$Q49))*(COL(summary,"best")="TIMEOUT")),
  IFERROR(INDEX(COL(summary,"objective"), _xlpm.idx), #N/A)
)</f>
        <v>#N/A</v>
      </c>
      <c r="AC49" s="4"/>
    </row>
    <row r="50" spans="1:29" x14ac:dyDescent="0.25">
      <c r="A50">
        <f ca="1">IF(_34445073613_asp[[#This Row],[instance]]&lt;OFFSET(_34445073613_asp[[#This Row],[instance]],-1,0), OFFSET(_34445073613_asp[[#This Row],[model]],-1,0)+1, OFFSET(_34445073613_asp[[#This Row],[model]],-1,0))</f>
        <v>1</v>
      </c>
      <c r="B50">
        <v>6</v>
      </c>
      <c r="C50" s="5">
        <v>2.1126157407407409E-3</v>
      </c>
      <c r="D50">
        <v>17.625</v>
      </c>
      <c r="E50">
        <v>12</v>
      </c>
      <c r="F50">
        <v>6</v>
      </c>
      <c r="H50" s="5">
        <v>6.9444444444444441E-3</v>
      </c>
      <c r="I50" s="5">
        <v>4.8451388888888884E-3</v>
      </c>
      <c r="K50"/>
      <c r="L50"/>
      <c r="M50"/>
      <c r="N50"/>
      <c r="O50" s="1"/>
      <c r="Q50" s="2">
        <v>3</v>
      </c>
      <c r="R50" cm="1">
        <f t="array" aca="1" ref="R50" ca="1">_xlfn.MAXIFS(COL(bench,"wine"), COL(bench,"model"), $Q50, COL(bench,"instance"), INDEX($P:$P, ROW()-$Q50), COL(bench,"time"),"&lt;="&amp;R$1)</f>
        <v>0</v>
      </c>
      <c r="S50" cm="1">
        <f t="array" aca="1" ref="S50" ca="1">_xlfn.MAXIFS(COL(bench,"wine"), COL(bench,"model"), $Q50, COL(bench,"instance"), INDEX($P:$P, ROW()-$Q50), COL(bench,"time"),"&lt;="&amp;S$1)-SUM($R50:R50)</f>
        <v>0</v>
      </c>
      <c r="T50" cm="1">
        <f t="array" aca="1" ref="T50" ca="1">_xlfn.MAXIFS(COL(bench,"wine"), COL(bench,"model"), $Q50, COL(bench,"instance"), INDEX($P:$P, ROW()-$Q50), COL(bench,"time"),"&lt;="&amp;T$1)-SUM($R50:S50)</f>
        <v>0</v>
      </c>
      <c r="U50" cm="1">
        <f t="array" aca="1" ref="U50" ca="1">_xlfn.MAXIFS(COL(bench,"wine"), COL(bench,"model"), $Q50, COL(bench,"instance"), INDEX($P:$P, ROW()-$Q50), COL(bench,"time"),"&lt;="&amp;U$1)-SUM($R50:T50)</f>
        <v>0</v>
      </c>
      <c r="V50" cm="1">
        <f t="array" aca="1" ref="V50" ca="1">_xlfn.MAXIFS(COL(bench,"wine"), COL(bench,"model"), $Q50, COL(bench,"instance"), INDEX($P:$P, ROW()-$Q50), COL(bench,"time"),"&lt;="&amp;V$1)-SUM($R50:U50)</f>
        <v>0</v>
      </c>
      <c r="W50" t="e" cm="1">
        <f t="array" ref="W50" xml:space="preserve"> _xlfn.LET(
  _xlpm.idx, _xlfn.XMATCH(1,
      (COL(summary,"model")=$Q50)*(COL(summary,"instance")=INDEX($P:$P, ROW()-$Q50))*(COL(summary,"best")=TRUE)),
  IFERROR(INDEX(COL(summary,"objective"), _xlpm.idx), #N/A)
)</f>
        <v>#N/A</v>
      </c>
      <c r="X50" cm="1">
        <f t="array" ref="X50" xml:space="preserve"> _xlfn.LET(
  _xlpm.idx, _xlfn.XMATCH(1,
      (COL(summary,"model")=$Q50)*(COL(summary,"instance")=INDEX($P:$P, ROW()-$Q50))*(COL(summary,"best")="TIMEOUT")),
  IFERROR(INDEX(COL(summary,"objective"), _xlpm.idx), #N/A)
)</f>
        <v>0</v>
      </c>
    </row>
    <row r="51" spans="1:29" x14ac:dyDescent="0.25">
      <c r="A51">
        <f ca="1">IF(_34445073613_asp[[#This Row],[instance]]&lt;OFFSET(_34445073613_asp[[#This Row],[instance]],-1,0), OFFSET(_34445073613_asp[[#This Row],[model]],-1,0)+1, OFFSET(_34445073613_asp[[#This Row],[model]],-1,0))</f>
        <v>1</v>
      </c>
      <c r="B51">
        <v>7</v>
      </c>
      <c r="C51" s="5">
        <v>3.6597222222222223E-4</v>
      </c>
      <c r="D51">
        <v>0</v>
      </c>
      <c r="E51">
        <v>0</v>
      </c>
      <c r="F51">
        <v>0</v>
      </c>
      <c r="G51" s="5">
        <v>3.6157407407407405E-4</v>
      </c>
      <c r="H51" s="5">
        <v>3.6817129629629629E-4</v>
      </c>
      <c r="I51" s="5">
        <v>4.8451388888888884E-3</v>
      </c>
      <c r="K51"/>
      <c r="L51"/>
      <c r="M51"/>
      <c r="N51"/>
      <c r="O51" s="1"/>
    </row>
    <row r="52" spans="1:29" x14ac:dyDescent="0.25">
      <c r="A52">
        <f ca="1">IF(_34445073613_asp[[#This Row],[instance]]&lt;OFFSET(_34445073613_asp[[#This Row],[instance]],-1,0), OFFSET(_34445073613_asp[[#This Row],[model]],-1,0)+1, OFFSET(_34445073613_asp[[#This Row],[model]],-1,0))</f>
        <v>1</v>
      </c>
      <c r="B52">
        <v>7</v>
      </c>
      <c r="C52" s="5">
        <v>3.6597222222222223E-4</v>
      </c>
      <c r="D52">
        <v>3</v>
      </c>
      <c r="E52">
        <v>1</v>
      </c>
      <c r="F52">
        <v>1</v>
      </c>
      <c r="G52" s="5">
        <v>3.6157407407407405E-4</v>
      </c>
      <c r="H52" s="5">
        <v>3.6817129629629629E-4</v>
      </c>
      <c r="I52" s="5">
        <v>4.8451388888888884E-3</v>
      </c>
      <c r="K52"/>
      <c r="L52"/>
      <c r="M52"/>
      <c r="N52"/>
      <c r="O52" s="1"/>
      <c r="P52">
        <v>11</v>
      </c>
    </row>
    <row r="53" spans="1:29" x14ac:dyDescent="0.25">
      <c r="A53">
        <f ca="1">IF(_34445073613_asp[[#This Row],[instance]]&lt;OFFSET(_34445073613_asp[[#This Row],[instance]],-1,0), OFFSET(_34445073613_asp[[#This Row],[model]],-1,0)+1, OFFSET(_34445073613_asp[[#This Row],[model]],-1,0))</f>
        <v>1</v>
      </c>
      <c r="B53">
        <v>7</v>
      </c>
      <c r="C53" s="5">
        <v>3.6701388888888889E-4</v>
      </c>
      <c r="D53">
        <v>12</v>
      </c>
      <c r="E53">
        <v>4</v>
      </c>
      <c r="F53">
        <v>4</v>
      </c>
      <c r="G53" s="5">
        <v>3.6157407407407405E-4</v>
      </c>
      <c r="H53" s="5">
        <v>3.6817129629629629E-4</v>
      </c>
      <c r="I53" s="5">
        <v>4.8451388888888884E-3</v>
      </c>
      <c r="K53"/>
      <c r="L53"/>
      <c r="M53"/>
      <c r="N53"/>
      <c r="O53" s="1"/>
      <c r="Q53" s="2">
        <v>1</v>
      </c>
      <c r="R53" cm="1">
        <f t="array" aca="1" ref="R53" ca="1">_xlfn.MAXIFS(COL(bench,"wine"), COL(bench,"model"), $Q53, COL(bench,"instance"), INDEX($P:$P, ROW()-$Q53), COL(bench,"time"),"&lt;="&amp;R$1)</f>
        <v>0</v>
      </c>
      <c r="S53" cm="1">
        <f t="array" aca="1" ref="S53" ca="1">_xlfn.MAXIFS(COL(bench,"wine"), COL(bench,"model"), $Q53, COL(bench,"instance"), INDEX($P:$P, ROW()-$Q53), COL(bench,"time"),"&lt;="&amp;S$1)-SUM($R53:R53)</f>
        <v>0</v>
      </c>
      <c r="T53" cm="1">
        <f t="array" aca="1" ref="T53" ca="1">_xlfn.MAXIFS(COL(bench,"wine"), COL(bench,"model"), $Q53, COL(bench,"instance"), INDEX($P:$P, ROW()-$Q53), COL(bench,"time"),"&lt;="&amp;T$1)-SUM($R53:S53)</f>
        <v>0</v>
      </c>
      <c r="U53" cm="1">
        <f t="array" aca="1" ref="U53" ca="1">_xlfn.MAXIFS(COL(bench,"wine"), COL(bench,"model"), $Q53, COL(bench,"instance"), INDEX($P:$P, ROW()-$Q53), COL(bench,"time"),"&lt;="&amp;U$1)-SUM($R53:T53)</f>
        <v>0</v>
      </c>
      <c r="V53" cm="1">
        <f t="array" aca="1" ref="V53" ca="1">_xlfn.MAXIFS(COL(bench,"wine"), COL(bench,"model"), $Q53, COL(bench,"instance"), INDEX($P:$P, ROW()-$Q53), COL(bench,"time"),"&lt;="&amp;V$1)-SUM($R53:U53)</f>
        <v>0</v>
      </c>
      <c r="W53" t="e" cm="1">
        <f t="array" ref="W53" xml:space="preserve"> _xlfn.LET(
  _xlpm.idx, _xlfn.XMATCH(1,
      (COL(summary,"model")=$Q53)*(COL(summary,"instance")=INDEX($P:$P, ROW()-$Q53))*(COL(summary,"best")=TRUE)),
  IFERROR(INDEX(COL(summary,"objective"), _xlpm.idx), #N/A)
)</f>
        <v>#N/A</v>
      </c>
      <c r="X53" cm="1">
        <f t="array" ref="X53" xml:space="preserve"> _xlfn.LET(
  _xlpm.idx, _xlfn.XMATCH(1,
      (COL(summary,"model")=$Q53)*(COL(summary,"instance")=INDEX($P:$P, ROW()-$Q53))*(COL(summary,"best")="TIMEOUT")),
  IFERROR(INDEX(COL(summary,"objective"), _xlpm.idx), #N/A)
)</f>
        <v>0</v>
      </c>
    </row>
    <row r="54" spans="1:29" x14ac:dyDescent="0.25">
      <c r="A54">
        <f ca="1">IF(_34445073613_asp[[#This Row],[instance]]&lt;OFFSET(_34445073613_asp[[#This Row],[instance]],-1,0), OFFSET(_34445073613_asp[[#This Row],[model]],-1,0)+1, OFFSET(_34445073613_asp[[#This Row],[model]],-1,0))</f>
        <v>1</v>
      </c>
      <c r="B54">
        <v>8</v>
      </c>
      <c r="H54" s="5">
        <v>6.9444444444444441E-3</v>
      </c>
      <c r="I54" s="5">
        <v>4.8451388888888884E-3</v>
      </c>
      <c r="K54"/>
      <c r="L54"/>
      <c r="M54"/>
      <c r="N54"/>
      <c r="O54" s="1"/>
      <c r="Q54" s="2">
        <v>2</v>
      </c>
      <c r="R54" cm="1">
        <f t="array" aca="1" ref="R54" ca="1">_xlfn.MAXIFS(COL(bench,"wine"), COL(bench,"model"), $Q54, COL(bench,"instance"), INDEX($P:$P, ROW()-$Q54), COL(bench,"time"),"&lt;="&amp;R$1)</f>
        <v>0</v>
      </c>
      <c r="S54" cm="1">
        <f t="array" aca="1" ref="S54" ca="1">_xlfn.MAXIFS(COL(bench,"wine"), COL(bench,"model"), $Q54, COL(bench,"instance"), INDEX($P:$P, ROW()-$Q54), COL(bench,"time"),"&lt;="&amp;S$1)-SUM($R54:R54)</f>
        <v>0</v>
      </c>
      <c r="T54" cm="1">
        <f t="array" aca="1" ref="T54" ca="1">_xlfn.MAXIFS(COL(bench,"wine"), COL(bench,"model"), $Q54, COL(bench,"instance"), INDEX($P:$P, ROW()-$Q54), COL(bench,"time"),"&lt;="&amp;T$1)-SUM($R54:S54)</f>
        <v>0</v>
      </c>
      <c r="U54" cm="1">
        <f t="array" aca="1" ref="U54" ca="1">_xlfn.MAXIFS(COL(bench,"wine"), COL(bench,"model"), $Q54, COL(bench,"instance"), INDEX($P:$P, ROW()-$Q54), COL(bench,"time"),"&lt;="&amp;U$1)-SUM($R54:T54)</f>
        <v>0</v>
      </c>
      <c r="V54" cm="1">
        <f t="array" aca="1" ref="V54" ca="1">_xlfn.MAXIFS(COL(bench,"wine"), COL(bench,"model"), $Q54, COL(bench,"instance"), INDEX($P:$P, ROW()-$Q54), COL(bench,"time"),"&lt;="&amp;V$1)-SUM($R54:U54)</f>
        <v>0</v>
      </c>
      <c r="W54" t="e" cm="1">
        <f t="array" ref="W54" xml:space="preserve"> _xlfn.LET(
  _xlpm.idx, _xlfn.XMATCH(1,
      (COL(summary,"model")=$Q54)*(COL(summary,"instance")=INDEX($P:$P, ROW()-$Q54))*(COL(summary,"best")=TRUE)),
  IFERROR(INDEX(COL(summary,"objective"), _xlpm.idx), #N/A)
)</f>
        <v>#N/A</v>
      </c>
      <c r="X54" cm="1">
        <f t="array" ref="X54" xml:space="preserve"> _xlfn.LET(
  _xlpm.idx, _xlfn.XMATCH(1,
      (COL(summary,"model")=$Q54)*(COL(summary,"instance")=INDEX($P:$P, ROW()-$Q54))*(COL(summary,"best")="TIMEOUT")),
  IFERROR(INDEX(COL(summary,"objective"), _xlpm.idx), #N/A)
)</f>
        <v>0</v>
      </c>
    </row>
    <row r="55" spans="1:29" x14ac:dyDescent="0.25">
      <c r="A55">
        <f ca="1">IF(_34445073613_asp[[#This Row],[instance]]&lt;OFFSET(_34445073613_asp[[#This Row],[instance]],-1,0), OFFSET(_34445073613_asp[[#This Row],[model]],-1,0)+1, OFFSET(_34445073613_asp[[#This Row],[model]],-1,0))</f>
        <v>1</v>
      </c>
      <c r="B55">
        <v>9</v>
      </c>
      <c r="C55" s="5">
        <v>1.5409722222222222E-3</v>
      </c>
      <c r="D55">
        <v>0</v>
      </c>
      <c r="E55">
        <v>0</v>
      </c>
      <c r="F55">
        <v>0</v>
      </c>
      <c r="G55" s="5">
        <v>1.5363425925925926E-3</v>
      </c>
      <c r="H55" s="5">
        <v>1.5368055555555556E-3</v>
      </c>
      <c r="I55" s="5">
        <v>4.8451388888888884E-3</v>
      </c>
      <c r="K55"/>
      <c r="L55"/>
      <c r="M55"/>
      <c r="N55"/>
      <c r="O55" s="1"/>
      <c r="Q55" s="2">
        <v>3</v>
      </c>
      <c r="R55" cm="1">
        <f t="array" aca="1" ref="R55" ca="1">_xlfn.MAXIFS(COL(bench,"wine"), COL(bench,"model"), $Q55, COL(bench,"instance"), INDEX($P:$P, ROW()-$Q55), COL(bench,"time"),"&lt;="&amp;R$1)</f>
        <v>0</v>
      </c>
      <c r="S55" cm="1">
        <f t="array" aca="1" ref="S55" ca="1">_xlfn.MAXIFS(COL(bench,"wine"), COL(bench,"model"), $Q55, COL(bench,"instance"), INDEX($P:$P, ROW()-$Q55), COL(bench,"time"),"&lt;="&amp;S$1)-SUM($R55:R55)</f>
        <v>0</v>
      </c>
      <c r="T55" cm="1">
        <f t="array" aca="1" ref="T55" ca="1">_xlfn.MAXIFS(COL(bench,"wine"), COL(bench,"model"), $Q55, COL(bench,"instance"), INDEX($P:$P, ROW()-$Q55), COL(bench,"time"),"&lt;="&amp;T$1)-SUM($R55:S55)</f>
        <v>0</v>
      </c>
      <c r="U55" cm="1">
        <f t="array" aca="1" ref="U55" ca="1">_xlfn.MAXIFS(COL(bench,"wine"), COL(bench,"model"), $Q55, COL(bench,"instance"), INDEX($P:$P, ROW()-$Q55), COL(bench,"time"),"&lt;="&amp;U$1)-SUM($R55:T55)</f>
        <v>0</v>
      </c>
      <c r="V55" cm="1">
        <f t="array" aca="1" ref="V55" ca="1">_xlfn.MAXIFS(COL(bench,"wine"), COL(bench,"model"), $Q55, COL(bench,"instance"), INDEX($P:$P, ROW()-$Q55), COL(bench,"time"),"&lt;="&amp;V$1)-SUM($R55:U55)</f>
        <v>0</v>
      </c>
      <c r="W55" t="e" cm="1">
        <f t="array" ref="W55" xml:space="preserve"> _xlfn.LET(
  _xlpm.idx, _xlfn.XMATCH(1,
      (COL(summary,"model")=$Q55)*(COL(summary,"instance")=INDEX($P:$P, ROW()-$Q55))*(COL(summary,"best")=TRUE)),
  IFERROR(INDEX(COL(summary,"objective"), _xlpm.idx), #N/A)
)</f>
        <v>#N/A</v>
      </c>
      <c r="X55" cm="1">
        <f t="array" ref="X55" xml:space="preserve"> _xlfn.LET(
  _xlpm.idx, _xlfn.XMATCH(1,
      (COL(summary,"model")=$Q55)*(COL(summary,"instance")=INDEX($P:$P, ROW()-$Q55))*(COL(summary,"best")="TIMEOUT")),
  IFERROR(INDEX(COL(summary,"objective"), _xlpm.idx), #N/A)
)</f>
        <v>0</v>
      </c>
    </row>
    <row r="56" spans="1:29" x14ac:dyDescent="0.25">
      <c r="A56">
        <f ca="1">IF(_34445073613_asp[[#This Row],[instance]]&lt;OFFSET(_34445073613_asp[[#This Row],[instance]],-1,0), OFFSET(_34445073613_asp[[#This Row],[model]],-1,0)+1, OFFSET(_34445073613_asp[[#This Row],[model]],-1,0))</f>
        <v>1</v>
      </c>
      <c r="B56">
        <v>10</v>
      </c>
      <c r="C56" s="5">
        <v>1.5134259259259259E-3</v>
      </c>
      <c r="D56">
        <v>0</v>
      </c>
      <c r="E56">
        <v>0</v>
      </c>
      <c r="F56">
        <v>0</v>
      </c>
      <c r="G56" s="5">
        <v>1.5089120370370369E-3</v>
      </c>
      <c r="H56" s="5">
        <v>6.9042824074074067E-3</v>
      </c>
      <c r="I56" s="5">
        <v>4.8451388888888884E-3</v>
      </c>
      <c r="K56"/>
      <c r="L56"/>
      <c r="M56"/>
      <c r="N56"/>
      <c r="O56" s="1"/>
    </row>
    <row r="57" spans="1:29" x14ac:dyDescent="0.25">
      <c r="A57">
        <f ca="1">IF(_34445073613_asp[[#This Row],[instance]]&lt;OFFSET(_34445073613_asp[[#This Row],[instance]],-1,0), OFFSET(_34445073613_asp[[#This Row],[model]],-1,0)+1, OFFSET(_34445073613_asp[[#This Row],[model]],-1,0))</f>
        <v>1</v>
      </c>
      <c r="B57">
        <v>10</v>
      </c>
      <c r="C57" s="5">
        <v>1.5135416666666665E-3</v>
      </c>
      <c r="D57">
        <v>1.5</v>
      </c>
      <c r="E57">
        <v>1</v>
      </c>
      <c r="F57">
        <v>1</v>
      </c>
      <c r="G57" s="5">
        <v>1.5089120370370369E-3</v>
      </c>
      <c r="H57" s="5">
        <v>6.9042824074074067E-3</v>
      </c>
      <c r="I57" s="5">
        <v>4.8451388888888884E-3</v>
      </c>
      <c r="K57"/>
      <c r="L57"/>
      <c r="M57"/>
      <c r="N57"/>
      <c r="O57" s="1"/>
      <c r="P57">
        <v>12</v>
      </c>
    </row>
    <row r="58" spans="1:29" x14ac:dyDescent="0.25">
      <c r="A58">
        <f ca="1">IF(_34445073613_asp[[#This Row],[instance]]&lt;OFFSET(_34445073613_asp[[#This Row],[instance]],-1,0), OFFSET(_34445073613_asp[[#This Row],[model]],-1,0)+1, OFFSET(_34445073613_asp[[#This Row],[model]],-1,0))</f>
        <v>1</v>
      </c>
      <c r="B58">
        <v>10</v>
      </c>
      <c r="C58" s="5">
        <v>1.5135416666666665E-3</v>
      </c>
      <c r="D58">
        <v>2.5</v>
      </c>
      <c r="E58">
        <v>2</v>
      </c>
      <c r="F58">
        <v>1</v>
      </c>
      <c r="G58" s="5">
        <v>1.5089120370370369E-3</v>
      </c>
      <c r="H58" s="5">
        <v>6.9042824074074067E-3</v>
      </c>
      <c r="I58" s="5">
        <v>4.8451388888888884E-3</v>
      </c>
      <c r="K58"/>
      <c r="L58"/>
      <c r="M58"/>
      <c r="N58"/>
      <c r="O58" s="1"/>
      <c r="Q58" s="2">
        <v>1</v>
      </c>
      <c r="R58" cm="1">
        <f t="array" aca="1" ref="R58" ca="1">_xlfn.MAXIFS(COL(bench,"wine"), COL(bench,"model"), $Q58, COL(bench,"instance"), INDEX($P:$P, ROW()-$Q58), COL(bench,"time"),"&lt;="&amp;R$1)</f>
        <v>12</v>
      </c>
      <c r="S58" cm="1">
        <f t="array" aca="1" ref="S58" ca="1">_xlfn.MAXIFS(COL(bench,"wine"), COL(bench,"model"), $Q58, COL(bench,"instance"), INDEX($P:$P, ROW()-$Q58), COL(bench,"time"),"&lt;="&amp;S$1)-SUM($R58:R58)</f>
        <v>0</v>
      </c>
      <c r="T58" cm="1">
        <f t="array" aca="1" ref="T58" ca="1">_xlfn.MAXIFS(COL(bench,"wine"), COL(bench,"model"), $Q58, COL(bench,"instance"), INDEX($P:$P, ROW()-$Q58), COL(bench,"time"),"&lt;="&amp;T$1)-SUM($R58:S58)</f>
        <v>0</v>
      </c>
      <c r="U58" cm="1">
        <f t="array" aca="1" ref="U58" ca="1">_xlfn.MAXIFS(COL(bench,"wine"), COL(bench,"model"), $Q58, COL(bench,"instance"), INDEX($P:$P, ROW()-$Q58), COL(bench,"time"),"&lt;="&amp;U$1)-SUM($R58:T58)</f>
        <v>0</v>
      </c>
      <c r="V58" cm="1">
        <f t="array" aca="1" ref="V58" ca="1">_xlfn.MAXIFS(COL(bench,"wine"), COL(bench,"model"), $Q58, COL(bench,"instance"), INDEX($P:$P, ROW()-$Q58), COL(bench,"time"),"&lt;="&amp;V$1)-SUM($R58:U58)</f>
        <v>0</v>
      </c>
      <c r="W58" cm="1">
        <f t="array" ref="W58" xml:space="preserve"> _xlfn.LET(
  _xlpm.idx, _xlfn.XMATCH(1,
      (COL(summary,"model")=$Q58)*(COL(summary,"instance")=INDEX($P:$P, ROW()-$Q58))*(COL(summary,"best")=TRUE)),
  IFERROR(INDEX(COL(summary,"objective"), _xlpm.idx), #N/A)
)</f>
        <v>12</v>
      </c>
      <c r="X58" t="e" cm="1">
        <f t="array" ref="X58" xml:space="preserve"> _xlfn.LET(
  _xlpm.idx, _xlfn.XMATCH(1,
      (COL(summary,"model")=$Q58)*(COL(summary,"instance")=INDEX($P:$P, ROW()-$Q58))*(COL(summary,"best")="TIMEOUT")),
  IFERROR(INDEX(COL(summary,"objective"), _xlpm.idx), #N/A)
)</f>
        <v>#N/A</v>
      </c>
    </row>
    <row r="59" spans="1:29" x14ac:dyDescent="0.25">
      <c r="A59">
        <f ca="1">IF(_34445073613_asp[[#This Row],[instance]]&lt;OFFSET(_34445073613_asp[[#This Row],[instance]],-1,0), OFFSET(_34445073613_asp[[#This Row],[model]],-1,0)+1, OFFSET(_34445073613_asp[[#This Row],[model]],-1,0))</f>
        <v>1</v>
      </c>
      <c r="B59">
        <v>10</v>
      </c>
      <c r="C59" s="5">
        <v>1.5135416666666665E-3</v>
      </c>
      <c r="D59">
        <v>3.25</v>
      </c>
      <c r="E59">
        <v>3</v>
      </c>
      <c r="F59">
        <v>1</v>
      </c>
      <c r="G59" s="5">
        <v>1.5089120370370369E-3</v>
      </c>
      <c r="H59" s="5">
        <v>6.9042824074074067E-3</v>
      </c>
      <c r="I59" s="5">
        <v>4.8451388888888884E-3</v>
      </c>
      <c r="K59"/>
      <c r="L59"/>
      <c r="M59"/>
      <c r="N59"/>
      <c r="O59" s="1"/>
      <c r="Q59" s="2">
        <v>2</v>
      </c>
      <c r="R59" cm="1">
        <f t="array" aca="1" ref="R59" ca="1">_xlfn.MAXIFS(COL(bench,"wine"), COL(bench,"model"), $Q59, COL(bench,"instance"), INDEX($P:$P, ROW()-$Q59), COL(bench,"time"),"&lt;="&amp;R$1)</f>
        <v>12</v>
      </c>
      <c r="S59" cm="1">
        <f t="array" aca="1" ref="S59" ca="1">_xlfn.MAXIFS(COL(bench,"wine"), COL(bench,"model"), $Q59, COL(bench,"instance"), INDEX($P:$P, ROW()-$Q59), COL(bench,"time"),"&lt;="&amp;S$1)-SUM($R59:R59)</f>
        <v>0</v>
      </c>
      <c r="T59" cm="1">
        <f t="array" aca="1" ref="T59" ca="1">_xlfn.MAXIFS(COL(bench,"wine"), COL(bench,"model"), $Q59, COL(bench,"instance"), INDEX($P:$P, ROW()-$Q59), COL(bench,"time"),"&lt;="&amp;T$1)-SUM($R59:S59)</f>
        <v>0</v>
      </c>
      <c r="U59" cm="1">
        <f t="array" aca="1" ref="U59" ca="1">_xlfn.MAXIFS(COL(bench,"wine"), COL(bench,"model"), $Q59, COL(bench,"instance"), INDEX($P:$P, ROW()-$Q59), COL(bench,"time"),"&lt;="&amp;U$1)-SUM($R59:T59)</f>
        <v>0</v>
      </c>
      <c r="V59" cm="1">
        <f t="array" aca="1" ref="V59" ca="1">_xlfn.MAXIFS(COL(bench,"wine"), COL(bench,"model"), $Q59, COL(bench,"instance"), INDEX($P:$P, ROW()-$Q59), COL(bench,"time"),"&lt;="&amp;V$1)-SUM($R59:U59)</f>
        <v>0</v>
      </c>
      <c r="W59" cm="1">
        <f t="array" ref="W59" xml:space="preserve"> _xlfn.LET(
  _xlpm.idx, _xlfn.XMATCH(1,
      (COL(summary,"model")=$Q59)*(COL(summary,"instance")=INDEX($P:$P, ROW()-$Q59))*(COL(summary,"best")=TRUE)),
  IFERROR(INDEX(COL(summary,"objective"), _xlpm.idx), #N/A)
)</f>
        <v>12</v>
      </c>
      <c r="X59" t="e" cm="1">
        <f t="array" ref="X59" xml:space="preserve"> _xlfn.LET(
  _xlpm.idx, _xlfn.XMATCH(1,
      (COL(summary,"model")=$Q59)*(COL(summary,"instance")=INDEX($P:$P, ROW()-$Q59))*(COL(summary,"best")="TIMEOUT")),
  IFERROR(INDEX(COL(summary,"objective"), _xlpm.idx), #N/A)
)</f>
        <v>#N/A</v>
      </c>
    </row>
    <row r="60" spans="1:29" x14ac:dyDescent="0.25">
      <c r="A60">
        <f ca="1">IF(_34445073613_asp[[#This Row],[instance]]&lt;OFFSET(_34445073613_asp[[#This Row],[instance]],-1,0), OFFSET(_34445073613_asp[[#This Row],[model]],-1,0)+1, OFFSET(_34445073613_asp[[#This Row],[model]],-1,0))</f>
        <v>1</v>
      </c>
      <c r="B60">
        <v>10</v>
      </c>
      <c r="C60" s="5">
        <v>1.5135416666666665E-3</v>
      </c>
      <c r="D60">
        <v>5</v>
      </c>
      <c r="E60">
        <v>6</v>
      </c>
      <c r="F60">
        <v>3</v>
      </c>
      <c r="G60" s="5">
        <v>1.5089120370370369E-3</v>
      </c>
      <c r="H60" s="5">
        <v>6.9042824074074067E-3</v>
      </c>
      <c r="I60" s="5">
        <v>4.8451388888888884E-3</v>
      </c>
      <c r="K60"/>
      <c r="L60"/>
      <c r="M60"/>
      <c r="N60"/>
      <c r="O60" s="1"/>
      <c r="Q60" s="2">
        <v>3</v>
      </c>
      <c r="R60" cm="1">
        <f t="array" aca="1" ref="R60" ca="1">_xlfn.MAXIFS(COL(bench,"wine"), COL(bench,"model"), $Q60, COL(bench,"instance"), INDEX($P:$P, ROW()-$Q60), COL(bench,"time"),"&lt;="&amp;R$1)</f>
        <v>0</v>
      </c>
      <c r="S60" cm="1">
        <f t="array" aca="1" ref="S60" ca="1">_xlfn.MAXIFS(COL(bench,"wine"), COL(bench,"model"), $Q60, COL(bench,"instance"), INDEX($P:$P, ROW()-$Q60), COL(bench,"time"),"&lt;="&amp;S$1)-SUM($R60:R60)</f>
        <v>0</v>
      </c>
      <c r="T60" cm="1">
        <f t="array" aca="1" ref="T60" ca="1">_xlfn.MAXIFS(COL(bench,"wine"), COL(bench,"model"), $Q60, COL(bench,"instance"), INDEX($P:$P, ROW()-$Q60), COL(bench,"time"),"&lt;="&amp;T$1)-SUM($R60:S60)</f>
        <v>0</v>
      </c>
      <c r="U60" cm="1">
        <f t="array" aca="1" ref="U60" ca="1">_xlfn.MAXIFS(COL(bench,"wine"), COL(bench,"model"), $Q60, COL(bench,"instance"), INDEX($P:$P, ROW()-$Q60), COL(bench,"time"),"&lt;="&amp;U$1)-SUM($R60:T60)</f>
        <v>0</v>
      </c>
      <c r="V60" cm="1">
        <f t="array" aca="1" ref="V60" ca="1">_xlfn.MAXIFS(COL(bench,"wine"), COL(bench,"model"), $Q60, COL(bench,"instance"), INDEX($P:$P, ROW()-$Q60), COL(bench,"time"),"&lt;="&amp;V$1)-SUM($R60:U60)</f>
        <v>0</v>
      </c>
      <c r="W60" t="e" cm="1">
        <f t="array" ref="W60" xml:space="preserve"> _xlfn.LET(
  _xlpm.idx, _xlfn.XMATCH(1,
      (COL(summary,"model")=$Q60)*(COL(summary,"instance")=INDEX($P:$P, ROW()-$Q60))*(COL(summary,"best")=TRUE)),
  IFERROR(INDEX(COL(summary,"objective"), _xlpm.idx), #N/A)
)</f>
        <v>#N/A</v>
      </c>
      <c r="X60" cm="1">
        <f t="array" ref="X60" xml:space="preserve"> _xlfn.LET(
  _xlpm.idx, _xlfn.XMATCH(1,
      (COL(summary,"model")=$Q60)*(COL(summary,"instance")=INDEX($P:$P, ROW()-$Q60))*(COL(summary,"best")="TIMEOUT")),
  IFERROR(INDEX(COL(summary,"objective"), _xlpm.idx), #N/A)
)</f>
        <v>0</v>
      </c>
    </row>
    <row r="61" spans="1:29" x14ac:dyDescent="0.25">
      <c r="A61">
        <f ca="1">IF(_34445073613_asp[[#This Row],[instance]]&lt;OFFSET(_34445073613_asp[[#This Row],[instance]],-1,0), OFFSET(_34445073613_asp[[#This Row],[model]],-1,0)+1, OFFSET(_34445073613_asp[[#This Row],[model]],-1,0))</f>
        <v>1</v>
      </c>
      <c r="B61">
        <v>10</v>
      </c>
      <c r="C61" s="5">
        <v>1.5136574074074074E-3</v>
      </c>
      <c r="D61">
        <v>5</v>
      </c>
      <c r="E61">
        <v>6</v>
      </c>
      <c r="F61">
        <v>2</v>
      </c>
      <c r="G61" s="5">
        <v>1.5089120370370369E-3</v>
      </c>
      <c r="H61" s="5">
        <v>6.9042824074074067E-3</v>
      </c>
      <c r="I61" s="5">
        <v>4.8451388888888884E-3</v>
      </c>
      <c r="K61"/>
      <c r="L61"/>
      <c r="M61"/>
      <c r="N61"/>
      <c r="O61" s="1"/>
    </row>
    <row r="62" spans="1:29" x14ac:dyDescent="0.25">
      <c r="A62">
        <f ca="1">IF(_34445073613_asp[[#This Row],[instance]]&lt;OFFSET(_34445073613_asp[[#This Row],[instance]],-1,0), OFFSET(_34445073613_asp[[#This Row],[model]],-1,0)+1, OFFSET(_34445073613_asp[[#This Row],[model]],-1,0))</f>
        <v>1</v>
      </c>
      <c r="B62">
        <v>11</v>
      </c>
      <c r="H62" s="5">
        <v>6.9444444444444441E-3</v>
      </c>
      <c r="I62" s="5">
        <v>4.8451388888888884E-3</v>
      </c>
      <c r="O62" s="1"/>
      <c r="P62">
        <v>13</v>
      </c>
    </row>
    <row r="63" spans="1:29" x14ac:dyDescent="0.25">
      <c r="A63">
        <f ca="1">IF(_34445073613_asp[[#This Row],[instance]]&lt;OFFSET(_34445073613_asp[[#This Row],[instance]],-1,0), OFFSET(_34445073613_asp[[#This Row],[model]],-1,0)+1, OFFSET(_34445073613_asp[[#This Row],[model]],-1,0))</f>
        <v>1</v>
      </c>
      <c r="B63">
        <v>12</v>
      </c>
      <c r="C63" s="5">
        <v>2.5925925925925925E-5</v>
      </c>
      <c r="D63">
        <v>0</v>
      </c>
      <c r="E63">
        <v>0</v>
      </c>
      <c r="F63">
        <v>0</v>
      </c>
      <c r="G63" s="5">
        <v>2.1296296296296296E-5</v>
      </c>
      <c r="H63" s="5">
        <v>2.3842592592592591E-5</v>
      </c>
      <c r="I63" s="5">
        <v>4.8451388888888884E-3</v>
      </c>
      <c r="O63" s="1"/>
      <c r="Q63" s="2">
        <v>1</v>
      </c>
      <c r="R63" cm="1">
        <f t="array" aca="1" ref="R63" ca="1">_xlfn.MAXIFS(COL(bench,"wine"), COL(bench,"model"), $Q63, COL(bench,"instance"), INDEX($P:$P, ROW()-$Q63), COL(bench,"time"),"&lt;="&amp;R$1)</f>
        <v>0</v>
      </c>
      <c r="S63" cm="1">
        <f t="array" aca="1" ref="S63" ca="1">_xlfn.MAXIFS(COL(bench,"wine"), COL(bench,"model"), $Q63, COL(bench,"instance"), INDEX($P:$P, ROW()-$Q63), COL(bench,"time"),"&lt;="&amp;S$1)-SUM($R63:R63)</f>
        <v>0</v>
      </c>
      <c r="T63" cm="1">
        <f t="array" aca="1" ref="T63" ca="1">_xlfn.MAXIFS(COL(bench,"wine"), COL(bench,"model"), $Q63, COL(bench,"instance"), INDEX($P:$P, ROW()-$Q63), COL(bench,"time"),"&lt;="&amp;T$1)-SUM($R63:S63)</f>
        <v>0</v>
      </c>
      <c r="U63" cm="1">
        <f t="array" aca="1" ref="U63" ca="1">_xlfn.MAXIFS(COL(bench,"wine"), COL(bench,"model"), $Q63, COL(bench,"instance"), INDEX($P:$P, ROW()-$Q63), COL(bench,"time"),"&lt;="&amp;U$1)-SUM($R63:T63)</f>
        <v>16.125</v>
      </c>
      <c r="V63" cm="1">
        <f t="array" aca="1" ref="V63" ca="1">_xlfn.MAXIFS(COL(bench,"wine"), COL(bench,"model"), $Q63, COL(bench,"instance"), INDEX($P:$P, ROW()-$Q63), COL(bench,"time"),"&lt;="&amp;V$1)-SUM($R63:U63)</f>
        <v>0</v>
      </c>
      <c r="W63" t="e" cm="1">
        <f t="array" ref="W63" xml:space="preserve"> _xlfn.LET(
  _xlpm.idx, _xlfn.XMATCH(1,
      (COL(summary,"model")=$Q63)*(COL(summary,"instance")=INDEX($P:$P, ROW()-$Q63))*(COL(summary,"best")=TRUE)),
  IFERROR(INDEX(COL(summary,"objective"), _xlpm.idx), #N/A)
)</f>
        <v>#N/A</v>
      </c>
      <c r="X63" t="e" cm="1">
        <f t="array" ref="X63" xml:space="preserve"> _xlfn.LET(
  _xlpm.idx, _xlfn.XMATCH(1,
      (COL(summary,"model")=$Q63)*(COL(summary,"instance")=INDEX($P:$P, ROW()-$Q63))*(COL(summary,"best")="TIMEOUT")),
  IFERROR(INDEX(COL(summary,"objective"), _xlpm.idx), #N/A)
)</f>
        <v>#N/A</v>
      </c>
    </row>
    <row r="64" spans="1:29" x14ac:dyDescent="0.25">
      <c r="A64">
        <f ca="1">IF(_34445073613_asp[[#This Row],[instance]]&lt;OFFSET(_34445073613_asp[[#This Row],[instance]],-1,0), OFFSET(_34445073613_asp[[#This Row],[model]],-1,0)+1, OFFSET(_34445073613_asp[[#This Row],[model]],-1,0))</f>
        <v>1</v>
      </c>
      <c r="B64">
        <v>12</v>
      </c>
      <c r="C64" s="5">
        <v>2.5925925925925925E-5</v>
      </c>
      <c r="D64">
        <v>3</v>
      </c>
      <c r="E64">
        <v>1</v>
      </c>
      <c r="F64">
        <v>1</v>
      </c>
      <c r="G64" s="5">
        <v>2.1296296296296296E-5</v>
      </c>
      <c r="H64" s="5">
        <v>2.3842592592592591E-5</v>
      </c>
      <c r="I64" s="5">
        <v>4.8451388888888884E-3</v>
      </c>
      <c r="O64" s="1"/>
      <c r="Q64" s="2">
        <v>2</v>
      </c>
      <c r="R64" cm="1">
        <f t="array" aca="1" ref="R64" ca="1">_xlfn.MAXIFS(COL(bench,"wine"), COL(bench,"model"), $Q64, COL(bench,"instance"), INDEX($P:$P, ROW()-$Q64), COL(bench,"time"),"&lt;="&amp;R$1)</f>
        <v>0</v>
      </c>
      <c r="S64" cm="1">
        <f t="array" aca="1" ref="S64" ca="1">_xlfn.MAXIFS(COL(bench,"wine"), COL(bench,"model"), $Q64, COL(bench,"instance"), INDEX($P:$P, ROW()-$Q64), COL(bench,"time"),"&lt;="&amp;S$1)-SUM($R64:R64)</f>
        <v>0</v>
      </c>
      <c r="T64" cm="1">
        <f t="array" aca="1" ref="T64" ca="1">_xlfn.MAXIFS(COL(bench,"wine"), COL(bench,"model"), $Q64, COL(bench,"instance"), INDEX($P:$P, ROW()-$Q64), COL(bench,"time"),"&lt;="&amp;T$1)-SUM($R64:S64)</f>
        <v>0</v>
      </c>
      <c r="U64" cm="1">
        <f t="array" aca="1" ref="U64" ca="1">_xlfn.MAXIFS(COL(bench,"wine"), COL(bench,"model"), $Q64, COL(bench,"instance"), INDEX($P:$P, ROW()-$Q64), COL(bench,"time"),"&lt;="&amp;U$1)-SUM($R64:T64)</f>
        <v>16.125</v>
      </c>
      <c r="V64" cm="1">
        <f t="array" aca="1" ref="V64" ca="1">_xlfn.MAXIFS(COL(bench,"wine"), COL(bench,"model"), $Q64, COL(bench,"instance"), INDEX($P:$P, ROW()-$Q64), COL(bench,"time"),"&lt;="&amp;V$1)-SUM($R64:U64)</f>
        <v>0</v>
      </c>
      <c r="W64" t="e" cm="1">
        <f t="array" ref="W64" xml:space="preserve"> _xlfn.LET(
  _xlpm.idx, _xlfn.XMATCH(1,
      (COL(summary,"model")=$Q64)*(COL(summary,"instance")=INDEX($P:$P, ROW()-$Q64))*(COL(summary,"best")=TRUE)),
  IFERROR(INDEX(COL(summary,"objective"), _xlpm.idx), #N/A)
)</f>
        <v>#N/A</v>
      </c>
      <c r="X64" t="e" cm="1">
        <f t="array" ref="X64" xml:space="preserve"> _xlfn.LET(
  _xlpm.idx, _xlfn.XMATCH(1,
      (COL(summary,"model")=$Q64)*(COL(summary,"instance")=INDEX($P:$P, ROW()-$Q64))*(COL(summary,"best")="TIMEOUT")),
  IFERROR(INDEX(COL(summary,"objective"), _xlpm.idx), #N/A)
)</f>
        <v>#N/A</v>
      </c>
    </row>
    <row r="65" spans="1:24" x14ac:dyDescent="0.25">
      <c r="A65">
        <f ca="1">IF(_34445073613_asp[[#This Row],[instance]]&lt;OFFSET(_34445073613_asp[[#This Row],[instance]],-1,0), OFFSET(_34445073613_asp[[#This Row],[model]],-1,0)+1, OFFSET(_34445073613_asp[[#This Row],[model]],-1,0))</f>
        <v>1</v>
      </c>
      <c r="B65">
        <v>12</v>
      </c>
      <c r="C65" s="5">
        <v>2.5925925925925925E-5</v>
      </c>
      <c r="D65">
        <v>6</v>
      </c>
      <c r="E65">
        <v>2</v>
      </c>
      <c r="F65">
        <v>2</v>
      </c>
      <c r="G65" s="5">
        <v>2.1296296296296296E-5</v>
      </c>
      <c r="H65" s="5">
        <v>2.3842592592592591E-5</v>
      </c>
      <c r="I65" s="5">
        <v>4.8451388888888884E-3</v>
      </c>
      <c r="O65" s="1"/>
      <c r="Q65" s="2">
        <v>3</v>
      </c>
      <c r="R65" cm="1">
        <f t="array" aca="1" ref="R65" ca="1">_xlfn.MAXIFS(COL(bench,"wine"), COL(bench,"model"), $Q65, COL(bench,"instance"), INDEX($P:$P, ROW()-$Q65), COL(bench,"time"),"&lt;="&amp;R$1)</f>
        <v>0</v>
      </c>
      <c r="S65" cm="1">
        <f t="array" aca="1" ref="S65" ca="1">_xlfn.MAXIFS(COL(bench,"wine"), COL(bench,"model"), $Q65, COL(bench,"instance"), INDEX($P:$P, ROW()-$Q65), COL(bench,"time"),"&lt;="&amp;S$1)-SUM($R65:R65)</f>
        <v>0</v>
      </c>
      <c r="T65" cm="1">
        <f t="array" aca="1" ref="T65" ca="1">_xlfn.MAXIFS(COL(bench,"wine"), COL(bench,"model"), $Q65, COL(bench,"instance"), INDEX($P:$P, ROW()-$Q65), COL(bench,"time"),"&lt;="&amp;T$1)-SUM($R65:S65)</f>
        <v>0</v>
      </c>
      <c r="U65" cm="1">
        <f t="array" aca="1" ref="U65" ca="1">_xlfn.MAXIFS(COL(bench,"wine"), COL(bench,"model"), $Q65, COL(bench,"instance"), INDEX($P:$P, ROW()-$Q65), COL(bench,"time"),"&lt;="&amp;U$1)-SUM($R65:T65)</f>
        <v>0</v>
      </c>
      <c r="V65" cm="1">
        <f t="array" aca="1" ref="V65" ca="1">_xlfn.MAXIFS(COL(bench,"wine"), COL(bench,"model"), $Q65, COL(bench,"instance"), INDEX($P:$P, ROW()-$Q65), COL(bench,"time"),"&lt;="&amp;V$1)-SUM($R65:U65)</f>
        <v>0</v>
      </c>
      <c r="W65" t="e" cm="1">
        <f t="array" ref="W65" xml:space="preserve"> _xlfn.LET(
  _xlpm.idx, _xlfn.XMATCH(1,
      (COL(summary,"model")=$Q65)*(COL(summary,"instance")=INDEX($P:$P, ROW()-$Q65))*(COL(summary,"best")=TRUE)),
  IFERROR(INDEX(COL(summary,"objective"), _xlpm.idx), #N/A)
)</f>
        <v>#N/A</v>
      </c>
      <c r="X65" cm="1">
        <f t="array" ref="X65" xml:space="preserve"> _xlfn.LET(
  _xlpm.idx, _xlfn.XMATCH(1,
      (COL(summary,"model")=$Q65)*(COL(summary,"instance")=INDEX($P:$P, ROW()-$Q65))*(COL(summary,"best")="TIMEOUT")),
  IFERROR(INDEX(COL(summary,"objective"), _xlpm.idx), #N/A)
)</f>
        <v>0</v>
      </c>
    </row>
    <row r="66" spans="1:24" x14ac:dyDescent="0.25">
      <c r="A66">
        <f ca="1">IF(_34445073613_asp[[#This Row],[instance]]&lt;OFFSET(_34445073613_asp[[#This Row],[instance]],-1,0), OFFSET(_34445073613_asp[[#This Row],[model]],-1,0)+1, OFFSET(_34445073613_asp[[#This Row],[model]],-1,0))</f>
        <v>1</v>
      </c>
      <c r="B66">
        <v>12</v>
      </c>
      <c r="C66" s="5">
        <v>2.6041666666666665E-5</v>
      </c>
      <c r="D66">
        <v>9</v>
      </c>
      <c r="E66">
        <v>3</v>
      </c>
      <c r="F66">
        <v>3</v>
      </c>
      <c r="G66" s="5">
        <v>2.1296296296296296E-5</v>
      </c>
      <c r="H66" s="5">
        <v>2.3842592592592591E-5</v>
      </c>
      <c r="I66" s="5">
        <v>4.8451388888888884E-3</v>
      </c>
      <c r="O66" s="1"/>
    </row>
    <row r="67" spans="1:24" x14ac:dyDescent="0.25">
      <c r="A67">
        <f ca="1">IF(_34445073613_asp[[#This Row],[instance]]&lt;OFFSET(_34445073613_asp[[#This Row],[instance]],-1,0), OFFSET(_34445073613_asp[[#This Row],[model]],-1,0)+1, OFFSET(_34445073613_asp[[#This Row],[model]],-1,0))</f>
        <v>1</v>
      </c>
      <c r="B67">
        <v>12</v>
      </c>
      <c r="C67" s="5">
        <v>2.6388888888888888E-5</v>
      </c>
      <c r="D67">
        <v>12</v>
      </c>
      <c r="E67">
        <v>4</v>
      </c>
      <c r="F67">
        <v>4</v>
      </c>
      <c r="G67" s="5">
        <v>2.1296296296296296E-5</v>
      </c>
      <c r="H67" s="5">
        <v>2.3842592592592591E-5</v>
      </c>
      <c r="I67" s="5">
        <v>4.8451388888888884E-3</v>
      </c>
      <c r="O67" s="1"/>
      <c r="P67">
        <v>14</v>
      </c>
    </row>
    <row r="68" spans="1:24" x14ac:dyDescent="0.25">
      <c r="A68">
        <f ca="1">IF(_34445073613_asp[[#This Row],[instance]]&lt;OFFSET(_34445073613_asp[[#This Row],[instance]],-1,0), OFFSET(_34445073613_asp[[#This Row],[model]],-1,0)+1, OFFSET(_34445073613_asp[[#This Row],[model]],-1,0))</f>
        <v>1</v>
      </c>
      <c r="B68">
        <v>13</v>
      </c>
      <c r="C68" s="5">
        <v>2.8254629629629628E-3</v>
      </c>
      <c r="D68">
        <v>0</v>
      </c>
      <c r="E68">
        <v>0</v>
      </c>
      <c r="F68">
        <v>0</v>
      </c>
      <c r="H68" s="5">
        <v>6.9444444444444441E-3</v>
      </c>
      <c r="I68" s="5">
        <v>4.8451388888888884E-3</v>
      </c>
      <c r="O68" s="1"/>
      <c r="Q68" s="2">
        <v>1</v>
      </c>
      <c r="R68" cm="1">
        <f t="array" aca="1" ref="R68" ca="1">_xlfn.MAXIFS(COL(bench,"wine"), COL(bench,"model"), $Q68, COL(bench,"instance"), INDEX($P:$P, ROW()-$Q68), COL(bench,"time"),"&lt;="&amp;R$1)</f>
        <v>0</v>
      </c>
      <c r="S68" cm="1">
        <f t="array" aca="1" ref="S68" ca="1">_xlfn.MAXIFS(COL(bench,"wine"), COL(bench,"model"), $Q68, COL(bench,"instance"), INDEX($P:$P, ROW()-$Q68), COL(bench,"time"),"&lt;="&amp;S$1)-SUM($R68:R68)</f>
        <v>0</v>
      </c>
      <c r="T68" cm="1">
        <f t="array" aca="1" ref="T68" ca="1">_xlfn.MAXIFS(COL(bench,"wine"), COL(bench,"model"), $Q68, COL(bench,"instance"), INDEX($P:$P, ROW()-$Q68), COL(bench,"time"),"&lt;="&amp;T$1)-SUM($R68:S68)</f>
        <v>0</v>
      </c>
      <c r="U68" cm="1">
        <f t="array" aca="1" ref="U68" ca="1">_xlfn.MAXIFS(COL(bench,"wine"), COL(bench,"model"), $Q68, COL(bench,"instance"), INDEX($P:$P, ROW()-$Q68), COL(bench,"time"),"&lt;="&amp;U$1)-SUM($R68:T68)</f>
        <v>0</v>
      </c>
      <c r="V68" cm="1">
        <f t="array" aca="1" ref="V68" ca="1">_xlfn.MAXIFS(COL(bench,"wine"), COL(bench,"model"), $Q68, COL(bench,"instance"), INDEX($P:$P, ROW()-$Q68), COL(bench,"time"),"&lt;="&amp;V$1)-SUM($R68:U68)</f>
        <v>0</v>
      </c>
      <c r="W68" t="e" cm="1">
        <f t="array" ref="W68" xml:space="preserve"> _xlfn.LET(
  _xlpm.idx, _xlfn.XMATCH(1,
      (COL(summary,"model")=$Q68)*(COL(summary,"instance")=INDEX($P:$P, ROW()-$Q68))*(COL(summary,"best")=TRUE)),
  IFERROR(INDEX(COL(summary,"objective"), _xlpm.idx), #N/A)
)</f>
        <v>#N/A</v>
      </c>
      <c r="X68" cm="1">
        <f t="array" ref="X68" xml:space="preserve"> _xlfn.LET(
  _xlpm.idx, _xlfn.XMATCH(1,
      (COL(summary,"model")=$Q68)*(COL(summary,"instance")=INDEX($P:$P, ROW()-$Q68))*(COL(summary,"best")="TIMEOUT")),
  IFERROR(INDEX(COL(summary,"objective"), _xlpm.idx), #N/A)
)</f>
        <v>0</v>
      </c>
    </row>
    <row r="69" spans="1:24" x14ac:dyDescent="0.25">
      <c r="A69">
        <f ca="1">IF(_34445073613_asp[[#This Row],[instance]]&lt;OFFSET(_34445073613_asp[[#This Row],[instance]],-1,0), OFFSET(_34445073613_asp[[#This Row],[model]],-1,0)+1, OFFSET(_34445073613_asp[[#This Row],[model]],-1,0))</f>
        <v>1</v>
      </c>
      <c r="B69">
        <v>13</v>
      </c>
      <c r="C69" s="5">
        <v>2.8254629629629628E-3</v>
      </c>
      <c r="D69">
        <v>1.5</v>
      </c>
      <c r="E69">
        <v>1</v>
      </c>
      <c r="F69">
        <v>1</v>
      </c>
      <c r="H69" s="5">
        <v>6.9444444444444441E-3</v>
      </c>
      <c r="I69" s="5">
        <v>4.8451388888888884E-3</v>
      </c>
      <c r="O69" s="1"/>
      <c r="Q69" s="2">
        <v>2</v>
      </c>
      <c r="R69" cm="1">
        <f t="array" aca="1" ref="R69" ca="1">_xlfn.MAXIFS(COL(bench,"wine"), COL(bench,"model"), $Q69, COL(bench,"instance"), INDEX($P:$P, ROW()-$Q69), COL(bench,"time"),"&lt;="&amp;R$1)</f>
        <v>0</v>
      </c>
      <c r="S69" cm="1">
        <f t="array" aca="1" ref="S69" ca="1">_xlfn.MAXIFS(COL(bench,"wine"), COL(bench,"model"), $Q69, COL(bench,"instance"), INDEX($P:$P, ROW()-$Q69), COL(bench,"time"),"&lt;="&amp;S$1)-SUM($R69:R69)</f>
        <v>0</v>
      </c>
      <c r="T69" cm="1">
        <f t="array" aca="1" ref="T69" ca="1">_xlfn.MAXIFS(COL(bench,"wine"), COL(bench,"model"), $Q69, COL(bench,"instance"), INDEX($P:$P, ROW()-$Q69), COL(bench,"time"),"&lt;="&amp;T$1)-SUM($R69:S69)</f>
        <v>0</v>
      </c>
      <c r="U69" cm="1">
        <f t="array" aca="1" ref="U69" ca="1">_xlfn.MAXIFS(COL(bench,"wine"), COL(bench,"model"), $Q69, COL(bench,"instance"), INDEX($P:$P, ROW()-$Q69), COL(bench,"time"),"&lt;="&amp;U$1)-SUM($R69:T69)</f>
        <v>0</v>
      </c>
      <c r="V69" cm="1">
        <f t="array" aca="1" ref="V69" ca="1">_xlfn.MAXIFS(COL(bench,"wine"), COL(bench,"model"), $Q69, COL(bench,"instance"), INDEX($P:$P, ROW()-$Q69), COL(bench,"time"),"&lt;="&amp;V$1)-SUM($R69:U69)</f>
        <v>0</v>
      </c>
      <c r="W69" t="e" cm="1">
        <f t="array" ref="W69" xml:space="preserve"> _xlfn.LET(
  _xlpm.idx, _xlfn.XMATCH(1,
      (COL(summary,"model")=$Q69)*(COL(summary,"instance")=INDEX($P:$P, ROW()-$Q69))*(COL(summary,"best")=TRUE)),
  IFERROR(INDEX(COL(summary,"objective"), _xlpm.idx), #N/A)
)</f>
        <v>#N/A</v>
      </c>
      <c r="X69" cm="1">
        <f t="array" ref="X69" xml:space="preserve"> _xlfn.LET(
  _xlpm.idx, _xlfn.XMATCH(1,
      (COL(summary,"model")=$Q69)*(COL(summary,"instance")=INDEX($P:$P, ROW()-$Q69))*(COL(summary,"best")="TIMEOUT")),
  IFERROR(INDEX(COL(summary,"objective"), _xlpm.idx), #N/A)
)</f>
        <v>0</v>
      </c>
    </row>
    <row r="70" spans="1:24" x14ac:dyDescent="0.25">
      <c r="A70">
        <f ca="1">IF(_34445073613_asp[[#This Row],[instance]]&lt;OFFSET(_34445073613_asp[[#This Row],[instance]],-1,0), OFFSET(_34445073613_asp[[#This Row],[model]],-1,0)+1, OFFSET(_34445073613_asp[[#This Row],[model]],-1,0))</f>
        <v>1</v>
      </c>
      <c r="B70">
        <v>13</v>
      </c>
      <c r="C70" s="5">
        <v>2.8254629629629628E-3</v>
      </c>
      <c r="D70">
        <v>3</v>
      </c>
      <c r="E70">
        <v>2</v>
      </c>
      <c r="F70">
        <v>1</v>
      </c>
      <c r="H70" s="5">
        <v>6.9444444444444441E-3</v>
      </c>
      <c r="I70" s="5">
        <v>4.8451388888888884E-3</v>
      </c>
      <c r="O70" s="1"/>
      <c r="Q70" s="2">
        <v>3</v>
      </c>
      <c r="R70" cm="1">
        <f t="array" aca="1" ref="R70" ca="1">_xlfn.MAXIFS(COL(bench,"wine"), COL(bench,"model"), $Q70, COL(bench,"instance"), INDEX($P:$P, ROW()-$Q70), COL(bench,"time"),"&lt;="&amp;R$1)</f>
        <v>0</v>
      </c>
      <c r="S70" cm="1">
        <f t="array" aca="1" ref="S70" ca="1">_xlfn.MAXIFS(COL(bench,"wine"), COL(bench,"model"), $Q70, COL(bench,"instance"), INDEX($P:$P, ROW()-$Q70), COL(bench,"time"),"&lt;="&amp;S$1)-SUM($R70:R70)</f>
        <v>0</v>
      </c>
      <c r="T70" cm="1">
        <f t="array" aca="1" ref="T70" ca="1">_xlfn.MAXIFS(COL(bench,"wine"), COL(bench,"model"), $Q70, COL(bench,"instance"), INDEX($P:$P, ROW()-$Q70), COL(bench,"time"),"&lt;="&amp;T$1)-SUM($R70:S70)</f>
        <v>0</v>
      </c>
      <c r="U70" cm="1">
        <f t="array" aca="1" ref="U70" ca="1">_xlfn.MAXIFS(COL(bench,"wine"), COL(bench,"model"), $Q70, COL(bench,"instance"), INDEX($P:$P, ROW()-$Q70), COL(bench,"time"),"&lt;="&amp;U$1)-SUM($R70:T70)</f>
        <v>0</v>
      </c>
      <c r="V70" cm="1">
        <f t="array" aca="1" ref="V70" ca="1">_xlfn.MAXIFS(COL(bench,"wine"), COL(bench,"model"), $Q70, COL(bench,"instance"), INDEX($P:$P, ROW()-$Q70), COL(bench,"time"),"&lt;="&amp;V$1)-SUM($R70:U70)</f>
        <v>0</v>
      </c>
      <c r="W70" t="e" cm="1">
        <f t="array" ref="W70" xml:space="preserve"> _xlfn.LET(
  _xlpm.idx, _xlfn.XMATCH(1,
      (COL(summary,"model")=$Q70)*(COL(summary,"instance")=INDEX($P:$P, ROW()-$Q70))*(COL(summary,"best")=TRUE)),
  IFERROR(INDEX(COL(summary,"objective"), _xlpm.idx), #N/A)
)</f>
        <v>#N/A</v>
      </c>
      <c r="X70" cm="1">
        <f t="array" ref="X70" xml:space="preserve"> _xlfn.LET(
  _xlpm.idx, _xlfn.XMATCH(1,
      (COL(summary,"model")=$Q70)*(COL(summary,"instance")=INDEX($P:$P, ROW()-$Q70))*(COL(summary,"best")="TIMEOUT")),
  IFERROR(INDEX(COL(summary,"objective"), _xlpm.idx), #N/A)
)</f>
        <v>0</v>
      </c>
    </row>
    <row r="71" spans="1:24" x14ac:dyDescent="0.25">
      <c r="A71">
        <f ca="1">IF(_34445073613_asp[[#This Row],[instance]]&lt;OFFSET(_34445073613_asp[[#This Row],[instance]],-1,0), OFFSET(_34445073613_asp[[#This Row],[model]],-1,0)+1, OFFSET(_34445073613_asp[[#This Row],[model]],-1,0))</f>
        <v>1</v>
      </c>
      <c r="B71">
        <v>13</v>
      </c>
      <c r="C71" s="5">
        <v>2.8255787037037034E-3</v>
      </c>
      <c r="D71">
        <v>4.5</v>
      </c>
      <c r="E71">
        <v>3</v>
      </c>
      <c r="F71">
        <v>2</v>
      </c>
      <c r="H71" s="5">
        <v>6.9444444444444441E-3</v>
      </c>
      <c r="I71" s="5">
        <v>4.8451388888888884E-3</v>
      </c>
      <c r="O71" s="1"/>
    </row>
    <row r="72" spans="1:24" x14ac:dyDescent="0.25">
      <c r="A72">
        <f ca="1">IF(_34445073613_asp[[#This Row],[instance]]&lt;OFFSET(_34445073613_asp[[#This Row],[instance]],-1,0), OFFSET(_34445073613_asp[[#This Row],[model]],-1,0)+1, OFFSET(_34445073613_asp[[#This Row],[model]],-1,0))</f>
        <v>1</v>
      </c>
      <c r="B72">
        <v>13</v>
      </c>
      <c r="C72" s="5">
        <v>2.8255787037037034E-3</v>
      </c>
      <c r="D72">
        <v>6</v>
      </c>
      <c r="E72">
        <v>4</v>
      </c>
      <c r="F72">
        <v>2</v>
      </c>
      <c r="H72" s="5">
        <v>6.9444444444444441E-3</v>
      </c>
      <c r="I72" s="5">
        <v>4.8451388888888884E-3</v>
      </c>
      <c r="O72" s="1"/>
      <c r="P72">
        <v>15</v>
      </c>
    </row>
    <row r="73" spans="1:24" x14ac:dyDescent="0.25">
      <c r="A73">
        <f ca="1">IF(_34445073613_asp[[#This Row],[instance]]&lt;OFFSET(_34445073613_asp[[#This Row],[instance]],-1,0), OFFSET(_34445073613_asp[[#This Row],[model]],-1,0)+1, OFFSET(_34445073613_asp[[#This Row],[model]],-1,0))</f>
        <v>1</v>
      </c>
      <c r="B73">
        <v>13</v>
      </c>
      <c r="C73" s="5">
        <v>2.8255787037037034E-3</v>
      </c>
      <c r="D73">
        <v>7</v>
      </c>
      <c r="E73">
        <v>5</v>
      </c>
      <c r="F73">
        <v>2</v>
      </c>
      <c r="H73" s="5">
        <v>6.9444444444444441E-3</v>
      </c>
      <c r="I73" s="5">
        <v>4.8451388888888884E-3</v>
      </c>
      <c r="O73" s="1"/>
      <c r="Q73" s="2">
        <v>1</v>
      </c>
      <c r="R73" cm="1">
        <f t="array" aca="1" ref="R73" ca="1">_xlfn.MAXIFS(COL(bench,"wine"), COL(bench,"model"), $Q73, COL(bench,"instance"), INDEX($P:$P, ROW()-$Q73), COL(bench,"time"),"&lt;="&amp;R$1)</f>
        <v>0</v>
      </c>
      <c r="S73" cm="1">
        <f t="array" aca="1" ref="S73" ca="1">_xlfn.MAXIFS(COL(bench,"wine"), COL(bench,"model"), $Q73, COL(bench,"instance"), INDEX($P:$P, ROW()-$Q73), COL(bench,"time"),"&lt;="&amp;S$1)-SUM($R73:R73)</f>
        <v>0</v>
      </c>
      <c r="T73" cm="1">
        <f t="array" aca="1" ref="T73" ca="1">_xlfn.MAXIFS(COL(bench,"wine"), COL(bench,"model"), $Q73, COL(bench,"instance"), INDEX($P:$P, ROW()-$Q73), COL(bench,"time"),"&lt;="&amp;T$1)-SUM($R73:S73)</f>
        <v>0</v>
      </c>
      <c r="U73" cm="1">
        <f t="array" aca="1" ref="U73" ca="1">_xlfn.MAXIFS(COL(bench,"wine"), COL(bench,"model"), $Q73, COL(bench,"instance"), INDEX($P:$P, ROW()-$Q73), COL(bench,"time"),"&lt;="&amp;U$1)-SUM($R73:T73)</f>
        <v>0</v>
      </c>
      <c r="V73" cm="1">
        <f t="array" aca="1" ref="V73" ca="1">_xlfn.MAXIFS(COL(bench,"wine"), COL(bench,"model"), $Q73, COL(bench,"instance"), INDEX($P:$P, ROW()-$Q73), COL(bench,"time"),"&lt;="&amp;V$1)-SUM($R73:U73)</f>
        <v>0</v>
      </c>
      <c r="W73" t="e" cm="1">
        <f t="array" ref="W73" xml:space="preserve"> _xlfn.LET(
  _xlpm.idx, _xlfn.XMATCH(1,
      (COL(summary,"model")=$Q73)*(COL(summary,"instance")=INDEX($P:$P, ROW()-$Q73))*(COL(summary,"best")=TRUE)),
  IFERROR(INDEX(COL(summary,"objective"), _xlpm.idx), #N/A)
)</f>
        <v>#N/A</v>
      </c>
      <c r="X73" cm="1">
        <f t="array" ref="X73" xml:space="preserve"> _xlfn.LET(
  _xlpm.idx, _xlfn.XMATCH(1,
      (COL(summary,"model")=$Q73)*(COL(summary,"instance")=INDEX($P:$P, ROW()-$Q73))*(COL(summary,"best")="TIMEOUT")),
  IFERROR(INDEX(COL(summary,"objective"), _xlpm.idx), #N/A)
)</f>
        <v>0</v>
      </c>
    </row>
    <row r="74" spans="1:24" x14ac:dyDescent="0.25">
      <c r="A74">
        <f ca="1">IF(_34445073613_asp[[#This Row],[instance]]&lt;OFFSET(_34445073613_asp[[#This Row],[instance]],-1,0), OFFSET(_34445073613_asp[[#This Row],[model]],-1,0)+1, OFFSET(_34445073613_asp[[#This Row],[model]],-1,0))</f>
        <v>1</v>
      </c>
      <c r="B74">
        <v>13</v>
      </c>
      <c r="C74" s="5">
        <v>2.8255787037037034E-3</v>
      </c>
      <c r="D74">
        <v>8</v>
      </c>
      <c r="E74">
        <v>6</v>
      </c>
      <c r="F74">
        <v>2</v>
      </c>
      <c r="H74" s="5">
        <v>6.9444444444444441E-3</v>
      </c>
      <c r="I74" s="5">
        <v>4.8451388888888884E-3</v>
      </c>
      <c r="O74" s="1"/>
      <c r="Q74" s="2">
        <v>2</v>
      </c>
      <c r="R74" cm="1">
        <f t="array" aca="1" ref="R74" ca="1">_xlfn.MAXIFS(COL(bench,"wine"), COL(bench,"model"), $Q74, COL(bench,"instance"), INDEX($P:$P, ROW()-$Q74), COL(bench,"time"),"&lt;="&amp;R$1)</f>
        <v>0</v>
      </c>
      <c r="S74" cm="1">
        <f t="array" aca="1" ref="S74" ca="1">_xlfn.MAXIFS(COL(bench,"wine"), COL(bench,"model"), $Q74, COL(bench,"instance"), INDEX($P:$P, ROW()-$Q74), COL(bench,"time"),"&lt;="&amp;S$1)-SUM($R74:R74)</f>
        <v>0</v>
      </c>
      <c r="T74" cm="1">
        <f t="array" aca="1" ref="T74" ca="1">_xlfn.MAXIFS(COL(bench,"wine"), COL(bench,"model"), $Q74, COL(bench,"instance"), INDEX($P:$P, ROW()-$Q74), COL(bench,"time"),"&lt;="&amp;T$1)-SUM($R74:S74)</f>
        <v>0</v>
      </c>
      <c r="U74" cm="1">
        <f t="array" aca="1" ref="U74" ca="1">_xlfn.MAXIFS(COL(bench,"wine"), COL(bench,"model"), $Q74, COL(bench,"instance"), INDEX($P:$P, ROW()-$Q74), COL(bench,"time"),"&lt;="&amp;U$1)-SUM($R74:T74)</f>
        <v>0</v>
      </c>
      <c r="V74" cm="1">
        <f t="array" aca="1" ref="V74" ca="1">_xlfn.MAXIFS(COL(bench,"wine"), COL(bench,"model"), $Q74, COL(bench,"instance"), INDEX($P:$P, ROW()-$Q74), COL(bench,"time"),"&lt;="&amp;V$1)-SUM($R74:U74)</f>
        <v>0</v>
      </c>
      <c r="W74" t="e" cm="1">
        <f t="array" ref="W74" xml:space="preserve"> _xlfn.LET(
  _xlpm.idx, _xlfn.XMATCH(1,
      (COL(summary,"model")=$Q74)*(COL(summary,"instance")=INDEX($P:$P, ROW()-$Q74))*(COL(summary,"best")=TRUE)),
  IFERROR(INDEX(COL(summary,"objective"), _xlpm.idx), #N/A)
)</f>
        <v>#N/A</v>
      </c>
      <c r="X74" cm="1">
        <f t="array" ref="X74" xml:space="preserve"> _xlfn.LET(
  _xlpm.idx, _xlfn.XMATCH(1,
      (COL(summary,"model")=$Q74)*(COL(summary,"instance")=INDEX($P:$P, ROW()-$Q74))*(COL(summary,"best")="TIMEOUT")),
  IFERROR(INDEX(COL(summary,"objective"), _xlpm.idx), #N/A)
)</f>
        <v>0</v>
      </c>
    </row>
    <row r="75" spans="1:24" x14ac:dyDescent="0.25">
      <c r="A75">
        <f ca="1">IF(_34445073613_asp[[#This Row],[instance]]&lt;OFFSET(_34445073613_asp[[#This Row],[instance]],-1,0), OFFSET(_34445073613_asp[[#This Row],[model]],-1,0)+1, OFFSET(_34445073613_asp[[#This Row],[model]],-1,0))</f>
        <v>1</v>
      </c>
      <c r="B75">
        <v>13</v>
      </c>
      <c r="C75" s="5">
        <v>2.8255787037037034E-3</v>
      </c>
      <c r="D75">
        <v>9</v>
      </c>
      <c r="E75">
        <v>7</v>
      </c>
      <c r="F75">
        <v>2</v>
      </c>
      <c r="H75" s="5">
        <v>6.9444444444444441E-3</v>
      </c>
      <c r="I75" s="5">
        <v>4.8451388888888884E-3</v>
      </c>
      <c r="O75" s="1"/>
      <c r="Q75" s="2">
        <v>3</v>
      </c>
      <c r="R75" cm="1">
        <f t="array" aca="1" ref="R75" ca="1">_xlfn.MAXIFS(COL(bench,"wine"), COL(bench,"model"), $Q75, COL(bench,"instance"), INDEX($P:$P, ROW()-$Q75), COL(bench,"time"),"&lt;="&amp;R$1)</f>
        <v>0</v>
      </c>
      <c r="S75" cm="1">
        <f t="array" aca="1" ref="S75" ca="1">_xlfn.MAXIFS(COL(bench,"wine"), COL(bench,"model"), $Q75, COL(bench,"instance"), INDEX($P:$P, ROW()-$Q75), COL(bench,"time"),"&lt;="&amp;S$1)-SUM($R75:R75)</f>
        <v>0</v>
      </c>
      <c r="T75" cm="1">
        <f t="array" aca="1" ref="T75" ca="1">_xlfn.MAXIFS(COL(bench,"wine"), COL(bench,"model"), $Q75, COL(bench,"instance"), INDEX($P:$P, ROW()-$Q75), COL(bench,"time"),"&lt;="&amp;T$1)-SUM($R75:S75)</f>
        <v>0</v>
      </c>
      <c r="U75" cm="1">
        <f t="array" aca="1" ref="U75" ca="1">_xlfn.MAXIFS(COL(bench,"wine"), COL(bench,"model"), $Q75, COL(bench,"instance"), INDEX($P:$P, ROW()-$Q75), COL(bench,"time"),"&lt;="&amp;U$1)-SUM($R75:T75)</f>
        <v>0</v>
      </c>
      <c r="V75" cm="1">
        <f t="array" aca="1" ref="V75" ca="1">_xlfn.MAXIFS(COL(bench,"wine"), COL(bench,"model"), $Q75, COL(bench,"instance"), INDEX($P:$P, ROW()-$Q75), COL(bench,"time"),"&lt;="&amp;V$1)-SUM($R75:U75)</f>
        <v>0</v>
      </c>
      <c r="W75" t="e" cm="1">
        <f t="array" ref="W75" xml:space="preserve"> _xlfn.LET(
  _xlpm.idx, _xlfn.XMATCH(1,
      (COL(summary,"model")=$Q75)*(COL(summary,"instance")=INDEX($P:$P, ROW()-$Q75))*(COL(summary,"best")=TRUE)),
  IFERROR(INDEX(COL(summary,"objective"), _xlpm.idx), #N/A)
)</f>
        <v>#N/A</v>
      </c>
      <c r="X75" cm="1">
        <f t="array" ref="X75" xml:space="preserve"> _xlfn.LET(
  _xlpm.idx, _xlfn.XMATCH(1,
      (COL(summary,"model")=$Q75)*(COL(summary,"instance")=INDEX($P:$P, ROW()-$Q75))*(COL(summary,"best")="TIMEOUT")),
  IFERROR(INDEX(COL(summary,"objective"), _xlpm.idx), #N/A)
)</f>
        <v>0</v>
      </c>
    </row>
    <row r="76" spans="1:24" x14ac:dyDescent="0.25">
      <c r="A76">
        <f ca="1">IF(_34445073613_asp[[#This Row],[instance]]&lt;OFFSET(_34445073613_asp[[#This Row],[instance]],-1,0), OFFSET(_34445073613_asp[[#This Row],[model]],-1,0)+1, OFFSET(_34445073613_asp[[#This Row],[model]],-1,0))</f>
        <v>1</v>
      </c>
      <c r="B76">
        <v>13</v>
      </c>
      <c r="C76" s="5">
        <v>2.8259259259259257E-3</v>
      </c>
      <c r="D76">
        <v>11.625</v>
      </c>
      <c r="E76">
        <v>10</v>
      </c>
      <c r="F76">
        <v>4</v>
      </c>
      <c r="H76" s="5">
        <v>6.9444444444444441E-3</v>
      </c>
      <c r="I76" s="5">
        <v>4.8451388888888884E-3</v>
      </c>
      <c r="O76" s="1"/>
    </row>
    <row r="77" spans="1:24" x14ac:dyDescent="0.25">
      <c r="A77">
        <f ca="1">IF(_34445073613_asp[[#This Row],[instance]]&lt;OFFSET(_34445073613_asp[[#This Row],[instance]],-1,0), OFFSET(_34445073613_asp[[#This Row],[model]],-1,0)+1, OFFSET(_34445073613_asp[[#This Row],[model]],-1,0))</f>
        <v>1</v>
      </c>
      <c r="B77">
        <v>13</v>
      </c>
      <c r="C77" s="5">
        <v>2.8259259259259257E-3</v>
      </c>
      <c r="D77">
        <v>16.125</v>
      </c>
      <c r="E77">
        <v>12</v>
      </c>
      <c r="F77">
        <v>6</v>
      </c>
      <c r="H77" s="5">
        <v>6.9444444444444441E-3</v>
      </c>
      <c r="I77" s="5">
        <v>4.8451388888888884E-3</v>
      </c>
      <c r="O77" s="1"/>
      <c r="P77">
        <v>16</v>
      </c>
    </row>
    <row r="78" spans="1:24" x14ac:dyDescent="0.25">
      <c r="A78">
        <f ca="1">IF(_34445073613_asp[[#This Row],[instance]]&lt;OFFSET(_34445073613_asp[[#This Row],[instance]],-1,0), OFFSET(_34445073613_asp[[#This Row],[model]],-1,0)+1, OFFSET(_34445073613_asp[[#This Row],[model]],-1,0))</f>
        <v>1</v>
      </c>
      <c r="B78">
        <v>13</v>
      </c>
      <c r="C78" s="5">
        <v>2.8259259259259257E-3</v>
      </c>
      <c r="D78">
        <v>16.125</v>
      </c>
      <c r="E78">
        <v>12</v>
      </c>
      <c r="F78">
        <v>5</v>
      </c>
      <c r="H78" s="5">
        <v>6.9444444444444441E-3</v>
      </c>
      <c r="I78" s="5">
        <v>4.8451388888888884E-3</v>
      </c>
      <c r="O78" s="1"/>
    </row>
    <row r="79" spans="1:24" x14ac:dyDescent="0.25">
      <c r="A79">
        <f ca="1">IF(_34445073613_asp[[#This Row],[instance]]&lt;OFFSET(_34445073613_asp[[#This Row],[instance]],-1,0), OFFSET(_34445073613_asp[[#This Row],[model]],-1,0)+1, OFFSET(_34445073613_asp[[#This Row],[model]],-1,0))</f>
        <v>1</v>
      </c>
      <c r="B79">
        <v>14</v>
      </c>
      <c r="H79" s="5">
        <v>6.9444444444444441E-3</v>
      </c>
      <c r="I79" s="5">
        <v>4.8451388888888884E-3</v>
      </c>
      <c r="O79" s="1"/>
    </row>
    <row r="80" spans="1:24" x14ac:dyDescent="0.25">
      <c r="A80">
        <f ca="1">IF(_34445073613_asp[[#This Row],[instance]]&lt;OFFSET(_34445073613_asp[[#This Row],[instance]],-1,0), OFFSET(_34445073613_asp[[#This Row],[model]],-1,0)+1, OFFSET(_34445073613_asp[[#This Row],[model]],-1,0))</f>
        <v>1</v>
      </c>
      <c r="B80">
        <v>15</v>
      </c>
      <c r="H80" s="5">
        <v>6.9444444444444441E-3</v>
      </c>
      <c r="I80" s="5">
        <v>4.8451388888888884E-3</v>
      </c>
      <c r="O80" s="1"/>
    </row>
    <row r="81" spans="1:15" x14ac:dyDescent="0.25">
      <c r="A81">
        <f ca="1">IF(_34445073613_asp[[#This Row],[instance]]&lt;OFFSET(_34445073613_asp[[#This Row],[instance]],-1,0), OFFSET(_34445073613_asp[[#This Row],[model]],-1,0)+1, OFFSET(_34445073613_asp[[#This Row],[model]],-1,0))</f>
        <v>2</v>
      </c>
      <c r="B81">
        <v>1</v>
      </c>
      <c r="C81" s="5">
        <v>6.4814814814814816E-5</v>
      </c>
      <c r="D81">
        <v>0</v>
      </c>
      <c r="E81">
        <v>0</v>
      </c>
      <c r="F81">
        <v>0</v>
      </c>
      <c r="G81" s="5">
        <v>6.0416666666666667E-5</v>
      </c>
      <c r="H81" s="5">
        <v>6.2847222222222221E-5</v>
      </c>
      <c r="I81" s="5">
        <v>4.7525462962962964E-3</v>
      </c>
      <c r="O81" s="1"/>
    </row>
    <row r="82" spans="1:15" x14ac:dyDescent="0.25">
      <c r="A82">
        <f ca="1">IF(_34445073613_asp[[#This Row],[instance]]&lt;OFFSET(_34445073613_asp[[#This Row],[instance]],-1,0), OFFSET(_34445073613_asp[[#This Row],[model]],-1,0)+1, OFFSET(_34445073613_asp[[#This Row],[model]],-1,0))</f>
        <v>2</v>
      </c>
      <c r="B82">
        <v>1</v>
      </c>
      <c r="C82" s="5">
        <v>6.4814814814814816E-5</v>
      </c>
      <c r="D82">
        <v>3</v>
      </c>
      <c r="E82">
        <v>1</v>
      </c>
      <c r="F82">
        <v>1</v>
      </c>
      <c r="G82" s="5">
        <v>6.0416666666666667E-5</v>
      </c>
      <c r="H82" s="5">
        <v>6.2847222222222221E-5</v>
      </c>
      <c r="I82" s="5">
        <v>4.7525462962962964E-3</v>
      </c>
      <c r="O82" s="1"/>
    </row>
    <row r="83" spans="1:15" x14ac:dyDescent="0.25">
      <c r="A83">
        <f ca="1">IF(_34445073613_asp[[#This Row],[instance]]&lt;OFFSET(_34445073613_asp[[#This Row],[instance]],-1,0), OFFSET(_34445073613_asp[[#This Row],[model]],-1,0)+1, OFFSET(_34445073613_asp[[#This Row],[model]],-1,0))</f>
        <v>2</v>
      </c>
      <c r="B83">
        <v>1</v>
      </c>
      <c r="C83" s="5">
        <v>6.4814814814814816E-5</v>
      </c>
      <c r="D83">
        <v>6</v>
      </c>
      <c r="E83">
        <v>2</v>
      </c>
      <c r="F83">
        <v>2</v>
      </c>
      <c r="G83" s="5">
        <v>6.0416666666666667E-5</v>
      </c>
      <c r="H83" s="5">
        <v>6.2847222222222221E-5</v>
      </c>
      <c r="I83" s="5">
        <v>4.7525462962962964E-3</v>
      </c>
      <c r="O83" s="1"/>
    </row>
    <row r="84" spans="1:15" x14ac:dyDescent="0.25">
      <c r="A84">
        <f ca="1">IF(_34445073613_asp[[#This Row],[instance]]&lt;OFFSET(_34445073613_asp[[#This Row],[instance]],-1,0), OFFSET(_34445073613_asp[[#This Row],[model]],-1,0)+1, OFFSET(_34445073613_asp[[#This Row],[model]],-1,0))</f>
        <v>2</v>
      </c>
      <c r="B84">
        <v>2</v>
      </c>
      <c r="H84" s="5">
        <v>6.9444444444444441E-3</v>
      </c>
      <c r="I84" s="5">
        <v>4.7525462962962964E-3</v>
      </c>
      <c r="O84" s="1"/>
    </row>
    <row r="85" spans="1:15" x14ac:dyDescent="0.25">
      <c r="A85">
        <f ca="1">IF(_34445073613_asp[[#This Row],[instance]]&lt;OFFSET(_34445073613_asp[[#This Row],[instance]],-1,0), OFFSET(_34445073613_asp[[#This Row],[model]],-1,0)+1, OFFSET(_34445073613_asp[[#This Row],[model]],-1,0))</f>
        <v>2</v>
      </c>
      <c r="B85">
        <v>3</v>
      </c>
      <c r="C85" s="5">
        <v>3.6587962962962963E-3</v>
      </c>
      <c r="D85">
        <v>0</v>
      </c>
      <c r="E85">
        <v>0</v>
      </c>
      <c r="F85">
        <v>0</v>
      </c>
      <c r="H85" s="5">
        <v>6.9444444444444441E-3</v>
      </c>
      <c r="I85" s="5">
        <v>4.7525462962962964E-3</v>
      </c>
      <c r="O85" s="1"/>
    </row>
    <row r="86" spans="1:15" x14ac:dyDescent="0.25">
      <c r="A86">
        <f ca="1">IF(_34445073613_asp[[#This Row],[instance]]&lt;OFFSET(_34445073613_asp[[#This Row],[instance]],-1,0), OFFSET(_34445073613_asp[[#This Row],[model]],-1,0)+1, OFFSET(_34445073613_asp[[#This Row],[model]],-1,0))</f>
        <v>2</v>
      </c>
      <c r="B86">
        <v>3</v>
      </c>
      <c r="C86" s="5">
        <v>3.6587962962962963E-3</v>
      </c>
      <c r="D86">
        <v>1.875</v>
      </c>
      <c r="E86">
        <v>2</v>
      </c>
      <c r="F86">
        <v>1</v>
      </c>
      <c r="H86" s="5">
        <v>6.9444444444444441E-3</v>
      </c>
      <c r="I86" s="5">
        <v>4.7525462962962964E-3</v>
      </c>
      <c r="O86" s="1"/>
    </row>
    <row r="87" spans="1:15" x14ac:dyDescent="0.25">
      <c r="A87">
        <f ca="1">IF(_34445073613_asp[[#This Row],[instance]]&lt;OFFSET(_34445073613_asp[[#This Row],[instance]],-1,0), OFFSET(_34445073613_asp[[#This Row],[model]],-1,0)+1, OFFSET(_34445073613_asp[[#This Row],[model]],-1,0))</f>
        <v>2</v>
      </c>
      <c r="B87">
        <v>3</v>
      </c>
      <c r="C87" s="5">
        <v>3.6589120370370369E-3</v>
      </c>
      <c r="D87">
        <v>3.875</v>
      </c>
      <c r="E87">
        <v>4</v>
      </c>
      <c r="F87">
        <v>2</v>
      </c>
      <c r="H87" s="5">
        <v>6.9444444444444441E-3</v>
      </c>
      <c r="I87" s="5">
        <v>4.7525462962962964E-3</v>
      </c>
      <c r="O87" s="1"/>
    </row>
    <row r="88" spans="1:15" x14ac:dyDescent="0.25">
      <c r="A88">
        <f ca="1">IF(_34445073613_asp[[#This Row],[instance]]&lt;OFFSET(_34445073613_asp[[#This Row],[instance]],-1,0), OFFSET(_34445073613_asp[[#This Row],[model]],-1,0)+1, OFFSET(_34445073613_asp[[#This Row],[model]],-1,0))</f>
        <v>2</v>
      </c>
      <c r="B88">
        <v>3</v>
      </c>
      <c r="C88" s="5">
        <v>3.6589120370370369E-3</v>
      </c>
      <c r="D88">
        <v>5.625</v>
      </c>
      <c r="E88">
        <v>6</v>
      </c>
      <c r="F88">
        <v>3</v>
      </c>
      <c r="H88" s="5">
        <v>6.9444444444444441E-3</v>
      </c>
      <c r="I88" s="5">
        <v>4.7525462962962964E-3</v>
      </c>
      <c r="O88" s="1"/>
    </row>
    <row r="89" spans="1:15" x14ac:dyDescent="0.25">
      <c r="A89">
        <f ca="1">IF(_34445073613_asp[[#This Row],[instance]]&lt;OFFSET(_34445073613_asp[[#This Row],[instance]],-1,0), OFFSET(_34445073613_asp[[#This Row],[model]],-1,0)+1, OFFSET(_34445073613_asp[[#This Row],[model]],-1,0))</f>
        <v>2</v>
      </c>
      <c r="B89">
        <v>3</v>
      </c>
      <c r="C89" s="5">
        <v>3.6589120370370369E-3</v>
      </c>
      <c r="D89">
        <v>5.875</v>
      </c>
      <c r="E89">
        <v>6</v>
      </c>
      <c r="F89">
        <v>3</v>
      </c>
      <c r="H89" s="5">
        <v>6.9444444444444441E-3</v>
      </c>
      <c r="I89" s="5">
        <v>4.7525462962962964E-3</v>
      </c>
      <c r="O89" s="1"/>
    </row>
    <row r="90" spans="1:15" x14ac:dyDescent="0.25">
      <c r="A90">
        <f ca="1">IF(_34445073613_asp[[#This Row],[instance]]&lt;OFFSET(_34445073613_asp[[#This Row],[instance]],-1,0), OFFSET(_34445073613_asp[[#This Row],[model]],-1,0)+1, OFFSET(_34445073613_asp[[#This Row],[model]],-1,0))</f>
        <v>2</v>
      </c>
      <c r="B90">
        <v>3</v>
      </c>
      <c r="C90" s="5">
        <v>3.6589120370370369E-3</v>
      </c>
      <c r="D90">
        <v>9.625</v>
      </c>
      <c r="E90">
        <v>12</v>
      </c>
      <c r="F90">
        <v>4</v>
      </c>
      <c r="H90" s="5">
        <v>6.9444444444444441E-3</v>
      </c>
      <c r="I90" s="5">
        <v>4.7525462962962964E-3</v>
      </c>
      <c r="O90" s="1"/>
    </row>
    <row r="91" spans="1:15" x14ac:dyDescent="0.25">
      <c r="A91">
        <f ca="1">IF(_34445073613_asp[[#This Row],[instance]]&lt;OFFSET(_34445073613_asp[[#This Row],[instance]],-1,0), OFFSET(_34445073613_asp[[#This Row],[model]],-1,0)+1, OFFSET(_34445073613_asp[[#This Row],[model]],-1,0))</f>
        <v>2</v>
      </c>
      <c r="B91">
        <v>3</v>
      </c>
      <c r="C91" s="5">
        <v>3.6590277777777775E-3</v>
      </c>
      <c r="D91">
        <v>9.625</v>
      </c>
      <c r="E91">
        <v>12</v>
      </c>
      <c r="F91">
        <v>3</v>
      </c>
      <c r="H91" s="5">
        <v>6.9444444444444441E-3</v>
      </c>
      <c r="I91" s="5">
        <v>4.7525462962962964E-3</v>
      </c>
      <c r="O91" s="1"/>
    </row>
    <row r="92" spans="1:15" x14ac:dyDescent="0.25">
      <c r="A92">
        <f ca="1">IF(_34445073613_asp[[#This Row],[instance]]&lt;OFFSET(_34445073613_asp[[#This Row],[instance]],-1,0), OFFSET(_34445073613_asp[[#This Row],[model]],-1,0)+1, OFFSET(_34445073613_asp[[#This Row],[model]],-1,0))</f>
        <v>2</v>
      </c>
      <c r="B92">
        <v>4</v>
      </c>
      <c r="C92" s="5">
        <v>2.2170138888888886E-3</v>
      </c>
      <c r="D92">
        <v>0</v>
      </c>
      <c r="E92">
        <v>0</v>
      </c>
      <c r="F92">
        <v>0</v>
      </c>
      <c r="H92" s="5">
        <v>6.9444444444444441E-3</v>
      </c>
      <c r="I92" s="5">
        <v>4.7525462962962964E-3</v>
      </c>
      <c r="O92" s="1"/>
    </row>
    <row r="93" spans="1:15" x14ac:dyDescent="0.25">
      <c r="A93">
        <f ca="1">IF(_34445073613_asp[[#This Row],[instance]]&lt;OFFSET(_34445073613_asp[[#This Row],[instance]],-1,0), OFFSET(_34445073613_asp[[#This Row],[model]],-1,0)+1, OFFSET(_34445073613_asp[[#This Row],[model]],-1,0))</f>
        <v>2</v>
      </c>
      <c r="B93">
        <v>4</v>
      </c>
      <c r="C93" s="5">
        <v>2.2171296296296297E-3</v>
      </c>
      <c r="D93">
        <v>2.625</v>
      </c>
      <c r="E93">
        <v>4</v>
      </c>
      <c r="F93">
        <v>1</v>
      </c>
      <c r="H93" s="5">
        <v>6.9444444444444441E-3</v>
      </c>
      <c r="I93" s="5">
        <v>4.7525462962962964E-3</v>
      </c>
      <c r="O93" s="1"/>
    </row>
    <row r="94" spans="1:15" x14ac:dyDescent="0.25">
      <c r="A94">
        <f ca="1">IF(_34445073613_asp[[#This Row],[instance]]&lt;OFFSET(_34445073613_asp[[#This Row],[instance]],-1,0), OFFSET(_34445073613_asp[[#This Row],[model]],-1,0)+1, OFFSET(_34445073613_asp[[#This Row],[model]],-1,0))</f>
        <v>2</v>
      </c>
      <c r="B94">
        <v>4</v>
      </c>
      <c r="C94" s="5">
        <v>2.2179398148148145E-3</v>
      </c>
      <c r="D94">
        <v>3</v>
      </c>
      <c r="E94">
        <v>4</v>
      </c>
      <c r="F94">
        <v>1</v>
      </c>
      <c r="H94" s="5">
        <v>6.9444444444444441E-3</v>
      </c>
      <c r="I94" s="5">
        <v>4.7525462962962964E-3</v>
      </c>
      <c r="O94" s="1"/>
    </row>
    <row r="95" spans="1:15" x14ac:dyDescent="0.25">
      <c r="A95">
        <f ca="1">IF(_34445073613_asp[[#This Row],[instance]]&lt;OFFSET(_34445073613_asp[[#This Row],[instance]],-1,0), OFFSET(_34445073613_asp[[#This Row],[model]],-1,0)+1, OFFSET(_34445073613_asp[[#This Row],[model]],-1,0))</f>
        <v>2</v>
      </c>
      <c r="B95">
        <v>4</v>
      </c>
      <c r="C95" s="5">
        <v>2.2179398148148145E-3</v>
      </c>
      <c r="D95">
        <v>3.375</v>
      </c>
      <c r="E95">
        <v>5</v>
      </c>
      <c r="F95">
        <v>1</v>
      </c>
      <c r="H95" s="5">
        <v>6.9444444444444441E-3</v>
      </c>
      <c r="I95" s="5">
        <v>4.7525462962962964E-3</v>
      </c>
      <c r="O95" s="1"/>
    </row>
    <row r="96" spans="1:15" x14ac:dyDescent="0.25">
      <c r="A96">
        <f ca="1">IF(_34445073613_asp[[#This Row],[instance]]&lt;OFFSET(_34445073613_asp[[#This Row],[instance]],-1,0), OFFSET(_34445073613_asp[[#This Row],[model]],-1,0)+1, OFFSET(_34445073613_asp[[#This Row],[model]],-1,0))</f>
        <v>2</v>
      </c>
      <c r="B96">
        <v>4</v>
      </c>
      <c r="C96" s="5">
        <v>2.2229166666666664E-3</v>
      </c>
      <c r="D96">
        <v>3.75</v>
      </c>
      <c r="E96">
        <v>5</v>
      </c>
      <c r="F96">
        <v>1</v>
      </c>
      <c r="H96" s="5">
        <v>6.9444444444444441E-3</v>
      </c>
      <c r="I96" s="5">
        <v>4.7525462962962964E-3</v>
      </c>
      <c r="O96" s="1"/>
    </row>
    <row r="97" spans="1:15" x14ac:dyDescent="0.25">
      <c r="A97">
        <f ca="1">IF(_34445073613_asp[[#This Row],[instance]]&lt;OFFSET(_34445073613_asp[[#This Row],[instance]],-1,0), OFFSET(_34445073613_asp[[#This Row],[model]],-1,0)+1, OFFSET(_34445073613_asp[[#This Row],[model]],-1,0))</f>
        <v>2</v>
      </c>
      <c r="B97">
        <v>4</v>
      </c>
      <c r="C97" s="5">
        <v>2.2253472222222223E-3</v>
      </c>
      <c r="D97">
        <v>4.125</v>
      </c>
      <c r="E97">
        <v>6</v>
      </c>
      <c r="F97">
        <v>1</v>
      </c>
      <c r="H97" s="5">
        <v>6.9444444444444441E-3</v>
      </c>
      <c r="I97" s="5">
        <v>4.7525462962962964E-3</v>
      </c>
      <c r="O97" s="1"/>
    </row>
    <row r="98" spans="1:15" x14ac:dyDescent="0.25">
      <c r="A98">
        <f ca="1">IF(_34445073613_asp[[#This Row],[instance]]&lt;OFFSET(_34445073613_asp[[#This Row],[instance]],-1,0), OFFSET(_34445073613_asp[[#This Row],[model]],-1,0)+1, OFFSET(_34445073613_asp[[#This Row],[model]],-1,0))</f>
        <v>2</v>
      </c>
      <c r="B98">
        <v>4</v>
      </c>
      <c r="C98" s="5">
        <v>2.2266203703703701E-3</v>
      </c>
      <c r="D98">
        <v>4.5</v>
      </c>
      <c r="E98">
        <v>6</v>
      </c>
      <c r="F98">
        <v>1</v>
      </c>
      <c r="H98" s="5">
        <v>6.9444444444444441E-3</v>
      </c>
      <c r="I98" s="5">
        <v>4.7525462962962964E-3</v>
      </c>
      <c r="O98" s="1"/>
    </row>
    <row r="99" spans="1:15" x14ac:dyDescent="0.25">
      <c r="A99">
        <f ca="1">IF(_34445073613_asp[[#This Row],[instance]]&lt;OFFSET(_34445073613_asp[[#This Row],[instance]],-1,0), OFFSET(_34445073613_asp[[#This Row],[model]],-1,0)+1, OFFSET(_34445073613_asp[[#This Row],[model]],-1,0))</f>
        <v>2</v>
      </c>
      <c r="B99">
        <v>5</v>
      </c>
      <c r="C99" s="5">
        <v>1.2127314814814815E-3</v>
      </c>
      <c r="D99">
        <v>0</v>
      </c>
      <c r="E99">
        <v>0</v>
      </c>
      <c r="F99">
        <v>0</v>
      </c>
      <c r="G99" s="5">
        <v>1.2081018518518517E-3</v>
      </c>
      <c r="H99" s="5">
        <v>1.2297453703703704E-3</v>
      </c>
      <c r="I99" s="5">
        <v>4.7525462962962964E-3</v>
      </c>
      <c r="O99" s="1"/>
    </row>
    <row r="100" spans="1:15" x14ac:dyDescent="0.25">
      <c r="A100">
        <f ca="1">IF(_34445073613_asp[[#This Row],[instance]]&lt;OFFSET(_34445073613_asp[[#This Row],[instance]],-1,0), OFFSET(_34445073613_asp[[#This Row],[model]],-1,0)+1, OFFSET(_34445073613_asp[[#This Row],[model]],-1,0))</f>
        <v>2</v>
      </c>
      <c r="B100">
        <v>5</v>
      </c>
      <c r="C100" s="5">
        <v>1.2127314814814815E-3</v>
      </c>
      <c r="D100">
        <v>1.875</v>
      </c>
      <c r="E100">
        <v>2</v>
      </c>
      <c r="F100">
        <v>1</v>
      </c>
      <c r="G100" s="5">
        <v>1.2081018518518517E-3</v>
      </c>
      <c r="H100" s="5">
        <v>1.2297453703703704E-3</v>
      </c>
      <c r="I100" s="5">
        <v>4.7525462962962964E-3</v>
      </c>
      <c r="O100" s="1"/>
    </row>
    <row r="101" spans="1:15" x14ac:dyDescent="0.25">
      <c r="A101">
        <f ca="1">IF(_34445073613_asp[[#This Row],[instance]]&lt;OFFSET(_34445073613_asp[[#This Row],[instance]],-1,0), OFFSET(_34445073613_asp[[#This Row],[model]],-1,0)+1, OFFSET(_34445073613_asp[[#This Row],[model]],-1,0))</f>
        <v>2</v>
      </c>
      <c r="B101">
        <v>5</v>
      </c>
      <c r="C101" s="5">
        <v>1.2127314814814815E-3</v>
      </c>
      <c r="D101">
        <v>3.375</v>
      </c>
      <c r="E101">
        <v>3</v>
      </c>
      <c r="F101">
        <v>2</v>
      </c>
      <c r="G101" s="5">
        <v>1.2081018518518517E-3</v>
      </c>
      <c r="H101" s="5">
        <v>1.2297453703703704E-3</v>
      </c>
      <c r="I101" s="5">
        <v>4.7525462962962964E-3</v>
      </c>
      <c r="O101" s="1"/>
    </row>
    <row r="102" spans="1:15" x14ac:dyDescent="0.25">
      <c r="A102">
        <f ca="1">IF(_34445073613_asp[[#This Row],[instance]]&lt;OFFSET(_34445073613_asp[[#This Row],[instance]],-1,0), OFFSET(_34445073613_asp[[#This Row],[model]],-1,0)+1, OFFSET(_34445073613_asp[[#This Row],[model]],-1,0))</f>
        <v>2</v>
      </c>
      <c r="B102">
        <v>5</v>
      </c>
      <c r="C102" s="5">
        <v>1.2127314814814815E-3</v>
      </c>
      <c r="D102">
        <v>4.875</v>
      </c>
      <c r="E102">
        <v>4</v>
      </c>
      <c r="F102">
        <v>3</v>
      </c>
      <c r="G102" s="5">
        <v>1.2081018518518517E-3</v>
      </c>
      <c r="H102" s="5">
        <v>1.2297453703703704E-3</v>
      </c>
      <c r="I102" s="5">
        <v>4.7525462962962964E-3</v>
      </c>
      <c r="O102" s="1"/>
    </row>
    <row r="103" spans="1:15" x14ac:dyDescent="0.25">
      <c r="A103">
        <f ca="1">IF(_34445073613_asp[[#This Row],[instance]]&lt;OFFSET(_34445073613_asp[[#This Row],[instance]],-1,0), OFFSET(_34445073613_asp[[#This Row],[model]],-1,0)+1, OFFSET(_34445073613_asp[[#This Row],[model]],-1,0))</f>
        <v>2</v>
      </c>
      <c r="B103">
        <v>5</v>
      </c>
      <c r="C103" s="5">
        <v>1.2127314814814815E-3</v>
      </c>
      <c r="D103">
        <v>4.875</v>
      </c>
      <c r="E103">
        <v>4</v>
      </c>
      <c r="F103">
        <v>2</v>
      </c>
      <c r="G103" s="5">
        <v>1.2081018518518517E-3</v>
      </c>
      <c r="H103" s="5">
        <v>1.2297453703703704E-3</v>
      </c>
      <c r="I103" s="5">
        <v>4.7525462962962964E-3</v>
      </c>
      <c r="O103" s="1"/>
    </row>
    <row r="104" spans="1:15" x14ac:dyDescent="0.25">
      <c r="A104">
        <f ca="1">IF(_34445073613_asp[[#This Row],[instance]]&lt;OFFSET(_34445073613_asp[[#This Row],[instance]],-1,0), OFFSET(_34445073613_asp[[#This Row],[model]],-1,0)+1, OFFSET(_34445073613_asp[[#This Row],[model]],-1,0))</f>
        <v>2</v>
      </c>
      <c r="B104">
        <v>5</v>
      </c>
      <c r="C104" s="5">
        <v>1.2127314814814815E-3</v>
      </c>
      <c r="D104">
        <v>6</v>
      </c>
      <c r="E104">
        <v>4</v>
      </c>
      <c r="F104">
        <v>4</v>
      </c>
      <c r="G104" s="5">
        <v>1.2081018518518517E-3</v>
      </c>
      <c r="H104" s="5">
        <v>1.2297453703703704E-3</v>
      </c>
      <c r="I104" s="5">
        <v>4.7525462962962964E-3</v>
      </c>
      <c r="O104" s="1"/>
    </row>
    <row r="105" spans="1:15" x14ac:dyDescent="0.25">
      <c r="A105">
        <f ca="1">IF(_34445073613_asp[[#This Row],[instance]]&lt;OFFSET(_34445073613_asp[[#This Row],[instance]],-1,0), OFFSET(_34445073613_asp[[#This Row],[model]],-1,0)+1, OFFSET(_34445073613_asp[[#This Row],[model]],-1,0))</f>
        <v>2</v>
      </c>
      <c r="B105">
        <v>5</v>
      </c>
      <c r="C105" s="5">
        <v>1.2127314814814815E-3</v>
      </c>
      <c r="D105">
        <v>6.375</v>
      </c>
      <c r="E105">
        <v>5</v>
      </c>
      <c r="F105">
        <v>4</v>
      </c>
      <c r="G105" s="5">
        <v>1.2081018518518517E-3</v>
      </c>
      <c r="H105" s="5">
        <v>1.2297453703703704E-3</v>
      </c>
      <c r="I105" s="5">
        <v>4.7525462962962964E-3</v>
      </c>
      <c r="O105" s="1"/>
    </row>
    <row r="106" spans="1:15" x14ac:dyDescent="0.25">
      <c r="A106">
        <f ca="1">IF(_34445073613_asp[[#This Row],[instance]]&lt;OFFSET(_34445073613_asp[[#This Row],[instance]],-1,0), OFFSET(_34445073613_asp[[#This Row],[model]],-1,0)+1, OFFSET(_34445073613_asp[[#This Row],[model]],-1,0))</f>
        <v>2</v>
      </c>
      <c r="B106">
        <v>5</v>
      </c>
      <c r="C106" s="5">
        <v>1.2127314814814815E-3</v>
      </c>
      <c r="D106">
        <v>6.375</v>
      </c>
      <c r="E106">
        <v>5</v>
      </c>
      <c r="F106">
        <v>3</v>
      </c>
      <c r="G106" s="5">
        <v>1.2081018518518517E-3</v>
      </c>
      <c r="H106" s="5">
        <v>1.2297453703703704E-3</v>
      </c>
      <c r="I106" s="5">
        <v>4.7525462962962964E-3</v>
      </c>
      <c r="O106" s="1"/>
    </row>
    <row r="107" spans="1:15" x14ac:dyDescent="0.25">
      <c r="A107">
        <f ca="1">IF(_34445073613_asp[[#This Row],[instance]]&lt;OFFSET(_34445073613_asp[[#This Row],[instance]],-1,0), OFFSET(_34445073613_asp[[#This Row],[model]],-1,0)+1, OFFSET(_34445073613_asp[[#This Row],[model]],-1,0))</f>
        <v>2</v>
      </c>
      <c r="B107">
        <v>5</v>
      </c>
      <c r="C107" s="5">
        <v>1.2128472222222221E-3</v>
      </c>
      <c r="D107">
        <v>7.375</v>
      </c>
      <c r="E107">
        <v>6</v>
      </c>
      <c r="F107">
        <v>3</v>
      </c>
      <c r="G107" s="5">
        <v>1.2081018518518517E-3</v>
      </c>
      <c r="H107" s="5">
        <v>1.2297453703703704E-3</v>
      </c>
      <c r="I107" s="5">
        <v>4.7525462962962964E-3</v>
      </c>
      <c r="O107" s="1"/>
    </row>
    <row r="108" spans="1:15" x14ac:dyDescent="0.25">
      <c r="A108">
        <f ca="1">IF(_34445073613_asp[[#This Row],[instance]]&lt;OFFSET(_34445073613_asp[[#This Row],[instance]],-1,0), OFFSET(_34445073613_asp[[#This Row],[model]],-1,0)+1, OFFSET(_34445073613_asp[[#This Row],[model]],-1,0))</f>
        <v>2</v>
      </c>
      <c r="B108">
        <v>5</v>
      </c>
      <c r="C108" s="5">
        <v>1.2128472222222221E-3</v>
      </c>
      <c r="D108">
        <v>7.375</v>
      </c>
      <c r="E108">
        <v>6</v>
      </c>
      <c r="F108">
        <v>2</v>
      </c>
      <c r="G108" s="5">
        <v>1.2081018518518517E-3</v>
      </c>
      <c r="H108" s="5">
        <v>1.2297453703703704E-3</v>
      </c>
      <c r="I108" s="5">
        <v>4.7525462962962964E-3</v>
      </c>
      <c r="O108" s="1"/>
    </row>
    <row r="109" spans="1:15" x14ac:dyDescent="0.25">
      <c r="A109">
        <f ca="1">IF(_34445073613_asp[[#This Row],[instance]]&lt;OFFSET(_34445073613_asp[[#This Row],[instance]],-1,0), OFFSET(_34445073613_asp[[#This Row],[model]],-1,0)+1, OFFSET(_34445073613_asp[[#This Row],[model]],-1,0))</f>
        <v>2</v>
      </c>
      <c r="B109">
        <v>5</v>
      </c>
      <c r="C109" s="5">
        <v>1.2128472222222221E-3</v>
      </c>
      <c r="D109">
        <v>7.75</v>
      </c>
      <c r="E109">
        <v>7</v>
      </c>
      <c r="F109">
        <v>2</v>
      </c>
      <c r="G109" s="5">
        <v>1.2081018518518517E-3</v>
      </c>
      <c r="H109" s="5">
        <v>1.2297453703703704E-3</v>
      </c>
      <c r="I109" s="5">
        <v>4.7525462962962964E-3</v>
      </c>
      <c r="O109" s="1"/>
    </row>
    <row r="110" spans="1:15" x14ac:dyDescent="0.25">
      <c r="A110">
        <f ca="1">IF(_34445073613_asp[[#This Row],[instance]]&lt;OFFSET(_34445073613_asp[[#This Row],[instance]],-1,0), OFFSET(_34445073613_asp[[#This Row],[model]],-1,0)+1, OFFSET(_34445073613_asp[[#This Row],[model]],-1,0))</f>
        <v>2</v>
      </c>
      <c r="B110">
        <v>6</v>
      </c>
      <c r="C110" s="5">
        <v>2.0934027777777778E-3</v>
      </c>
      <c r="D110">
        <v>0</v>
      </c>
      <c r="E110">
        <v>0</v>
      </c>
      <c r="F110">
        <v>0</v>
      </c>
      <c r="H110" s="5">
        <v>6.9444444444444441E-3</v>
      </c>
      <c r="I110" s="5">
        <v>4.7525462962962964E-3</v>
      </c>
      <c r="O110" s="1"/>
    </row>
    <row r="111" spans="1:15" x14ac:dyDescent="0.25">
      <c r="A111">
        <f ca="1">IF(_34445073613_asp[[#This Row],[instance]]&lt;OFFSET(_34445073613_asp[[#This Row],[instance]],-1,0), OFFSET(_34445073613_asp[[#This Row],[model]],-1,0)+1, OFFSET(_34445073613_asp[[#This Row],[model]],-1,0))</f>
        <v>2</v>
      </c>
      <c r="B111">
        <v>6</v>
      </c>
      <c r="C111" s="5">
        <v>2.0934027777777778E-3</v>
      </c>
      <c r="D111">
        <v>1.875</v>
      </c>
      <c r="E111">
        <v>2</v>
      </c>
      <c r="F111">
        <v>1</v>
      </c>
      <c r="H111" s="5">
        <v>6.9444444444444441E-3</v>
      </c>
      <c r="I111" s="5">
        <v>4.7525462962962964E-3</v>
      </c>
      <c r="O111" s="1"/>
    </row>
    <row r="112" spans="1:15" x14ac:dyDescent="0.25">
      <c r="A112">
        <f ca="1">IF(_34445073613_asp[[#This Row],[instance]]&lt;OFFSET(_34445073613_asp[[#This Row],[instance]],-1,0), OFFSET(_34445073613_asp[[#This Row],[model]],-1,0)+1, OFFSET(_34445073613_asp[[#This Row],[model]],-1,0))</f>
        <v>2</v>
      </c>
      <c r="B112">
        <v>6</v>
      </c>
      <c r="C112" s="5">
        <v>2.0934027777777778E-3</v>
      </c>
      <c r="D112">
        <v>3</v>
      </c>
      <c r="E112">
        <v>1</v>
      </c>
      <c r="F112">
        <v>1</v>
      </c>
      <c r="H112" s="5">
        <v>6.9444444444444441E-3</v>
      </c>
      <c r="I112" s="5">
        <v>4.7525462962962964E-3</v>
      </c>
      <c r="O112" s="1"/>
    </row>
    <row r="113" spans="1:15" x14ac:dyDescent="0.25">
      <c r="A113">
        <f ca="1">IF(_34445073613_asp[[#This Row],[instance]]&lt;OFFSET(_34445073613_asp[[#This Row],[instance]],-1,0), OFFSET(_34445073613_asp[[#This Row],[model]],-1,0)+1, OFFSET(_34445073613_asp[[#This Row],[model]],-1,0))</f>
        <v>2</v>
      </c>
      <c r="B113">
        <v>6</v>
      </c>
      <c r="C113" s="5">
        <v>2.0934027777777778E-3</v>
      </c>
      <c r="D113">
        <v>4.875</v>
      </c>
      <c r="E113">
        <v>3</v>
      </c>
      <c r="F113">
        <v>2</v>
      </c>
      <c r="H113" s="5">
        <v>6.9444444444444441E-3</v>
      </c>
      <c r="I113" s="5">
        <v>4.7525462962962964E-3</v>
      </c>
      <c r="O113" s="1"/>
    </row>
    <row r="114" spans="1:15" x14ac:dyDescent="0.25">
      <c r="A114">
        <f ca="1">IF(_34445073613_asp[[#This Row],[instance]]&lt;OFFSET(_34445073613_asp[[#This Row],[instance]],-1,0), OFFSET(_34445073613_asp[[#This Row],[model]],-1,0)+1, OFFSET(_34445073613_asp[[#This Row],[model]],-1,0))</f>
        <v>2</v>
      </c>
      <c r="B114">
        <v>6</v>
      </c>
      <c r="C114" s="5">
        <v>2.0934027777777778E-3</v>
      </c>
      <c r="D114">
        <v>6</v>
      </c>
      <c r="E114">
        <v>2</v>
      </c>
      <c r="F114">
        <v>2</v>
      </c>
      <c r="H114" s="5">
        <v>6.9444444444444441E-3</v>
      </c>
      <c r="I114" s="5">
        <v>4.7525462962962964E-3</v>
      </c>
      <c r="O114" s="1"/>
    </row>
    <row r="115" spans="1:15" x14ac:dyDescent="0.25">
      <c r="A115">
        <f ca="1">IF(_34445073613_asp[[#This Row],[instance]]&lt;OFFSET(_34445073613_asp[[#This Row],[instance]],-1,0), OFFSET(_34445073613_asp[[#This Row],[model]],-1,0)+1, OFFSET(_34445073613_asp[[#This Row],[model]],-1,0))</f>
        <v>2</v>
      </c>
      <c r="B115">
        <v>6</v>
      </c>
      <c r="C115" s="5">
        <v>2.0934027777777778E-3</v>
      </c>
      <c r="D115">
        <v>7.875</v>
      </c>
      <c r="E115">
        <v>4</v>
      </c>
      <c r="F115">
        <v>3</v>
      </c>
      <c r="H115" s="5">
        <v>6.9444444444444441E-3</v>
      </c>
      <c r="I115" s="5">
        <v>4.7525462962962964E-3</v>
      </c>
      <c r="O115" s="1"/>
    </row>
    <row r="116" spans="1:15" x14ac:dyDescent="0.25">
      <c r="A116">
        <f ca="1">IF(_34445073613_asp[[#This Row],[instance]]&lt;OFFSET(_34445073613_asp[[#This Row],[instance]],-1,0), OFFSET(_34445073613_asp[[#This Row],[model]],-1,0)+1, OFFSET(_34445073613_asp[[#This Row],[model]],-1,0))</f>
        <v>2</v>
      </c>
      <c r="B116">
        <v>6</v>
      </c>
      <c r="C116" s="5">
        <v>2.0934027777777778E-3</v>
      </c>
      <c r="D116">
        <v>9</v>
      </c>
      <c r="E116">
        <v>3</v>
      </c>
      <c r="F116">
        <v>3</v>
      </c>
      <c r="H116" s="5">
        <v>6.9444444444444441E-3</v>
      </c>
      <c r="I116" s="5">
        <v>4.7525462962962964E-3</v>
      </c>
      <c r="O116" s="1"/>
    </row>
    <row r="117" spans="1:15" x14ac:dyDescent="0.25">
      <c r="A117">
        <f ca="1">IF(_34445073613_asp[[#This Row],[instance]]&lt;OFFSET(_34445073613_asp[[#This Row],[instance]],-1,0), OFFSET(_34445073613_asp[[#This Row],[model]],-1,0)+1, OFFSET(_34445073613_asp[[#This Row],[model]],-1,0))</f>
        <v>2</v>
      </c>
      <c r="B117">
        <v>6</v>
      </c>
      <c r="C117" s="5">
        <v>2.0934027777777778E-3</v>
      </c>
      <c r="D117">
        <v>10.875</v>
      </c>
      <c r="E117">
        <v>5</v>
      </c>
      <c r="F117">
        <v>4</v>
      </c>
      <c r="H117" s="5">
        <v>6.9444444444444441E-3</v>
      </c>
      <c r="I117" s="5">
        <v>4.7525462962962964E-3</v>
      </c>
      <c r="O117" s="1"/>
    </row>
    <row r="118" spans="1:15" x14ac:dyDescent="0.25">
      <c r="A118">
        <f ca="1">IF(_34445073613_asp[[#This Row],[instance]]&lt;OFFSET(_34445073613_asp[[#This Row],[instance]],-1,0), OFFSET(_34445073613_asp[[#This Row],[model]],-1,0)+1, OFFSET(_34445073613_asp[[#This Row],[model]],-1,0))</f>
        <v>2</v>
      </c>
      <c r="B118">
        <v>6</v>
      </c>
      <c r="C118" s="5">
        <v>2.0934027777777778E-3</v>
      </c>
      <c r="D118">
        <v>13.875</v>
      </c>
      <c r="E118">
        <v>6</v>
      </c>
      <c r="F118">
        <v>5</v>
      </c>
      <c r="H118" s="5">
        <v>6.9444444444444441E-3</v>
      </c>
      <c r="I118" s="5">
        <v>4.7525462962962964E-3</v>
      </c>
      <c r="O118" s="1"/>
    </row>
    <row r="119" spans="1:15" x14ac:dyDescent="0.25">
      <c r="A119">
        <f ca="1">IF(_34445073613_asp[[#This Row],[instance]]&lt;OFFSET(_34445073613_asp[[#This Row],[instance]],-1,0), OFFSET(_34445073613_asp[[#This Row],[model]],-1,0)+1, OFFSET(_34445073613_asp[[#This Row],[model]],-1,0))</f>
        <v>2</v>
      </c>
      <c r="B119">
        <v>6</v>
      </c>
      <c r="C119" s="5">
        <v>2.0935185185185184E-3</v>
      </c>
      <c r="D119">
        <v>15.375</v>
      </c>
      <c r="E119">
        <v>7</v>
      </c>
      <c r="F119">
        <v>6</v>
      </c>
      <c r="H119" s="5">
        <v>6.9444444444444441E-3</v>
      </c>
      <c r="I119" s="5">
        <v>4.7525462962962964E-3</v>
      </c>
      <c r="O119" s="1"/>
    </row>
    <row r="120" spans="1:15" x14ac:dyDescent="0.25">
      <c r="A120">
        <f ca="1">IF(_34445073613_asp[[#This Row],[instance]]&lt;OFFSET(_34445073613_asp[[#This Row],[instance]],-1,0), OFFSET(_34445073613_asp[[#This Row],[model]],-1,0)+1, OFFSET(_34445073613_asp[[#This Row],[model]],-1,0))</f>
        <v>2</v>
      </c>
      <c r="B120">
        <v>6</v>
      </c>
      <c r="C120" s="5">
        <v>2.0935185185185184E-3</v>
      </c>
      <c r="D120">
        <v>15.375</v>
      </c>
      <c r="E120">
        <v>7</v>
      </c>
      <c r="F120">
        <v>5</v>
      </c>
      <c r="H120" s="5">
        <v>6.9444444444444441E-3</v>
      </c>
      <c r="I120" s="5">
        <v>4.7525462962962964E-3</v>
      </c>
      <c r="O120" s="1"/>
    </row>
    <row r="121" spans="1:15" x14ac:dyDescent="0.25">
      <c r="A121">
        <f ca="1">IF(_34445073613_asp[[#This Row],[instance]]&lt;OFFSET(_34445073613_asp[[#This Row],[instance]],-1,0), OFFSET(_34445073613_asp[[#This Row],[model]],-1,0)+1, OFFSET(_34445073613_asp[[#This Row],[model]],-1,0))</f>
        <v>2</v>
      </c>
      <c r="B121">
        <v>6</v>
      </c>
      <c r="C121" s="5">
        <v>2.0936342592592591E-3</v>
      </c>
      <c r="D121">
        <v>16.125</v>
      </c>
      <c r="E121">
        <v>8</v>
      </c>
      <c r="F121">
        <v>5</v>
      </c>
      <c r="H121" s="5">
        <v>6.9444444444444441E-3</v>
      </c>
      <c r="I121" s="5">
        <v>4.7525462962962964E-3</v>
      </c>
      <c r="O121" s="1"/>
    </row>
    <row r="122" spans="1:15" x14ac:dyDescent="0.25">
      <c r="A122">
        <f ca="1">IF(_34445073613_asp[[#This Row],[instance]]&lt;OFFSET(_34445073613_asp[[#This Row],[instance]],-1,0), OFFSET(_34445073613_asp[[#This Row],[model]],-1,0)+1, OFFSET(_34445073613_asp[[#This Row],[model]],-1,0))</f>
        <v>2</v>
      </c>
      <c r="B122">
        <v>6</v>
      </c>
      <c r="C122" s="5">
        <v>2.0936342592592591E-3</v>
      </c>
      <c r="D122">
        <v>16.875</v>
      </c>
      <c r="E122">
        <v>10</v>
      </c>
      <c r="F122">
        <v>6</v>
      </c>
      <c r="H122" s="5">
        <v>6.9444444444444441E-3</v>
      </c>
      <c r="I122" s="5">
        <v>4.7525462962962964E-3</v>
      </c>
      <c r="O122" s="1"/>
    </row>
    <row r="123" spans="1:15" x14ac:dyDescent="0.25">
      <c r="A123">
        <f ca="1">IF(_34445073613_asp[[#This Row],[instance]]&lt;OFFSET(_34445073613_asp[[#This Row],[instance]],-1,0), OFFSET(_34445073613_asp[[#This Row],[model]],-1,0)+1, OFFSET(_34445073613_asp[[#This Row],[model]],-1,0))</f>
        <v>2</v>
      </c>
      <c r="B123">
        <v>6</v>
      </c>
      <c r="C123" s="5">
        <v>2.0937500000000001E-3</v>
      </c>
      <c r="D123">
        <v>17.25</v>
      </c>
      <c r="E123">
        <v>11</v>
      </c>
      <c r="F123">
        <v>6</v>
      </c>
      <c r="H123" s="5">
        <v>6.9444444444444441E-3</v>
      </c>
      <c r="I123" s="5">
        <v>4.7525462962962964E-3</v>
      </c>
      <c r="O123" s="1"/>
    </row>
    <row r="124" spans="1:15" x14ac:dyDescent="0.25">
      <c r="A124">
        <f ca="1">IF(_34445073613_asp[[#This Row],[instance]]&lt;OFFSET(_34445073613_asp[[#This Row],[instance]],-1,0), OFFSET(_34445073613_asp[[#This Row],[model]],-1,0)+1, OFFSET(_34445073613_asp[[#This Row],[model]],-1,0))</f>
        <v>2</v>
      </c>
      <c r="B124">
        <v>6</v>
      </c>
      <c r="C124" s="5">
        <v>2.0937500000000001E-3</v>
      </c>
      <c r="D124">
        <v>17.625</v>
      </c>
      <c r="E124">
        <v>12</v>
      </c>
      <c r="F124">
        <v>6</v>
      </c>
      <c r="H124" s="5">
        <v>6.9444444444444441E-3</v>
      </c>
      <c r="I124" s="5">
        <v>4.7525462962962964E-3</v>
      </c>
      <c r="O124" s="1"/>
    </row>
    <row r="125" spans="1:15" x14ac:dyDescent="0.25">
      <c r="A125">
        <f ca="1">IF(_34445073613_asp[[#This Row],[instance]]&lt;OFFSET(_34445073613_asp[[#This Row],[instance]],-1,0), OFFSET(_34445073613_asp[[#This Row],[model]],-1,0)+1, OFFSET(_34445073613_asp[[#This Row],[model]],-1,0))</f>
        <v>2</v>
      </c>
      <c r="B125">
        <v>7</v>
      </c>
      <c r="C125" s="5">
        <v>3.5752314814814815E-4</v>
      </c>
      <c r="D125">
        <v>0</v>
      </c>
      <c r="E125">
        <v>0</v>
      </c>
      <c r="F125">
        <v>0</v>
      </c>
      <c r="G125" s="5">
        <v>3.5324074074074072E-4</v>
      </c>
      <c r="H125" s="5">
        <v>3.5729166666666667E-4</v>
      </c>
      <c r="I125" s="5">
        <v>4.7525462962962964E-3</v>
      </c>
      <c r="O125" s="1"/>
    </row>
    <row r="126" spans="1:15" x14ac:dyDescent="0.25">
      <c r="A126">
        <f ca="1">IF(_34445073613_asp[[#This Row],[instance]]&lt;OFFSET(_34445073613_asp[[#This Row],[instance]],-1,0), OFFSET(_34445073613_asp[[#This Row],[model]],-1,0)+1, OFFSET(_34445073613_asp[[#This Row],[model]],-1,0))</f>
        <v>2</v>
      </c>
      <c r="B126">
        <v>7</v>
      </c>
      <c r="C126" s="5">
        <v>3.5763888888888889E-4</v>
      </c>
      <c r="D126">
        <v>3</v>
      </c>
      <c r="E126">
        <v>1</v>
      </c>
      <c r="F126">
        <v>1</v>
      </c>
      <c r="G126" s="5">
        <v>3.5324074074074072E-4</v>
      </c>
      <c r="H126" s="5">
        <v>3.5729166666666667E-4</v>
      </c>
      <c r="I126" s="5">
        <v>4.7525462962962964E-3</v>
      </c>
      <c r="O126" s="1"/>
    </row>
    <row r="127" spans="1:15" x14ac:dyDescent="0.25">
      <c r="A127">
        <f ca="1">IF(_34445073613_asp[[#This Row],[instance]]&lt;OFFSET(_34445073613_asp[[#This Row],[instance]],-1,0), OFFSET(_34445073613_asp[[#This Row],[model]],-1,0)+1, OFFSET(_34445073613_asp[[#This Row],[model]],-1,0))</f>
        <v>2</v>
      </c>
      <c r="B127">
        <v>7</v>
      </c>
      <c r="C127" s="5">
        <v>3.5763888888888889E-4</v>
      </c>
      <c r="D127">
        <v>6</v>
      </c>
      <c r="E127">
        <v>2</v>
      </c>
      <c r="F127">
        <v>2</v>
      </c>
      <c r="G127" s="5">
        <v>3.5324074074074072E-4</v>
      </c>
      <c r="H127" s="5">
        <v>3.5729166666666667E-4</v>
      </c>
      <c r="I127" s="5">
        <v>4.7525462962962964E-3</v>
      </c>
      <c r="O127" s="1"/>
    </row>
    <row r="128" spans="1:15" x14ac:dyDescent="0.25">
      <c r="A128">
        <f ca="1">IF(_34445073613_asp[[#This Row],[instance]]&lt;OFFSET(_34445073613_asp[[#This Row],[instance]],-1,0), OFFSET(_34445073613_asp[[#This Row],[model]],-1,0)+1, OFFSET(_34445073613_asp[[#This Row],[model]],-1,0))</f>
        <v>2</v>
      </c>
      <c r="B128">
        <v>7</v>
      </c>
      <c r="C128" s="5">
        <v>3.5763888888888889E-4</v>
      </c>
      <c r="D128">
        <v>9</v>
      </c>
      <c r="E128">
        <v>3</v>
      </c>
      <c r="F128">
        <v>3</v>
      </c>
      <c r="G128" s="5">
        <v>3.5324074074074072E-4</v>
      </c>
      <c r="H128" s="5">
        <v>3.5729166666666667E-4</v>
      </c>
      <c r="I128" s="5">
        <v>4.7525462962962964E-3</v>
      </c>
      <c r="O128" s="1"/>
    </row>
    <row r="129" spans="1:15" x14ac:dyDescent="0.25">
      <c r="A129">
        <f ca="1">IF(_34445073613_asp[[#This Row],[instance]]&lt;OFFSET(_34445073613_asp[[#This Row],[instance]],-1,0), OFFSET(_34445073613_asp[[#This Row],[model]],-1,0)+1, OFFSET(_34445073613_asp[[#This Row],[model]],-1,0))</f>
        <v>2</v>
      </c>
      <c r="B129">
        <v>7</v>
      </c>
      <c r="C129" s="5">
        <v>3.5763888888888889E-4</v>
      </c>
      <c r="D129">
        <v>12</v>
      </c>
      <c r="E129">
        <v>4</v>
      </c>
      <c r="F129">
        <v>4</v>
      </c>
      <c r="G129" s="5">
        <v>3.5324074074074072E-4</v>
      </c>
      <c r="H129" s="5">
        <v>3.5729166666666667E-4</v>
      </c>
      <c r="I129" s="5">
        <v>4.7525462962962964E-3</v>
      </c>
      <c r="O129" s="1"/>
    </row>
    <row r="130" spans="1:15" x14ac:dyDescent="0.25">
      <c r="A130">
        <f ca="1">IF(_34445073613_asp[[#This Row],[instance]]&lt;OFFSET(_34445073613_asp[[#This Row],[instance]],-1,0), OFFSET(_34445073613_asp[[#This Row],[model]],-1,0)+1, OFFSET(_34445073613_asp[[#This Row],[model]],-1,0))</f>
        <v>2</v>
      </c>
      <c r="B130">
        <v>8</v>
      </c>
      <c r="H130" s="5">
        <v>6.9444444444444441E-3</v>
      </c>
      <c r="I130" s="5">
        <v>4.7525462962962964E-3</v>
      </c>
      <c r="O130" s="1"/>
    </row>
    <row r="131" spans="1:15" x14ac:dyDescent="0.25">
      <c r="A131">
        <f ca="1">IF(_34445073613_asp[[#This Row],[instance]]&lt;OFFSET(_34445073613_asp[[#This Row],[instance]],-1,0), OFFSET(_34445073613_asp[[#This Row],[model]],-1,0)+1, OFFSET(_34445073613_asp[[#This Row],[model]],-1,0))</f>
        <v>2</v>
      </c>
      <c r="B131">
        <v>9</v>
      </c>
      <c r="C131" s="5">
        <v>1.5303240740740739E-3</v>
      </c>
      <c r="D131">
        <v>0</v>
      </c>
      <c r="E131">
        <v>0</v>
      </c>
      <c r="F131">
        <v>0</v>
      </c>
      <c r="G131" s="5">
        <v>1.5260416666666666E-3</v>
      </c>
      <c r="H131" s="5">
        <v>1.5260416666666666E-3</v>
      </c>
      <c r="I131" s="5">
        <v>4.7525462962962964E-3</v>
      </c>
      <c r="O131" s="1"/>
    </row>
    <row r="132" spans="1:15" x14ac:dyDescent="0.25">
      <c r="A132">
        <f ca="1">IF(_34445073613_asp[[#This Row],[instance]]&lt;OFFSET(_34445073613_asp[[#This Row],[instance]],-1,0), OFFSET(_34445073613_asp[[#This Row],[model]],-1,0)+1, OFFSET(_34445073613_asp[[#This Row],[model]],-1,0))</f>
        <v>2</v>
      </c>
      <c r="B132">
        <v>10</v>
      </c>
      <c r="C132" s="5">
        <v>1.4927083333333333E-3</v>
      </c>
      <c r="D132">
        <v>0</v>
      </c>
      <c r="E132">
        <v>0</v>
      </c>
      <c r="F132">
        <v>0</v>
      </c>
      <c r="G132" s="5">
        <v>1.4883101851851852E-3</v>
      </c>
      <c r="H132" s="5">
        <v>5.5921296296296292E-3</v>
      </c>
      <c r="I132" s="5">
        <v>4.7525462962962964E-3</v>
      </c>
      <c r="O132" s="1"/>
    </row>
    <row r="133" spans="1:15" x14ac:dyDescent="0.25">
      <c r="A133">
        <f ca="1">IF(_34445073613_asp[[#This Row],[instance]]&lt;OFFSET(_34445073613_asp[[#This Row],[instance]],-1,0), OFFSET(_34445073613_asp[[#This Row],[model]],-1,0)+1, OFFSET(_34445073613_asp[[#This Row],[model]],-1,0))</f>
        <v>2</v>
      </c>
      <c r="B133">
        <v>10</v>
      </c>
      <c r="C133" s="5">
        <v>1.4928240740740739E-3</v>
      </c>
      <c r="D133">
        <v>1.5</v>
      </c>
      <c r="E133">
        <v>1</v>
      </c>
      <c r="F133">
        <v>1</v>
      </c>
      <c r="G133" s="5">
        <v>1.4883101851851852E-3</v>
      </c>
      <c r="H133" s="5">
        <v>5.5921296296296292E-3</v>
      </c>
      <c r="I133" s="5">
        <v>4.7525462962962964E-3</v>
      </c>
      <c r="O133" s="1"/>
    </row>
    <row r="134" spans="1:15" x14ac:dyDescent="0.25">
      <c r="A134">
        <f ca="1">IF(_34445073613_asp[[#This Row],[instance]]&lt;OFFSET(_34445073613_asp[[#This Row],[instance]],-1,0), OFFSET(_34445073613_asp[[#This Row],[model]],-1,0)+1, OFFSET(_34445073613_asp[[#This Row],[model]],-1,0))</f>
        <v>2</v>
      </c>
      <c r="B134">
        <v>10</v>
      </c>
      <c r="C134" s="5">
        <v>1.4928240740740739E-3</v>
      </c>
      <c r="D134">
        <v>1.875</v>
      </c>
      <c r="E134">
        <v>2</v>
      </c>
      <c r="F134">
        <v>1</v>
      </c>
      <c r="G134" s="5">
        <v>1.4883101851851852E-3</v>
      </c>
      <c r="H134" s="5">
        <v>5.5921296296296292E-3</v>
      </c>
      <c r="I134" s="5">
        <v>4.7525462962962964E-3</v>
      </c>
      <c r="O134" s="1"/>
    </row>
    <row r="135" spans="1:15" x14ac:dyDescent="0.25">
      <c r="A135">
        <f ca="1">IF(_34445073613_asp[[#This Row],[instance]]&lt;OFFSET(_34445073613_asp[[#This Row],[instance]],-1,0), OFFSET(_34445073613_asp[[#This Row],[model]],-1,0)+1, OFFSET(_34445073613_asp[[#This Row],[model]],-1,0))</f>
        <v>2</v>
      </c>
      <c r="B135">
        <v>10</v>
      </c>
      <c r="C135" s="5">
        <v>1.4928240740740739E-3</v>
      </c>
      <c r="D135">
        <v>2.25</v>
      </c>
      <c r="E135">
        <v>3</v>
      </c>
      <c r="F135">
        <v>1</v>
      </c>
      <c r="G135" s="5">
        <v>1.4883101851851852E-3</v>
      </c>
      <c r="H135" s="5">
        <v>5.5921296296296292E-3</v>
      </c>
      <c r="I135" s="5">
        <v>4.7525462962962964E-3</v>
      </c>
      <c r="O135" s="1"/>
    </row>
    <row r="136" spans="1:15" x14ac:dyDescent="0.25">
      <c r="A136">
        <f ca="1">IF(_34445073613_asp[[#This Row],[instance]]&lt;OFFSET(_34445073613_asp[[#This Row],[instance]],-1,0), OFFSET(_34445073613_asp[[#This Row],[model]],-1,0)+1, OFFSET(_34445073613_asp[[#This Row],[model]],-1,0))</f>
        <v>2</v>
      </c>
      <c r="B136">
        <v>10</v>
      </c>
      <c r="C136" s="5">
        <v>1.4928240740740739E-3</v>
      </c>
      <c r="D136">
        <v>3.25</v>
      </c>
      <c r="E136">
        <v>4</v>
      </c>
      <c r="F136">
        <v>1</v>
      </c>
      <c r="G136" s="5">
        <v>1.4883101851851852E-3</v>
      </c>
      <c r="H136" s="5">
        <v>5.5921296296296292E-3</v>
      </c>
      <c r="I136" s="5">
        <v>4.7525462962962964E-3</v>
      </c>
      <c r="O136" s="1"/>
    </row>
    <row r="137" spans="1:15" x14ac:dyDescent="0.25">
      <c r="A137">
        <f ca="1">IF(_34445073613_asp[[#This Row],[instance]]&lt;OFFSET(_34445073613_asp[[#This Row],[instance]],-1,0), OFFSET(_34445073613_asp[[#This Row],[model]],-1,0)+1, OFFSET(_34445073613_asp[[#This Row],[model]],-1,0))</f>
        <v>2</v>
      </c>
      <c r="B137">
        <v>10</v>
      </c>
      <c r="C137" s="5">
        <v>1.4928240740740739E-3</v>
      </c>
      <c r="D137">
        <v>4</v>
      </c>
      <c r="E137">
        <v>5</v>
      </c>
      <c r="F137">
        <v>2</v>
      </c>
      <c r="G137" s="5">
        <v>1.4883101851851852E-3</v>
      </c>
      <c r="H137" s="5">
        <v>5.5921296296296292E-3</v>
      </c>
      <c r="I137" s="5">
        <v>4.7525462962962964E-3</v>
      </c>
      <c r="O137" s="1"/>
    </row>
    <row r="138" spans="1:15" x14ac:dyDescent="0.25">
      <c r="A138">
        <f ca="1">IF(_34445073613_asp[[#This Row],[instance]]&lt;OFFSET(_34445073613_asp[[#This Row],[instance]],-1,0), OFFSET(_34445073613_asp[[#This Row],[model]],-1,0)+1, OFFSET(_34445073613_asp[[#This Row],[model]],-1,0))</f>
        <v>2</v>
      </c>
      <c r="B138">
        <v>10</v>
      </c>
      <c r="C138" s="5">
        <v>1.4928240740740739E-3</v>
      </c>
      <c r="D138">
        <v>5</v>
      </c>
      <c r="E138">
        <v>6</v>
      </c>
      <c r="F138">
        <v>3</v>
      </c>
      <c r="G138" s="5">
        <v>1.4883101851851852E-3</v>
      </c>
      <c r="H138" s="5">
        <v>5.5921296296296292E-3</v>
      </c>
      <c r="I138" s="5">
        <v>4.7525462962962964E-3</v>
      </c>
      <c r="O138" s="1"/>
    </row>
    <row r="139" spans="1:15" x14ac:dyDescent="0.25">
      <c r="A139">
        <f ca="1">IF(_34445073613_asp[[#This Row],[instance]]&lt;OFFSET(_34445073613_asp[[#This Row],[instance]],-1,0), OFFSET(_34445073613_asp[[#This Row],[model]],-1,0)+1, OFFSET(_34445073613_asp[[#This Row],[model]],-1,0))</f>
        <v>2</v>
      </c>
      <c r="B139">
        <v>10</v>
      </c>
      <c r="C139" s="5">
        <v>1.4928240740740739E-3</v>
      </c>
      <c r="D139">
        <v>5</v>
      </c>
      <c r="E139">
        <v>6</v>
      </c>
      <c r="F139">
        <v>2</v>
      </c>
      <c r="G139" s="5">
        <v>1.4883101851851852E-3</v>
      </c>
      <c r="H139" s="5">
        <v>5.5921296296296292E-3</v>
      </c>
      <c r="I139" s="5">
        <v>4.7525462962962964E-3</v>
      </c>
      <c r="O139" s="1"/>
    </row>
    <row r="140" spans="1:15" x14ac:dyDescent="0.25">
      <c r="A140">
        <f ca="1">IF(_34445073613_asp[[#This Row],[instance]]&lt;OFFSET(_34445073613_asp[[#This Row],[instance]],-1,0), OFFSET(_34445073613_asp[[#This Row],[model]],-1,0)+1, OFFSET(_34445073613_asp[[#This Row],[model]],-1,0))</f>
        <v>2</v>
      </c>
      <c r="B140">
        <v>11</v>
      </c>
      <c r="H140" s="5">
        <v>6.9444444444444441E-3</v>
      </c>
      <c r="I140" s="5">
        <v>4.7525462962962964E-3</v>
      </c>
      <c r="O140" s="1"/>
    </row>
    <row r="141" spans="1:15" x14ac:dyDescent="0.25">
      <c r="A141">
        <f ca="1">IF(_34445073613_asp[[#This Row],[instance]]&lt;OFFSET(_34445073613_asp[[#This Row],[instance]],-1,0), OFFSET(_34445073613_asp[[#This Row],[model]],-1,0)+1, OFFSET(_34445073613_asp[[#This Row],[model]],-1,0))</f>
        <v>2</v>
      </c>
      <c r="B141">
        <v>12</v>
      </c>
      <c r="C141" s="5">
        <v>2.1875E-5</v>
      </c>
      <c r="D141">
        <v>0</v>
      </c>
      <c r="E141">
        <v>0</v>
      </c>
      <c r="F141">
        <v>0</v>
      </c>
      <c r="G141" s="5">
        <v>1.7592592592592591E-5</v>
      </c>
      <c r="H141" s="5">
        <v>2.0254629629629629E-5</v>
      </c>
      <c r="I141" s="5">
        <v>4.7525462962962964E-3</v>
      </c>
      <c r="O141" s="1"/>
    </row>
    <row r="142" spans="1:15" x14ac:dyDescent="0.25">
      <c r="A142">
        <f ca="1">IF(_34445073613_asp[[#This Row],[instance]]&lt;OFFSET(_34445073613_asp[[#This Row],[instance]],-1,0), OFFSET(_34445073613_asp[[#This Row],[model]],-1,0)+1, OFFSET(_34445073613_asp[[#This Row],[model]],-1,0))</f>
        <v>2</v>
      </c>
      <c r="B142">
        <v>12</v>
      </c>
      <c r="C142" s="5">
        <v>2.1875E-5</v>
      </c>
      <c r="D142">
        <v>3</v>
      </c>
      <c r="E142">
        <v>1</v>
      </c>
      <c r="F142">
        <v>1</v>
      </c>
      <c r="G142" s="5">
        <v>1.7592592592592591E-5</v>
      </c>
      <c r="H142" s="5">
        <v>2.0254629629629629E-5</v>
      </c>
      <c r="I142" s="5">
        <v>4.7525462962962964E-3</v>
      </c>
      <c r="O142" s="1"/>
    </row>
    <row r="143" spans="1:15" x14ac:dyDescent="0.25">
      <c r="A143">
        <f ca="1">IF(_34445073613_asp[[#This Row],[instance]]&lt;OFFSET(_34445073613_asp[[#This Row],[instance]],-1,0), OFFSET(_34445073613_asp[[#This Row],[model]],-1,0)+1, OFFSET(_34445073613_asp[[#This Row],[model]],-1,0))</f>
        <v>2</v>
      </c>
      <c r="B143">
        <v>12</v>
      </c>
      <c r="C143" s="5">
        <v>2.1875E-5</v>
      </c>
      <c r="D143">
        <v>6</v>
      </c>
      <c r="E143">
        <v>2</v>
      </c>
      <c r="F143">
        <v>2</v>
      </c>
      <c r="G143" s="5">
        <v>1.7592592592592591E-5</v>
      </c>
      <c r="H143" s="5">
        <v>2.0254629629629629E-5</v>
      </c>
      <c r="I143" s="5">
        <v>4.7525462962962964E-3</v>
      </c>
      <c r="O143" s="1"/>
    </row>
    <row r="144" spans="1:15" x14ac:dyDescent="0.25">
      <c r="A144">
        <f ca="1">IF(_34445073613_asp[[#This Row],[instance]]&lt;OFFSET(_34445073613_asp[[#This Row],[instance]],-1,0), OFFSET(_34445073613_asp[[#This Row],[model]],-1,0)+1, OFFSET(_34445073613_asp[[#This Row],[model]],-1,0))</f>
        <v>2</v>
      </c>
      <c r="B144">
        <v>12</v>
      </c>
      <c r="C144" s="5">
        <v>2.1875E-5</v>
      </c>
      <c r="D144">
        <v>9</v>
      </c>
      <c r="E144">
        <v>3</v>
      </c>
      <c r="F144">
        <v>3</v>
      </c>
      <c r="G144" s="5">
        <v>1.7592592592592591E-5</v>
      </c>
      <c r="H144" s="5">
        <v>2.0254629629629629E-5</v>
      </c>
      <c r="I144" s="5">
        <v>4.7525462962962964E-3</v>
      </c>
      <c r="O144" s="1"/>
    </row>
    <row r="145" spans="1:15" x14ac:dyDescent="0.25">
      <c r="A145">
        <f ca="1">IF(_34445073613_asp[[#This Row],[instance]]&lt;OFFSET(_34445073613_asp[[#This Row],[instance]],-1,0), OFFSET(_34445073613_asp[[#This Row],[model]],-1,0)+1, OFFSET(_34445073613_asp[[#This Row],[model]],-1,0))</f>
        <v>2</v>
      </c>
      <c r="B145">
        <v>12</v>
      </c>
      <c r="C145" s="5">
        <v>2.1875E-5</v>
      </c>
      <c r="D145">
        <v>12</v>
      </c>
      <c r="E145">
        <v>4</v>
      </c>
      <c r="F145">
        <v>4</v>
      </c>
      <c r="G145" s="5">
        <v>1.7592592592592591E-5</v>
      </c>
      <c r="H145" s="5">
        <v>2.0254629629629629E-5</v>
      </c>
      <c r="I145" s="5">
        <v>4.7525462962962964E-3</v>
      </c>
      <c r="O145" s="1"/>
    </row>
    <row r="146" spans="1:15" x14ac:dyDescent="0.25">
      <c r="A146">
        <f ca="1">IF(_34445073613_asp[[#This Row],[instance]]&lt;OFFSET(_34445073613_asp[[#This Row],[instance]],-1,0), OFFSET(_34445073613_asp[[#This Row],[model]],-1,0)+1, OFFSET(_34445073613_asp[[#This Row],[model]],-1,0))</f>
        <v>2</v>
      </c>
      <c r="B146">
        <v>13</v>
      </c>
      <c r="C146" s="5">
        <v>2.8173611111111112E-3</v>
      </c>
      <c r="D146">
        <v>0</v>
      </c>
      <c r="E146">
        <v>0</v>
      </c>
      <c r="F146">
        <v>0</v>
      </c>
      <c r="H146" s="5">
        <v>6.9444444444444441E-3</v>
      </c>
      <c r="I146" s="5">
        <v>4.7525462962962964E-3</v>
      </c>
      <c r="O146" s="1"/>
    </row>
    <row r="147" spans="1:15" x14ac:dyDescent="0.25">
      <c r="A147">
        <f ca="1">IF(_34445073613_asp[[#This Row],[instance]]&lt;OFFSET(_34445073613_asp[[#This Row],[instance]],-1,0), OFFSET(_34445073613_asp[[#This Row],[model]],-1,0)+1, OFFSET(_34445073613_asp[[#This Row],[model]],-1,0))</f>
        <v>2</v>
      </c>
      <c r="B147">
        <v>13</v>
      </c>
      <c r="C147" s="5">
        <v>2.8173611111111112E-3</v>
      </c>
      <c r="D147">
        <v>3</v>
      </c>
      <c r="E147">
        <v>1</v>
      </c>
      <c r="F147">
        <v>1</v>
      </c>
      <c r="H147" s="5">
        <v>6.9444444444444441E-3</v>
      </c>
      <c r="I147" s="5">
        <v>4.7525462962962964E-3</v>
      </c>
      <c r="O147" s="1"/>
    </row>
    <row r="148" spans="1:15" x14ac:dyDescent="0.25">
      <c r="A148">
        <f ca="1">IF(_34445073613_asp[[#This Row],[instance]]&lt;OFFSET(_34445073613_asp[[#This Row],[instance]],-1,0), OFFSET(_34445073613_asp[[#This Row],[model]],-1,0)+1, OFFSET(_34445073613_asp[[#This Row],[model]],-1,0))</f>
        <v>2</v>
      </c>
      <c r="B148">
        <v>13</v>
      </c>
      <c r="C148" s="5">
        <v>2.8173611111111112E-3</v>
      </c>
      <c r="D148">
        <v>4.875</v>
      </c>
      <c r="E148">
        <v>3</v>
      </c>
      <c r="F148">
        <v>2</v>
      </c>
      <c r="H148" s="5">
        <v>6.9444444444444441E-3</v>
      </c>
      <c r="I148" s="5">
        <v>4.7525462962962964E-3</v>
      </c>
      <c r="O148" s="1"/>
    </row>
    <row r="149" spans="1:15" x14ac:dyDescent="0.25">
      <c r="A149">
        <f ca="1">IF(_34445073613_asp[[#This Row],[instance]]&lt;OFFSET(_34445073613_asp[[#This Row],[instance]],-1,0), OFFSET(_34445073613_asp[[#This Row],[model]],-1,0)+1, OFFSET(_34445073613_asp[[#This Row],[model]],-1,0))</f>
        <v>2</v>
      </c>
      <c r="B149">
        <v>13</v>
      </c>
      <c r="C149" s="5">
        <v>2.8173611111111112E-3</v>
      </c>
      <c r="D149">
        <v>7.875</v>
      </c>
      <c r="E149">
        <v>4</v>
      </c>
      <c r="F149">
        <v>3</v>
      </c>
      <c r="H149" s="5">
        <v>6.9444444444444441E-3</v>
      </c>
      <c r="I149" s="5">
        <v>4.7525462962962964E-3</v>
      </c>
      <c r="O149" s="1"/>
    </row>
    <row r="150" spans="1:15" x14ac:dyDescent="0.25">
      <c r="A150">
        <f ca="1">IF(_34445073613_asp[[#This Row],[instance]]&lt;OFFSET(_34445073613_asp[[#This Row],[instance]],-1,0), OFFSET(_34445073613_asp[[#This Row],[model]],-1,0)+1, OFFSET(_34445073613_asp[[#This Row],[model]],-1,0))</f>
        <v>2</v>
      </c>
      <c r="B150">
        <v>13</v>
      </c>
      <c r="C150" s="5">
        <v>2.8174768518518518E-3</v>
      </c>
      <c r="D150">
        <v>9.375</v>
      </c>
      <c r="E150">
        <v>5</v>
      </c>
      <c r="F150">
        <v>4</v>
      </c>
      <c r="H150" s="5">
        <v>6.9444444444444441E-3</v>
      </c>
      <c r="I150" s="5">
        <v>4.7525462962962964E-3</v>
      </c>
      <c r="O150" s="1"/>
    </row>
    <row r="151" spans="1:15" x14ac:dyDescent="0.25">
      <c r="A151">
        <f ca="1">IF(_34445073613_asp[[#This Row],[instance]]&lt;OFFSET(_34445073613_asp[[#This Row],[instance]],-1,0), OFFSET(_34445073613_asp[[#This Row],[model]],-1,0)+1, OFFSET(_34445073613_asp[[#This Row],[model]],-1,0))</f>
        <v>2</v>
      </c>
      <c r="B151">
        <v>13</v>
      </c>
      <c r="C151" s="5">
        <v>2.8174768518518518E-3</v>
      </c>
      <c r="D151">
        <v>9.375</v>
      </c>
      <c r="E151">
        <v>5</v>
      </c>
      <c r="F151">
        <v>3</v>
      </c>
      <c r="H151" s="5">
        <v>6.9444444444444441E-3</v>
      </c>
      <c r="I151" s="5">
        <v>4.7525462962962964E-3</v>
      </c>
      <c r="O151" s="1"/>
    </row>
    <row r="152" spans="1:15" x14ac:dyDescent="0.25">
      <c r="A152">
        <f ca="1">IF(_34445073613_asp[[#This Row],[instance]]&lt;OFFSET(_34445073613_asp[[#This Row],[instance]],-1,0), OFFSET(_34445073613_asp[[#This Row],[model]],-1,0)+1, OFFSET(_34445073613_asp[[#This Row],[model]],-1,0))</f>
        <v>2</v>
      </c>
      <c r="B152">
        <v>13</v>
      </c>
      <c r="C152" s="5">
        <v>2.8175925925925925E-3</v>
      </c>
      <c r="D152">
        <v>10.375</v>
      </c>
      <c r="E152">
        <v>6</v>
      </c>
      <c r="F152">
        <v>3</v>
      </c>
      <c r="H152" s="5">
        <v>6.9444444444444441E-3</v>
      </c>
      <c r="I152" s="5">
        <v>4.7525462962962964E-3</v>
      </c>
      <c r="O152" s="1"/>
    </row>
    <row r="153" spans="1:15" x14ac:dyDescent="0.25">
      <c r="A153">
        <f ca="1">IF(_34445073613_asp[[#This Row],[instance]]&lt;OFFSET(_34445073613_asp[[#This Row],[instance]],-1,0), OFFSET(_34445073613_asp[[#This Row],[model]],-1,0)+1, OFFSET(_34445073613_asp[[#This Row],[model]],-1,0))</f>
        <v>2</v>
      </c>
      <c r="B153">
        <v>13</v>
      </c>
      <c r="C153" s="5">
        <v>2.8175925925925925E-3</v>
      </c>
      <c r="D153">
        <v>11.375</v>
      </c>
      <c r="E153">
        <v>7</v>
      </c>
      <c r="F153">
        <v>4</v>
      </c>
      <c r="H153" s="5">
        <v>6.9444444444444441E-3</v>
      </c>
      <c r="I153" s="5">
        <v>4.7525462962962964E-3</v>
      </c>
      <c r="O153" s="1"/>
    </row>
    <row r="154" spans="1:15" x14ac:dyDescent="0.25">
      <c r="A154">
        <f ca="1">IF(_34445073613_asp[[#This Row],[instance]]&lt;OFFSET(_34445073613_asp[[#This Row],[instance]],-1,0), OFFSET(_34445073613_asp[[#This Row],[model]],-1,0)+1, OFFSET(_34445073613_asp[[#This Row],[model]],-1,0))</f>
        <v>2</v>
      </c>
      <c r="B154">
        <v>13</v>
      </c>
      <c r="C154" s="5">
        <v>2.8175925925925925E-3</v>
      </c>
      <c r="D154">
        <v>11.625</v>
      </c>
      <c r="E154">
        <v>10</v>
      </c>
      <c r="F154">
        <v>5</v>
      </c>
      <c r="H154" s="5">
        <v>6.9444444444444441E-3</v>
      </c>
      <c r="I154" s="5">
        <v>4.7525462962962964E-3</v>
      </c>
      <c r="O154" s="1"/>
    </row>
    <row r="155" spans="1:15" x14ac:dyDescent="0.25">
      <c r="A155">
        <f ca="1">IF(_34445073613_asp[[#This Row],[instance]]&lt;OFFSET(_34445073613_asp[[#This Row],[instance]],-1,0), OFFSET(_34445073613_asp[[#This Row],[model]],-1,0)+1, OFFSET(_34445073613_asp[[#This Row],[model]],-1,0))</f>
        <v>2</v>
      </c>
      <c r="B155">
        <v>13</v>
      </c>
      <c r="C155" s="5">
        <v>2.8177083333333331E-3</v>
      </c>
      <c r="D155">
        <v>11.625</v>
      </c>
      <c r="E155">
        <v>10</v>
      </c>
      <c r="F155">
        <v>4</v>
      </c>
      <c r="H155" s="5">
        <v>6.9444444444444441E-3</v>
      </c>
      <c r="I155" s="5">
        <v>4.7525462962962964E-3</v>
      </c>
      <c r="O155" s="1"/>
    </row>
    <row r="156" spans="1:15" x14ac:dyDescent="0.25">
      <c r="A156">
        <f ca="1">IF(_34445073613_asp[[#This Row],[instance]]&lt;OFFSET(_34445073613_asp[[#This Row],[instance]],-1,0), OFFSET(_34445073613_asp[[#This Row],[model]],-1,0)+1, OFFSET(_34445073613_asp[[#This Row],[model]],-1,0))</f>
        <v>2</v>
      </c>
      <c r="B156">
        <v>13</v>
      </c>
      <c r="C156" s="5">
        <v>2.8177083333333331E-3</v>
      </c>
      <c r="D156">
        <v>11.625</v>
      </c>
      <c r="E156">
        <v>10</v>
      </c>
      <c r="F156">
        <v>3</v>
      </c>
      <c r="H156" s="5">
        <v>6.9444444444444441E-3</v>
      </c>
      <c r="I156" s="5">
        <v>4.7525462962962964E-3</v>
      </c>
      <c r="O156" s="1"/>
    </row>
    <row r="157" spans="1:15" x14ac:dyDescent="0.25">
      <c r="A157">
        <f ca="1">IF(_34445073613_asp[[#This Row],[instance]]&lt;OFFSET(_34445073613_asp[[#This Row],[instance]],-1,0), OFFSET(_34445073613_asp[[#This Row],[model]],-1,0)+1, OFFSET(_34445073613_asp[[#This Row],[model]],-1,0))</f>
        <v>2</v>
      </c>
      <c r="B157">
        <v>13</v>
      </c>
      <c r="C157" s="5">
        <v>2.8177083333333331E-3</v>
      </c>
      <c r="D157">
        <v>11.75</v>
      </c>
      <c r="E157">
        <v>8</v>
      </c>
      <c r="F157">
        <v>5</v>
      </c>
      <c r="H157" s="5">
        <v>6.9444444444444441E-3</v>
      </c>
      <c r="I157" s="5">
        <v>4.7525462962962964E-3</v>
      </c>
      <c r="O157" s="1"/>
    </row>
    <row r="158" spans="1:15" x14ac:dyDescent="0.25">
      <c r="A158">
        <f ca="1">IF(_34445073613_asp[[#This Row],[instance]]&lt;OFFSET(_34445073613_asp[[#This Row],[instance]],-1,0), OFFSET(_34445073613_asp[[#This Row],[model]],-1,0)+1, OFFSET(_34445073613_asp[[#This Row],[model]],-1,0))</f>
        <v>2</v>
      </c>
      <c r="B158">
        <v>13</v>
      </c>
      <c r="C158" s="5">
        <v>2.8178240740740742E-3</v>
      </c>
      <c r="D158">
        <v>13.125</v>
      </c>
      <c r="E158">
        <v>11</v>
      </c>
      <c r="F158">
        <v>6</v>
      </c>
      <c r="H158" s="5">
        <v>6.9444444444444441E-3</v>
      </c>
      <c r="I158" s="5">
        <v>4.7525462962962964E-3</v>
      </c>
      <c r="O158" s="1"/>
    </row>
    <row r="159" spans="1:15" x14ac:dyDescent="0.25">
      <c r="A159">
        <f ca="1">IF(_34445073613_asp[[#This Row],[instance]]&lt;OFFSET(_34445073613_asp[[#This Row],[instance]],-1,0), OFFSET(_34445073613_asp[[#This Row],[model]],-1,0)+1, OFFSET(_34445073613_asp[[#This Row],[model]],-1,0))</f>
        <v>2</v>
      </c>
      <c r="B159">
        <v>13</v>
      </c>
      <c r="C159" s="5">
        <v>2.8178240740740742E-3</v>
      </c>
      <c r="D159">
        <v>16.125</v>
      </c>
      <c r="E159">
        <v>12</v>
      </c>
      <c r="F159">
        <v>7</v>
      </c>
      <c r="H159" s="5">
        <v>6.9444444444444441E-3</v>
      </c>
      <c r="I159" s="5">
        <v>4.7525462962962964E-3</v>
      </c>
      <c r="O159" s="1"/>
    </row>
    <row r="160" spans="1:15" x14ac:dyDescent="0.25">
      <c r="A160">
        <f ca="1">IF(_34445073613_asp[[#This Row],[instance]]&lt;OFFSET(_34445073613_asp[[#This Row],[instance]],-1,0), OFFSET(_34445073613_asp[[#This Row],[model]],-1,0)+1, OFFSET(_34445073613_asp[[#This Row],[model]],-1,0))</f>
        <v>2</v>
      </c>
      <c r="B160">
        <v>13</v>
      </c>
      <c r="C160" s="5">
        <v>2.8178240740740742E-3</v>
      </c>
      <c r="D160">
        <v>16.125</v>
      </c>
      <c r="E160">
        <v>12</v>
      </c>
      <c r="F160">
        <v>6</v>
      </c>
      <c r="H160" s="5">
        <v>6.9444444444444441E-3</v>
      </c>
      <c r="I160" s="5">
        <v>4.7525462962962964E-3</v>
      </c>
      <c r="O160" s="1"/>
    </row>
    <row r="161" spans="1:15" x14ac:dyDescent="0.25">
      <c r="A161">
        <f ca="1">IF(_34445073613_asp[[#This Row],[instance]]&lt;OFFSET(_34445073613_asp[[#This Row],[instance]],-1,0), OFFSET(_34445073613_asp[[#This Row],[model]],-1,0)+1, OFFSET(_34445073613_asp[[#This Row],[model]],-1,0))</f>
        <v>2</v>
      </c>
      <c r="B161">
        <v>13</v>
      </c>
      <c r="C161" s="5">
        <v>2.8179398148148148E-3</v>
      </c>
      <c r="D161">
        <v>16.125</v>
      </c>
      <c r="E161">
        <v>12</v>
      </c>
      <c r="F161">
        <v>5</v>
      </c>
      <c r="H161" s="5">
        <v>6.9444444444444441E-3</v>
      </c>
      <c r="I161" s="5">
        <v>4.7525462962962964E-3</v>
      </c>
      <c r="O161" s="1"/>
    </row>
    <row r="162" spans="1:15" x14ac:dyDescent="0.25">
      <c r="A162">
        <f ca="1">IF(_34445073613_asp[[#This Row],[instance]]&lt;OFFSET(_34445073613_asp[[#This Row],[instance]],-1,0), OFFSET(_34445073613_asp[[#This Row],[model]],-1,0)+1, OFFSET(_34445073613_asp[[#This Row],[model]],-1,0))</f>
        <v>2</v>
      </c>
      <c r="B162">
        <v>14</v>
      </c>
      <c r="H162" s="5">
        <v>6.9444444444444441E-3</v>
      </c>
      <c r="I162" s="5">
        <v>4.7525462962962964E-3</v>
      </c>
      <c r="O162" s="1"/>
    </row>
    <row r="163" spans="1:15" x14ac:dyDescent="0.25">
      <c r="A163">
        <f ca="1">IF(_34445073613_asp[[#This Row],[instance]]&lt;OFFSET(_34445073613_asp[[#This Row],[instance]],-1,0), OFFSET(_34445073613_asp[[#This Row],[model]],-1,0)+1, OFFSET(_34445073613_asp[[#This Row],[model]],-1,0))</f>
        <v>2</v>
      </c>
      <c r="B163">
        <v>15</v>
      </c>
      <c r="H163" s="5">
        <v>6.9444444444444441E-3</v>
      </c>
      <c r="I163" s="5">
        <v>4.7525462962962964E-3</v>
      </c>
      <c r="O163" s="1"/>
    </row>
    <row r="164" spans="1:15" x14ac:dyDescent="0.25">
      <c r="A164">
        <f ca="1">IF(_34445073613_asp[[#This Row],[instance]]&lt;OFFSET(_34445073613_asp[[#This Row],[instance]],-1,0), OFFSET(_34445073613_asp[[#This Row],[model]],-1,0)+1, OFFSET(_34445073613_asp[[#This Row],[model]],-1,0))</f>
        <v>3</v>
      </c>
      <c r="B164">
        <v>1</v>
      </c>
      <c r="H164" s="5">
        <v>6.9444444444444441E-3</v>
      </c>
      <c r="I164" s="5">
        <v>6.9444444444444441E-3</v>
      </c>
      <c r="O164" s="1"/>
    </row>
    <row r="165" spans="1:15" x14ac:dyDescent="0.25">
      <c r="A165">
        <f ca="1">IF(_34445073613_asp[[#This Row],[instance]]&lt;OFFSET(_34445073613_asp[[#This Row],[instance]],-1,0), OFFSET(_34445073613_asp[[#This Row],[model]],-1,0)+1, OFFSET(_34445073613_asp[[#This Row],[model]],-1,0))</f>
        <v>3</v>
      </c>
      <c r="B165">
        <v>2</v>
      </c>
      <c r="H165" s="5">
        <v>6.9444444444444441E-3</v>
      </c>
      <c r="I165" s="5">
        <v>6.9444444444444441E-3</v>
      </c>
      <c r="O165" s="1"/>
    </row>
    <row r="166" spans="1:15" x14ac:dyDescent="0.25">
      <c r="A166">
        <f ca="1">IF(_34445073613_asp[[#This Row],[instance]]&lt;OFFSET(_34445073613_asp[[#This Row],[instance]],-1,0), OFFSET(_34445073613_asp[[#This Row],[model]],-1,0)+1, OFFSET(_34445073613_asp[[#This Row],[model]],-1,0))</f>
        <v>3</v>
      </c>
      <c r="B166">
        <v>3</v>
      </c>
      <c r="H166" s="5">
        <v>6.9444444444444441E-3</v>
      </c>
      <c r="I166" s="5">
        <v>6.9444444444444441E-3</v>
      </c>
      <c r="O166" s="1"/>
    </row>
    <row r="167" spans="1:15" x14ac:dyDescent="0.25">
      <c r="A167">
        <f ca="1">IF(_34445073613_asp[[#This Row],[instance]]&lt;OFFSET(_34445073613_asp[[#This Row],[instance]],-1,0), OFFSET(_34445073613_asp[[#This Row],[model]],-1,0)+1, OFFSET(_34445073613_asp[[#This Row],[model]],-1,0))</f>
        <v>3</v>
      </c>
      <c r="B167">
        <v>4</v>
      </c>
      <c r="H167" s="5">
        <v>6.9444444444444441E-3</v>
      </c>
      <c r="I167" s="5">
        <v>6.9444444444444441E-3</v>
      </c>
      <c r="O167" s="1"/>
    </row>
    <row r="168" spans="1:15" x14ac:dyDescent="0.25">
      <c r="A168">
        <f ca="1">IF(_34445073613_asp[[#This Row],[instance]]&lt;OFFSET(_34445073613_asp[[#This Row],[instance]],-1,0), OFFSET(_34445073613_asp[[#This Row],[model]],-1,0)+1, OFFSET(_34445073613_asp[[#This Row],[model]],-1,0))</f>
        <v>3</v>
      </c>
      <c r="B168">
        <v>5</v>
      </c>
      <c r="H168" s="5">
        <v>6.9444444444444441E-3</v>
      </c>
      <c r="I168" s="5">
        <v>6.9444444444444441E-3</v>
      </c>
      <c r="O168" s="1"/>
    </row>
    <row r="169" spans="1:15" x14ac:dyDescent="0.25">
      <c r="A169">
        <f ca="1">IF(_34445073613_asp[[#This Row],[instance]]&lt;OFFSET(_34445073613_asp[[#This Row],[instance]],-1,0), OFFSET(_34445073613_asp[[#This Row],[model]],-1,0)+1, OFFSET(_34445073613_asp[[#This Row],[model]],-1,0))</f>
        <v>3</v>
      </c>
      <c r="B169">
        <v>6</v>
      </c>
      <c r="H169" s="5">
        <v>6.9444444444444441E-3</v>
      </c>
      <c r="I169" s="5">
        <v>6.9444444444444441E-3</v>
      </c>
      <c r="O169" s="1"/>
    </row>
    <row r="170" spans="1:15" x14ac:dyDescent="0.25">
      <c r="A170">
        <f ca="1">IF(_34445073613_asp[[#This Row],[instance]]&lt;OFFSET(_34445073613_asp[[#This Row],[instance]],-1,0), OFFSET(_34445073613_asp[[#This Row],[model]],-1,0)+1, OFFSET(_34445073613_asp[[#This Row],[model]],-1,0))</f>
        <v>3</v>
      </c>
      <c r="B170">
        <v>7</v>
      </c>
      <c r="H170" s="5">
        <v>6.9444444444444441E-3</v>
      </c>
      <c r="I170" s="5">
        <v>6.9444444444444441E-3</v>
      </c>
      <c r="O170" s="1"/>
    </row>
    <row r="171" spans="1:15" x14ac:dyDescent="0.25">
      <c r="A171">
        <f ca="1">IF(_34445073613_asp[[#This Row],[instance]]&lt;OFFSET(_34445073613_asp[[#This Row],[instance]],-1,0), OFFSET(_34445073613_asp[[#This Row],[model]],-1,0)+1, OFFSET(_34445073613_asp[[#This Row],[model]],-1,0))</f>
        <v>3</v>
      </c>
      <c r="B171">
        <v>8</v>
      </c>
      <c r="H171" s="5">
        <v>6.9444444444444441E-3</v>
      </c>
      <c r="I171" s="5">
        <v>6.9444444444444441E-3</v>
      </c>
      <c r="O171" s="1"/>
    </row>
    <row r="172" spans="1:15" x14ac:dyDescent="0.25">
      <c r="A172">
        <f ca="1">IF(_34445073613_asp[[#This Row],[instance]]&lt;OFFSET(_34445073613_asp[[#This Row],[instance]],-1,0), OFFSET(_34445073613_asp[[#This Row],[model]],-1,0)+1, OFFSET(_34445073613_asp[[#This Row],[model]],-1,0))</f>
        <v>3</v>
      </c>
      <c r="B172">
        <v>9</v>
      </c>
      <c r="H172" s="5">
        <v>6.9444444444444441E-3</v>
      </c>
      <c r="I172" s="5">
        <v>6.9444444444444441E-3</v>
      </c>
      <c r="O172" s="1"/>
    </row>
    <row r="173" spans="1:15" x14ac:dyDescent="0.25">
      <c r="A173">
        <f ca="1">IF(_34445073613_asp[[#This Row],[instance]]&lt;OFFSET(_34445073613_asp[[#This Row],[instance]],-1,0), OFFSET(_34445073613_asp[[#This Row],[model]],-1,0)+1, OFFSET(_34445073613_asp[[#This Row],[model]],-1,0))</f>
        <v>3</v>
      </c>
      <c r="B173">
        <v>10</v>
      </c>
      <c r="H173" s="5">
        <v>6.9444444444444441E-3</v>
      </c>
      <c r="I173" s="5">
        <v>6.9444444444444441E-3</v>
      </c>
      <c r="O173" s="1"/>
    </row>
    <row r="174" spans="1:15" x14ac:dyDescent="0.25">
      <c r="A174">
        <f ca="1">IF(_34445073613_asp[[#This Row],[instance]]&lt;OFFSET(_34445073613_asp[[#This Row],[instance]],-1,0), OFFSET(_34445073613_asp[[#This Row],[model]],-1,0)+1, OFFSET(_34445073613_asp[[#This Row],[model]],-1,0))</f>
        <v>3</v>
      </c>
      <c r="B174">
        <v>11</v>
      </c>
      <c r="H174" s="5">
        <v>6.9444444444444441E-3</v>
      </c>
      <c r="I174" s="5">
        <v>6.9444444444444441E-3</v>
      </c>
      <c r="O174" s="1"/>
    </row>
    <row r="175" spans="1:15" x14ac:dyDescent="0.25">
      <c r="A175">
        <f ca="1">IF(_34445073613_asp[[#This Row],[instance]]&lt;OFFSET(_34445073613_asp[[#This Row],[instance]],-1,0), OFFSET(_34445073613_asp[[#This Row],[model]],-1,0)+1, OFFSET(_34445073613_asp[[#This Row],[model]],-1,0))</f>
        <v>3</v>
      </c>
      <c r="B175">
        <v>12</v>
      </c>
      <c r="H175" s="5">
        <v>6.9444444444444441E-3</v>
      </c>
      <c r="I175" s="5">
        <v>6.9444444444444441E-3</v>
      </c>
      <c r="O175" s="1"/>
    </row>
    <row r="176" spans="1:15" x14ac:dyDescent="0.25">
      <c r="A176">
        <f ca="1">IF(_34445073613_asp[[#This Row],[instance]]&lt;OFFSET(_34445073613_asp[[#This Row],[instance]],-1,0), OFFSET(_34445073613_asp[[#This Row],[model]],-1,0)+1, OFFSET(_34445073613_asp[[#This Row],[model]],-1,0))</f>
        <v>3</v>
      </c>
      <c r="B176">
        <v>13</v>
      </c>
      <c r="H176" s="5">
        <v>6.9444444444444441E-3</v>
      </c>
      <c r="I176" s="5">
        <v>6.9444444444444441E-3</v>
      </c>
      <c r="O176" s="1"/>
    </row>
    <row r="177" spans="1:15" x14ac:dyDescent="0.25">
      <c r="A177">
        <f ca="1">IF(_34445073613_asp[[#This Row],[instance]]&lt;OFFSET(_34445073613_asp[[#This Row],[instance]],-1,0), OFFSET(_34445073613_asp[[#This Row],[model]],-1,0)+1, OFFSET(_34445073613_asp[[#This Row],[model]],-1,0))</f>
        <v>3</v>
      </c>
      <c r="B177">
        <v>14</v>
      </c>
      <c r="H177" s="5">
        <v>6.9444444444444441E-3</v>
      </c>
      <c r="I177" s="5">
        <v>6.9444444444444441E-3</v>
      </c>
      <c r="O177" s="1"/>
    </row>
    <row r="178" spans="1:15" x14ac:dyDescent="0.25">
      <c r="A178">
        <f ca="1">IF(_34445073613_asp[[#This Row],[instance]]&lt;OFFSET(_34445073613_asp[[#This Row],[instance]],-1,0), OFFSET(_34445073613_asp[[#This Row],[model]],-1,0)+1, OFFSET(_34445073613_asp[[#This Row],[model]],-1,0))</f>
        <v>3</v>
      </c>
      <c r="B178">
        <v>15</v>
      </c>
      <c r="H178" s="5">
        <v>6.9444444444444441E-3</v>
      </c>
      <c r="I178" s="5">
        <v>6.9444444444444441E-3</v>
      </c>
      <c r="O178" s="1"/>
    </row>
    <row r="179" spans="1:15" x14ac:dyDescent="0.25">
      <c r="O179" s="1"/>
    </row>
    <row r="180" spans="1:15" x14ac:dyDescent="0.25">
      <c r="O180" s="1"/>
    </row>
    <row r="181" spans="1:15" x14ac:dyDescent="0.25">
      <c r="O181" s="1"/>
    </row>
    <row r="182" spans="1:15" x14ac:dyDescent="0.25">
      <c r="O182" s="1"/>
    </row>
    <row r="183" spans="1:15" x14ac:dyDescent="0.25">
      <c r="O183" s="1"/>
    </row>
    <row r="184" spans="1:15" x14ac:dyDescent="0.25">
      <c r="O184" s="1"/>
    </row>
    <row r="185" spans="1:15" x14ac:dyDescent="0.25">
      <c r="O185" s="1"/>
    </row>
    <row r="186" spans="1:15" x14ac:dyDescent="0.25">
      <c r="O186" s="1"/>
    </row>
    <row r="187" spans="1:15" x14ac:dyDescent="0.25">
      <c r="O187" s="1"/>
    </row>
    <row r="188" spans="1:15" x14ac:dyDescent="0.25">
      <c r="O188" s="1"/>
    </row>
    <row r="189" spans="1:15" x14ac:dyDescent="0.25">
      <c r="O189" s="1"/>
    </row>
    <row r="190" spans="1:15" x14ac:dyDescent="0.25">
      <c r="O190" s="1"/>
    </row>
    <row r="191" spans="1:15" x14ac:dyDescent="0.25">
      <c r="O191" s="1"/>
    </row>
    <row r="192" spans="1:15" x14ac:dyDescent="0.25">
      <c r="O192" s="1"/>
    </row>
    <row r="193" spans="15:15" x14ac:dyDescent="0.25">
      <c r="O193" s="1"/>
    </row>
    <row r="194" spans="15:15" x14ac:dyDescent="0.25">
      <c r="O194" s="1"/>
    </row>
    <row r="195" spans="15:15" x14ac:dyDescent="0.25">
      <c r="O195" s="1"/>
    </row>
    <row r="196" spans="15:15" x14ac:dyDescent="0.25">
      <c r="O196" s="1"/>
    </row>
    <row r="197" spans="15:15" x14ac:dyDescent="0.25">
      <c r="O197" s="1"/>
    </row>
    <row r="198" spans="15:15" x14ac:dyDescent="0.25">
      <c r="O198" s="1"/>
    </row>
    <row r="199" spans="15:15" x14ac:dyDescent="0.25">
      <c r="O199" s="1"/>
    </row>
    <row r="200" spans="15:15" x14ac:dyDescent="0.25">
      <c r="O200" s="1"/>
    </row>
    <row r="201" spans="15:15" x14ac:dyDescent="0.25">
      <c r="O201" s="1"/>
    </row>
    <row r="202" spans="15:15" x14ac:dyDescent="0.25">
      <c r="O202" s="1"/>
    </row>
    <row r="203" spans="15:15" x14ac:dyDescent="0.25">
      <c r="O203" s="1"/>
    </row>
    <row r="204" spans="15:15" x14ac:dyDescent="0.25">
      <c r="O204" s="1"/>
    </row>
    <row r="205" spans="15:15" x14ac:dyDescent="0.25">
      <c r="O205" s="1"/>
    </row>
    <row r="206" spans="15:15" x14ac:dyDescent="0.25">
      <c r="O206" s="1"/>
    </row>
    <row r="207" spans="15:15" x14ac:dyDescent="0.25">
      <c r="O207" s="1"/>
    </row>
    <row r="208" spans="15:15" x14ac:dyDescent="0.25">
      <c r="O208" s="1"/>
    </row>
    <row r="209" spans="15:15" x14ac:dyDescent="0.25">
      <c r="O209" s="1"/>
    </row>
    <row r="210" spans="15:15" x14ac:dyDescent="0.25">
      <c r="O210" s="1"/>
    </row>
    <row r="211" spans="15:15" x14ac:dyDescent="0.25">
      <c r="O211" s="1"/>
    </row>
    <row r="212" spans="15:15" x14ac:dyDescent="0.25">
      <c r="O212" s="1"/>
    </row>
    <row r="213" spans="15:15" x14ac:dyDescent="0.25">
      <c r="O213" s="1"/>
    </row>
    <row r="214" spans="15:15" x14ac:dyDescent="0.25">
      <c r="O214" s="1"/>
    </row>
    <row r="215" spans="15:15" x14ac:dyDescent="0.25">
      <c r="O215" s="1"/>
    </row>
    <row r="216" spans="15:15" x14ac:dyDescent="0.25">
      <c r="O216" s="1"/>
    </row>
    <row r="217" spans="15:15" x14ac:dyDescent="0.25">
      <c r="O217" s="1"/>
    </row>
    <row r="218" spans="15:15" x14ac:dyDescent="0.25">
      <c r="O218" s="1"/>
    </row>
    <row r="219" spans="15:15" x14ac:dyDescent="0.25">
      <c r="O219" s="1"/>
    </row>
    <row r="220" spans="15:15" x14ac:dyDescent="0.25">
      <c r="O220" s="1"/>
    </row>
    <row r="221" spans="15:15" x14ac:dyDescent="0.25">
      <c r="O221" s="1"/>
    </row>
    <row r="222" spans="15:15" x14ac:dyDescent="0.25">
      <c r="O222" s="1"/>
    </row>
    <row r="223" spans="15:15" x14ac:dyDescent="0.25">
      <c r="O223" s="1"/>
    </row>
    <row r="224" spans="15:15" x14ac:dyDescent="0.25">
      <c r="O224" s="1"/>
    </row>
    <row r="225" spans="15:15" x14ac:dyDescent="0.25">
      <c r="O225" s="1"/>
    </row>
    <row r="226" spans="15:15" x14ac:dyDescent="0.25">
      <c r="O226" s="1"/>
    </row>
    <row r="227" spans="15:15" x14ac:dyDescent="0.25">
      <c r="O227" s="1"/>
    </row>
    <row r="228" spans="15:15" x14ac:dyDescent="0.25">
      <c r="O228" s="1"/>
    </row>
    <row r="229" spans="15:15" x14ac:dyDescent="0.25">
      <c r="O229" s="1"/>
    </row>
    <row r="230" spans="15:15" x14ac:dyDescent="0.25">
      <c r="O230" s="1"/>
    </row>
    <row r="231" spans="15:15" x14ac:dyDescent="0.25">
      <c r="O231" s="1"/>
    </row>
    <row r="232" spans="15:15" x14ac:dyDescent="0.25">
      <c r="O232" s="1"/>
    </row>
    <row r="233" spans="15:15" x14ac:dyDescent="0.25">
      <c r="O233" s="1"/>
    </row>
    <row r="234" spans="15:15" x14ac:dyDescent="0.25">
      <c r="O234" s="1"/>
    </row>
    <row r="235" spans="15:15" x14ac:dyDescent="0.25">
      <c r="O235" s="1"/>
    </row>
    <row r="236" spans="15:15" x14ac:dyDescent="0.25">
      <c r="O236" s="1"/>
    </row>
    <row r="237" spans="15:15" x14ac:dyDescent="0.25">
      <c r="O237" s="1"/>
    </row>
    <row r="238" spans="15:15" x14ac:dyDescent="0.25">
      <c r="O238" s="1"/>
    </row>
    <row r="239" spans="15:15" x14ac:dyDescent="0.25">
      <c r="O239" s="1"/>
    </row>
    <row r="240" spans="15:15" x14ac:dyDescent="0.25">
      <c r="O240" s="1"/>
    </row>
    <row r="241" spans="15:15" x14ac:dyDescent="0.25">
      <c r="O241" s="1"/>
    </row>
    <row r="242" spans="15:15" x14ac:dyDescent="0.25">
      <c r="O242" s="1"/>
    </row>
    <row r="243" spans="15:15" x14ac:dyDescent="0.25">
      <c r="O243" s="1"/>
    </row>
    <row r="244" spans="15:15" x14ac:dyDescent="0.25">
      <c r="O244" s="1"/>
    </row>
    <row r="245" spans="15:15" x14ac:dyDescent="0.25">
      <c r="O245" s="1"/>
    </row>
    <row r="246" spans="15:15" x14ac:dyDescent="0.25">
      <c r="O246" s="1"/>
    </row>
    <row r="247" spans="15:15" x14ac:dyDescent="0.25">
      <c r="O247" s="1"/>
    </row>
    <row r="248" spans="15:15" x14ac:dyDescent="0.25">
      <c r="O248" s="1"/>
    </row>
    <row r="249" spans="15:15" x14ac:dyDescent="0.25">
      <c r="O249" s="1"/>
    </row>
    <row r="250" spans="15:15" x14ac:dyDescent="0.25">
      <c r="O250" s="1"/>
    </row>
    <row r="251" spans="15:15" x14ac:dyDescent="0.25">
      <c r="O251" s="1"/>
    </row>
    <row r="252" spans="15:15" x14ac:dyDescent="0.25">
      <c r="O252" s="1"/>
    </row>
    <row r="253" spans="15:15" x14ac:dyDescent="0.25">
      <c r="O253" s="1"/>
    </row>
    <row r="254" spans="15:15" x14ac:dyDescent="0.25">
      <c r="O254" s="1"/>
    </row>
    <row r="255" spans="15:15" x14ac:dyDescent="0.25">
      <c r="O255" s="1"/>
    </row>
    <row r="256" spans="15:15" x14ac:dyDescent="0.25">
      <c r="O256" s="1"/>
    </row>
    <row r="257" spans="15:15" x14ac:dyDescent="0.25">
      <c r="O257" s="1"/>
    </row>
    <row r="258" spans="15:15" x14ac:dyDescent="0.25">
      <c r="O258" s="1"/>
    </row>
    <row r="259" spans="15:15" x14ac:dyDescent="0.25">
      <c r="O259" s="1"/>
    </row>
    <row r="260" spans="15:15" x14ac:dyDescent="0.25">
      <c r="O260" s="1"/>
    </row>
    <row r="261" spans="15:15" x14ac:dyDescent="0.25">
      <c r="O261" s="1"/>
    </row>
    <row r="262" spans="15:15" x14ac:dyDescent="0.25">
      <c r="O262" s="1"/>
    </row>
    <row r="263" spans="15:15" x14ac:dyDescent="0.25">
      <c r="O263" s="1"/>
    </row>
    <row r="264" spans="15:15" x14ac:dyDescent="0.25">
      <c r="O264" s="1"/>
    </row>
    <row r="265" spans="15:15" x14ac:dyDescent="0.25">
      <c r="O265" s="1"/>
    </row>
    <row r="266" spans="15:15" x14ac:dyDescent="0.25">
      <c r="O266" s="1"/>
    </row>
    <row r="267" spans="15:15" x14ac:dyDescent="0.25">
      <c r="O267" s="1"/>
    </row>
    <row r="268" spans="15:15" x14ac:dyDescent="0.25">
      <c r="O268" s="1"/>
    </row>
    <row r="269" spans="15:15" x14ac:dyDescent="0.25">
      <c r="O269" s="1"/>
    </row>
    <row r="270" spans="15:15" x14ac:dyDescent="0.25">
      <c r="O270" s="1"/>
    </row>
    <row r="271" spans="15:15" x14ac:dyDescent="0.25">
      <c r="O271" s="1"/>
    </row>
    <row r="272" spans="15:15" x14ac:dyDescent="0.25">
      <c r="O272" s="1"/>
    </row>
    <row r="273" spans="15:15" x14ac:dyDescent="0.25">
      <c r="O273" s="1"/>
    </row>
    <row r="274" spans="15:15" x14ac:dyDescent="0.25">
      <c r="O274" s="1"/>
    </row>
    <row r="275" spans="15:15" x14ac:dyDescent="0.25">
      <c r="O275" s="1"/>
    </row>
    <row r="276" spans="15:15" x14ac:dyDescent="0.25">
      <c r="O276" s="1"/>
    </row>
    <row r="277" spans="15:15" x14ac:dyDescent="0.25">
      <c r="O277" s="1"/>
    </row>
    <row r="278" spans="15:15" x14ac:dyDescent="0.25">
      <c r="O278" s="1"/>
    </row>
    <row r="279" spans="15:15" x14ac:dyDescent="0.25">
      <c r="O279" s="1"/>
    </row>
    <row r="280" spans="15:15" x14ac:dyDescent="0.25">
      <c r="O280" s="1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A9A4-E582-4B92-9E3D-9E1A7E4FBD63}">
  <dimension ref="A1:E28"/>
  <sheetViews>
    <sheetView tabSelected="1" workbookViewId="0">
      <selection activeCell="J29" sqref="J29"/>
    </sheetView>
  </sheetViews>
  <sheetFormatPr defaultRowHeight="15" x14ac:dyDescent="0.25"/>
  <cols>
    <col min="3" max="3" width="12.140625" style="9" bestFit="1" customWidth="1"/>
    <col min="14" max="14" width="9" bestFit="1" customWidth="1"/>
    <col min="15" max="15" width="11" bestFit="1" customWidth="1"/>
    <col min="16" max="16" width="11.7109375" bestFit="1" customWidth="1"/>
    <col min="17" max="17" width="7.28515625" bestFit="1" customWidth="1"/>
  </cols>
  <sheetData>
    <row r="1" spans="1:5" x14ac:dyDescent="0.25">
      <c r="A1" s="5">
        <v>9.1678240740740739E-4</v>
      </c>
      <c r="B1" s="5">
        <v>9.1921296296296293E-4</v>
      </c>
      <c r="C1" s="10">
        <f>$A1/$B1</f>
        <v>0.99735582976580206</v>
      </c>
      <c r="E1" s="14">
        <f>AVERAGE(C1:C24)</f>
        <v>0.91314828585548191</v>
      </c>
    </row>
    <row r="2" spans="1:5" x14ac:dyDescent="0.25">
      <c r="A2" s="5">
        <v>8.4606481481481485E-5</v>
      </c>
      <c r="B2" s="5">
        <v>8.7037037037037039E-5</v>
      </c>
      <c r="C2" s="10">
        <f t="shared" ref="C2:C24" si="0">$A2/$B2</f>
        <v>0.97207446808510645</v>
      </c>
    </row>
    <row r="3" spans="1:5" x14ac:dyDescent="0.25">
      <c r="A3" s="5">
        <v>1.2119212962962962E-3</v>
      </c>
      <c r="B3" s="5">
        <v>1.2145833333333334E-3</v>
      </c>
      <c r="C3" s="10">
        <f t="shared" si="0"/>
        <v>0.99780827139317696</v>
      </c>
    </row>
    <row r="4" spans="1:5" x14ac:dyDescent="0.25">
      <c r="A4" s="5">
        <v>3.6226851851851849E-5</v>
      </c>
      <c r="B4" s="5">
        <v>3.8078703703703704E-5</v>
      </c>
      <c r="C4" s="10">
        <f t="shared" si="0"/>
        <v>0.95136778115501519</v>
      </c>
    </row>
    <row r="5" spans="1:5" x14ac:dyDescent="0.25">
      <c r="A5" s="5">
        <v>2.3260416666666664E-3</v>
      </c>
      <c r="B5" s="5">
        <v>2.3263888888888887E-3</v>
      </c>
      <c r="C5" s="10">
        <f t="shared" si="0"/>
        <v>0.99985074626865666</v>
      </c>
    </row>
    <row r="6" spans="1:5" x14ac:dyDescent="0.25">
      <c r="A6" s="5">
        <v>4.3555555555555552E-3</v>
      </c>
      <c r="B6" s="5">
        <v>4.3562499999999999E-3</v>
      </c>
      <c r="C6" s="10">
        <f t="shared" si="0"/>
        <v>0.99984058664116049</v>
      </c>
    </row>
    <row r="7" spans="1:5" x14ac:dyDescent="0.25">
      <c r="A7" s="5">
        <v>8.7118055555555549E-4</v>
      </c>
      <c r="B7" s="5">
        <v>8.7569444444444446E-4</v>
      </c>
      <c r="C7" s="10">
        <f t="shared" si="0"/>
        <v>0.99484536082474218</v>
      </c>
    </row>
    <row r="8" spans="1:5" x14ac:dyDescent="0.25">
      <c r="A8" s="5">
        <v>8.0555555555555556E-5</v>
      </c>
      <c r="B8" s="5">
        <v>8.275462962962963E-5</v>
      </c>
      <c r="C8" s="10">
        <f t="shared" si="0"/>
        <v>0.97342657342657346</v>
      </c>
    </row>
    <row r="9" spans="1:5" x14ac:dyDescent="0.25">
      <c r="A9" s="5">
        <v>1.1974537037037036E-3</v>
      </c>
      <c r="B9" s="5">
        <v>1.2003472222222222E-3</v>
      </c>
      <c r="C9" s="10">
        <f t="shared" si="0"/>
        <v>0.99758943207019568</v>
      </c>
    </row>
    <row r="10" spans="1:5" x14ac:dyDescent="0.25">
      <c r="A10" s="5">
        <v>3.3796296296296295E-5</v>
      </c>
      <c r="B10" s="5">
        <v>3.5069444444444442E-5</v>
      </c>
      <c r="C10" s="10">
        <f t="shared" si="0"/>
        <v>0.9636963696369637</v>
      </c>
    </row>
    <row r="11" spans="1:5" x14ac:dyDescent="0.25">
      <c r="A11" s="5">
        <v>2.3141203703703705E-3</v>
      </c>
      <c r="B11" s="5">
        <v>2.3142361111111111E-3</v>
      </c>
      <c r="C11" s="10">
        <f t="shared" si="0"/>
        <v>0.99994998749687425</v>
      </c>
    </row>
    <row r="12" spans="1:5" x14ac:dyDescent="0.25">
      <c r="A12" s="12">
        <v>4.3575231481481477E-3</v>
      </c>
      <c r="B12" s="12">
        <v>4.3575231481481477E-3</v>
      </c>
      <c r="C12" s="13">
        <f t="shared" si="0"/>
        <v>1</v>
      </c>
    </row>
    <row r="13" spans="1:5" x14ac:dyDescent="0.25">
      <c r="A13" s="5">
        <v>6.666666666666667E-5</v>
      </c>
      <c r="B13" s="5">
        <v>7.1064814814814819E-5</v>
      </c>
      <c r="C13" s="10">
        <f t="shared" si="0"/>
        <v>0.93811074918566772</v>
      </c>
    </row>
    <row r="14" spans="1:5" x14ac:dyDescent="0.25">
      <c r="A14" s="5">
        <v>1.2340277777777777E-3</v>
      </c>
      <c r="B14" s="5">
        <v>1.2734953703703704E-3</v>
      </c>
      <c r="C14" s="10">
        <f t="shared" si="0"/>
        <v>0.96900845224029808</v>
      </c>
    </row>
    <row r="15" spans="1:5" x14ac:dyDescent="0.25">
      <c r="A15" s="5">
        <v>3.6157407407407405E-4</v>
      </c>
      <c r="B15" s="5">
        <v>3.6817129629629629E-4</v>
      </c>
      <c r="C15" s="10">
        <f t="shared" si="0"/>
        <v>0.98208110657026093</v>
      </c>
    </row>
    <row r="16" spans="1:5" x14ac:dyDescent="0.25">
      <c r="A16" s="5">
        <v>1.5363425925925926E-3</v>
      </c>
      <c r="B16" s="5">
        <v>1.5368055555555556E-3</v>
      </c>
      <c r="C16" s="10">
        <f t="shared" si="0"/>
        <v>0.99969874981171858</v>
      </c>
    </row>
    <row r="17" spans="1:3" x14ac:dyDescent="0.25">
      <c r="A17" s="5">
        <v>1.5089120370370369E-3</v>
      </c>
      <c r="B17" s="5">
        <v>6.9042824074074067E-3</v>
      </c>
      <c r="C17" s="10">
        <f t="shared" si="0"/>
        <v>0.21854726501600927</v>
      </c>
    </row>
    <row r="18" spans="1:3" x14ac:dyDescent="0.25">
      <c r="A18" s="5">
        <v>2.1296296296296296E-5</v>
      </c>
      <c r="B18" s="5">
        <v>2.3842592592592591E-5</v>
      </c>
      <c r="C18" s="10">
        <f t="shared" si="0"/>
        <v>0.89320388349514568</v>
      </c>
    </row>
    <row r="19" spans="1:3" x14ac:dyDescent="0.25">
      <c r="A19" s="5">
        <v>6.0416666666666667E-5</v>
      </c>
      <c r="B19" s="5">
        <v>6.2847222222222221E-5</v>
      </c>
      <c r="C19" s="10">
        <f t="shared" si="0"/>
        <v>0.96132596685082872</v>
      </c>
    </row>
    <row r="20" spans="1:3" x14ac:dyDescent="0.25">
      <c r="A20" s="5">
        <v>1.2081018518518517E-3</v>
      </c>
      <c r="B20" s="5">
        <v>1.2297453703703704E-3</v>
      </c>
      <c r="C20" s="10">
        <f t="shared" si="0"/>
        <v>0.98239999999999983</v>
      </c>
    </row>
    <row r="21" spans="1:3" x14ac:dyDescent="0.25">
      <c r="A21" s="5">
        <v>3.5324074074074072E-4</v>
      </c>
      <c r="B21" s="5">
        <v>3.5729166666666667E-4</v>
      </c>
      <c r="C21" s="10">
        <f t="shared" si="0"/>
        <v>0.98866213151927429</v>
      </c>
    </row>
    <row r="22" spans="1:3" x14ac:dyDescent="0.25">
      <c r="A22" s="5">
        <v>1.5260416666666666E-3</v>
      </c>
      <c r="B22" s="5">
        <v>1.5260416666666666E-3</v>
      </c>
      <c r="C22" s="10">
        <f t="shared" si="0"/>
        <v>1</v>
      </c>
    </row>
    <row r="23" spans="1:3" x14ac:dyDescent="0.25">
      <c r="A23" s="5">
        <v>1.4883101851851852E-3</v>
      </c>
      <c r="B23" s="5">
        <v>5.5921296296296292E-3</v>
      </c>
      <c r="C23" s="10">
        <f t="shared" si="0"/>
        <v>0.26614372050666446</v>
      </c>
    </row>
    <row r="24" spans="1:3" x14ac:dyDescent="0.25">
      <c r="A24" s="5">
        <v>1.7592592592592591E-5</v>
      </c>
      <c r="B24" s="5">
        <v>2.0254629629629629E-5</v>
      </c>
      <c r="C24" s="10">
        <f t="shared" si="0"/>
        <v>0.86857142857142855</v>
      </c>
    </row>
    <row r="25" spans="1:3" x14ac:dyDescent="0.25">
      <c r="C25" s="11"/>
    </row>
    <row r="26" spans="1:3" x14ac:dyDescent="0.25">
      <c r="C26" s="11"/>
    </row>
    <row r="27" spans="1:3" x14ac:dyDescent="0.25">
      <c r="C27" s="11"/>
    </row>
    <row r="28" spans="1:3" x14ac:dyDescent="0.25">
      <c r="C28" s="11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5A6992-76DB-4C18-B3B6-4A4082A088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372845237</vt:lpstr>
      <vt:lpstr>34445073613</vt:lpstr>
      <vt:lpstr>1577213729</vt:lpstr>
      <vt:lpstr>372845237-asp</vt:lpstr>
      <vt:lpstr>34445073613-asp</vt:lpstr>
      <vt:lpstr>misc</vt:lpstr>
      <vt:lpstr>'1577213729'!bench</vt:lpstr>
      <vt:lpstr>'34445073613'!bench</vt:lpstr>
      <vt:lpstr>'34445073613-asp'!bench</vt:lpstr>
      <vt:lpstr>'372845237'!bench</vt:lpstr>
      <vt:lpstr>'372845237-asp'!bench</vt:lpstr>
      <vt:lpstr>'1577213729'!summary</vt:lpstr>
      <vt:lpstr>'34445073613'!summary</vt:lpstr>
      <vt:lpstr>'34445073613-asp'!summary</vt:lpstr>
      <vt:lpstr>'372845237'!summary</vt:lpstr>
      <vt:lpstr>'372845237-asp'!summary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Cavasin</dc:creator>
  <cp:lastModifiedBy>Riccardo Cavasin</cp:lastModifiedBy>
  <dcterms:created xsi:type="dcterms:W3CDTF">2025-12-16T23:08:17Z</dcterms:created>
  <dcterms:modified xsi:type="dcterms:W3CDTF">2025-12-27T22:48:33Z</dcterms:modified>
</cp:coreProperties>
</file>